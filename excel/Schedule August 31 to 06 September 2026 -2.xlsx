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oamontesgi\Desktop\buildcare\"/>
    </mc:Choice>
  </mc:AlternateContent>
  <xr:revisionPtr revIDLastSave="0" documentId="13_ncr:1_{0CC64B96-9521-49E6-A0E1-A9CF529FEE53}" xr6:coauthVersionLast="47" xr6:coauthVersionMax="47" xr10:uidLastSave="{00000000-0000-0000-0000-000000000000}"/>
  <bookViews>
    <workbookView xWindow="-110" yWindow="-110" windowWidth="19420" windowHeight="10300" firstSheet="4" activeTab="8" xr2:uid="{C9B2D402-A78E-9E42-9A96-048828FB34BE}"/>
  </bookViews>
  <sheets>
    <sheet name="Mon, Aug 31" sheetId="1" r:id="rId1"/>
    <sheet name="Tue, Sep 01" sheetId="2" r:id="rId2"/>
    <sheet name="Wed, Sep 02" sheetId="3" r:id="rId3"/>
    <sheet name="Thu, Sep 03" sheetId="4" r:id="rId4"/>
    <sheet name="Fri, Sep 04" sheetId="5" r:id="rId5"/>
    <sheet name="Sat, Sep 05" sheetId="6" r:id="rId6"/>
    <sheet name="Sun, Sep 06" sheetId="7" r:id="rId7"/>
    <sheet name="Pendings" sheetId="11" r:id="rId8"/>
    <sheet name="Master sheet (Clientes)" sheetId="9" r:id="rId9"/>
    <sheet name="Outer Area Zones" sheetId="12" r:id="rId10"/>
    <sheet name="Cheat Sheet" sheetId="10" r:id="rId11"/>
  </sheets>
  <definedNames>
    <definedName name="_xlnm._FilterDatabase" localSheetId="8" hidden="1">'Master sheet (Clientes)'!$A$5:$J$654</definedName>
    <definedName name="_xlnm._FilterDatabase" localSheetId="0" hidden="1">'Mon, Aug 31'!$A$15:$N$239</definedName>
    <definedName name="_xlnm._FilterDatabase" localSheetId="9" hidden="1">'Outer Area Zones'!$A$5:$C$181</definedName>
    <definedName name="_xlnm._FilterDatabase" localSheetId="1" hidden="1">'Tue, Sep 01'!$A$23:$K$227</definedName>
    <definedName name="_xlnm.Print_Area" localSheetId="10">'Cheat Sheet'!$A$1:$G$125</definedName>
    <definedName name="_xlnm.Print_Area" localSheetId="4">'Fri, Sep 04'!$A$1:$M$281</definedName>
    <definedName name="_xlnm.Print_Area" localSheetId="0">'Mon, Aug 31'!$A$1:$M$246</definedName>
    <definedName name="_xlnm.Print_Area" localSheetId="5">'Sat, Sep 05'!$A$1:$G$167</definedName>
    <definedName name="_xlnm.Print_Area" localSheetId="3">'Thu, Sep 03'!#REF!</definedName>
    <definedName name="_xlnm.Print_Area" localSheetId="1">'Tue, Sep 01'!$A$1:$H$158</definedName>
    <definedName name="_xlnm.Print_Area" localSheetId="2">'Wed, Sep 02'!$A$1:$M$264</definedName>
    <definedName name="P" localSheetId="0">'Mon, Aug 31'!$A$1:$M$246</definedName>
    <definedName name="P." localSheetId="1">'Tue, Sep 01'!$A$1:$M$274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1" i="1" l="1"/>
  <c r="C39" i="4"/>
  <c r="B39" i="4"/>
  <c r="A39" i="4"/>
  <c r="A253" i="5"/>
  <c r="B253" i="5"/>
  <c r="C253" i="5"/>
  <c r="A254" i="5"/>
  <c r="B254" i="5"/>
  <c r="C254" i="5"/>
  <c r="A255" i="5"/>
  <c r="B255" i="5"/>
  <c r="C255" i="5"/>
  <c r="A256" i="5"/>
  <c r="B256" i="5"/>
  <c r="C256" i="5"/>
  <c r="A252" i="5"/>
  <c r="B252" i="5"/>
  <c r="C252" i="5"/>
  <c r="A124" i="5"/>
  <c r="B124" i="5"/>
  <c r="C124" i="5"/>
  <c r="A250" i="5"/>
  <c r="B250" i="5"/>
  <c r="C250" i="5"/>
  <c r="A251" i="5"/>
  <c r="B251" i="5"/>
  <c r="C251" i="5"/>
  <c r="C88" i="5" l="1"/>
  <c r="B88" i="5"/>
  <c r="A88" i="5"/>
  <c r="A220" i="5" l="1"/>
  <c r="B220" i="5"/>
  <c r="C220" i="5"/>
  <c r="C51" i="6"/>
  <c r="B51" i="6"/>
  <c r="A51" i="6"/>
  <c r="C50" i="6"/>
  <c r="B50" i="6"/>
  <c r="A50" i="6"/>
  <c r="C17" i="6"/>
  <c r="B17" i="6"/>
  <c r="A17" i="6"/>
  <c r="C16" i="6"/>
  <c r="B16" i="6"/>
  <c r="A16" i="6"/>
  <c r="C35" i="4"/>
  <c r="B35" i="4"/>
  <c r="A35" i="4"/>
  <c r="C234" i="5"/>
  <c r="B234" i="5"/>
  <c r="A234" i="5"/>
  <c r="C233" i="5"/>
  <c r="B233" i="5"/>
  <c r="A233" i="5"/>
  <c r="A143" i="5"/>
  <c r="B143" i="5"/>
  <c r="C143" i="5"/>
  <c r="A132" i="5"/>
  <c r="B132" i="5"/>
  <c r="C132" i="5"/>
  <c r="A135" i="4" l="1"/>
  <c r="B135" i="4"/>
  <c r="C135" i="4"/>
  <c r="A142" i="4" l="1"/>
  <c r="B142" i="4"/>
  <c r="C142" i="4"/>
  <c r="C121" i="5"/>
  <c r="B121" i="5"/>
  <c r="A121" i="5"/>
  <c r="C267" i="5"/>
  <c r="B267" i="5"/>
  <c r="A267" i="5"/>
  <c r="C264" i="5"/>
  <c r="B264" i="5"/>
  <c r="A264" i="5"/>
  <c r="C263" i="5"/>
  <c r="B263" i="5"/>
  <c r="A263" i="5"/>
  <c r="C260" i="5"/>
  <c r="B260" i="5"/>
  <c r="A260" i="5"/>
  <c r="C259" i="5"/>
  <c r="B259" i="5"/>
  <c r="A259" i="5"/>
  <c r="C249" i="5"/>
  <c r="B249" i="5"/>
  <c r="A249" i="5"/>
  <c r="C248" i="5"/>
  <c r="B248" i="5"/>
  <c r="A248" i="5"/>
  <c r="A140" i="6"/>
  <c r="B140" i="6"/>
  <c r="C140" i="6"/>
  <c r="A139" i="6"/>
  <c r="B139" i="6"/>
  <c r="C139" i="6"/>
  <c r="A232" i="5"/>
  <c r="B232" i="5"/>
  <c r="C232" i="5"/>
  <c r="C213" i="5"/>
  <c r="B213" i="5"/>
  <c r="A213" i="5"/>
  <c r="C210" i="5"/>
  <c r="B210" i="5"/>
  <c r="A210" i="5"/>
  <c r="C209" i="5"/>
  <c r="B209" i="5"/>
  <c r="A209" i="5"/>
  <c r="C229" i="5"/>
  <c r="B229" i="5"/>
  <c r="A229" i="5"/>
  <c r="C218" i="5"/>
  <c r="B218" i="5"/>
  <c r="A218" i="5"/>
  <c r="C200" i="5"/>
  <c r="B200" i="5"/>
  <c r="A200" i="5"/>
  <c r="C199" i="5"/>
  <c r="B199" i="5"/>
  <c r="A199" i="5"/>
  <c r="A69" i="6"/>
  <c r="B69" i="6"/>
  <c r="C69" i="6"/>
  <c r="A116" i="5"/>
  <c r="B116" i="5"/>
  <c r="C116" i="5"/>
  <c r="A117" i="5"/>
  <c r="B117" i="5"/>
  <c r="C117" i="5"/>
  <c r="C185" i="5"/>
  <c r="B185" i="5"/>
  <c r="A185" i="5"/>
  <c r="C159" i="5"/>
  <c r="B159" i="5"/>
  <c r="A159" i="5"/>
  <c r="C168" i="5"/>
  <c r="B168" i="5"/>
  <c r="A168" i="5"/>
  <c r="C164" i="5"/>
  <c r="B164" i="5"/>
  <c r="A164" i="5"/>
  <c r="C163" i="5"/>
  <c r="B163" i="5"/>
  <c r="A163" i="5"/>
  <c r="C156" i="5"/>
  <c r="B156" i="5"/>
  <c r="A156" i="5"/>
  <c r="C155" i="5"/>
  <c r="B155" i="5"/>
  <c r="A155" i="5"/>
  <c r="C154" i="5"/>
  <c r="B154" i="5"/>
  <c r="A154" i="5"/>
  <c r="C92" i="5"/>
  <c r="B92" i="5"/>
  <c r="A92" i="5"/>
  <c r="C65" i="5"/>
  <c r="B65" i="5"/>
  <c r="A65" i="5"/>
  <c r="C62" i="5"/>
  <c r="B62" i="5"/>
  <c r="A62" i="5"/>
  <c r="C61" i="5"/>
  <c r="B61" i="5"/>
  <c r="A61" i="5"/>
  <c r="C60" i="5"/>
  <c r="B60" i="5"/>
  <c r="A60" i="5"/>
  <c r="C39" i="5"/>
  <c r="B39" i="5"/>
  <c r="A39" i="5"/>
  <c r="C19" i="5"/>
  <c r="B19" i="5"/>
  <c r="A19" i="5"/>
  <c r="C17" i="5"/>
  <c r="B17" i="5"/>
  <c r="A17" i="5"/>
  <c r="C16" i="5"/>
  <c r="B16" i="5"/>
  <c r="A16" i="5"/>
  <c r="A125" i="5"/>
  <c r="B125" i="5"/>
  <c r="C125" i="5"/>
  <c r="A176" i="5" l="1"/>
  <c r="B176" i="5"/>
  <c r="C176" i="5"/>
  <c r="C93" i="4"/>
  <c r="B93" i="4"/>
  <c r="A93" i="4"/>
  <c r="A23" i="4"/>
  <c r="B23" i="4"/>
  <c r="C23" i="4"/>
  <c r="A209" i="4" l="1"/>
  <c r="B209" i="4"/>
  <c r="C209" i="4"/>
  <c r="C57" i="6"/>
  <c r="B57" i="6"/>
  <c r="A57" i="6"/>
  <c r="A20" i="4"/>
  <c r="B20" i="4"/>
  <c r="C20" i="4"/>
  <c r="A79" i="5"/>
  <c r="B79" i="5"/>
  <c r="C79" i="5"/>
  <c r="A102" i="5" l="1"/>
  <c r="B102" i="5"/>
  <c r="C102" i="5"/>
  <c r="A54" i="5"/>
  <c r="B54" i="5"/>
  <c r="C54" i="5"/>
  <c r="A65" i="4"/>
  <c r="B65" i="4"/>
  <c r="C65" i="4"/>
  <c r="A58" i="6"/>
  <c r="B58" i="6"/>
  <c r="C58" i="6"/>
  <c r="A251" i="4"/>
  <c r="B251" i="4"/>
  <c r="C251" i="4"/>
  <c r="A179" i="3"/>
  <c r="B179" i="3"/>
  <c r="C179" i="3"/>
  <c r="C190" i="5" l="1"/>
  <c r="B190" i="5"/>
  <c r="A190" i="5"/>
  <c r="A145" i="4"/>
  <c r="B145" i="4"/>
  <c r="C145" i="4"/>
  <c r="A137" i="6"/>
  <c r="B137" i="6"/>
  <c r="C137" i="6"/>
  <c r="C62" i="4"/>
  <c r="B62" i="4"/>
  <c r="A62" i="4"/>
  <c r="C131" i="5"/>
  <c r="B131" i="5"/>
  <c r="A131" i="5"/>
  <c r="A114" i="5"/>
  <c r="B114" i="5"/>
  <c r="C114" i="5"/>
  <c r="A113" i="5"/>
  <c r="B113" i="5"/>
  <c r="C113" i="5"/>
  <c r="A124" i="4"/>
  <c r="B124" i="4"/>
  <c r="C124" i="4"/>
  <c r="A123" i="4"/>
  <c r="B123" i="4"/>
  <c r="C123" i="4"/>
  <c r="C207" i="4"/>
  <c r="B207" i="4"/>
  <c r="A207" i="4"/>
  <c r="C208" i="4"/>
  <c r="B208" i="4"/>
  <c r="A208" i="4"/>
  <c r="C217" i="5"/>
  <c r="B217" i="5"/>
  <c r="A217" i="5"/>
  <c r="C216" i="5"/>
  <c r="B216" i="5"/>
  <c r="A216" i="5"/>
  <c r="C32" i="3"/>
  <c r="B32" i="3"/>
  <c r="A32" i="3"/>
  <c r="A31" i="3"/>
  <c r="B31" i="3"/>
  <c r="C31" i="3"/>
  <c r="C244" i="4"/>
  <c r="B244" i="4"/>
  <c r="A244" i="4"/>
  <c r="C243" i="4"/>
  <c r="B243" i="4"/>
  <c r="A243" i="4"/>
  <c r="C240" i="4"/>
  <c r="B240" i="4"/>
  <c r="A240" i="4"/>
  <c r="C239" i="4"/>
  <c r="B239" i="4"/>
  <c r="A239" i="4"/>
  <c r="C234" i="4"/>
  <c r="B234" i="4"/>
  <c r="A234" i="4"/>
  <c r="C233" i="4"/>
  <c r="B233" i="4"/>
  <c r="A233" i="4"/>
  <c r="C232" i="4"/>
  <c r="B232" i="4"/>
  <c r="A232" i="4"/>
  <c r="C220" i="3"/>
  <c r="B220" i="3"/>
  <c r="A220" i="3"/>
  <c r="C206" i="4"/>
  <c r="B206" i="4"/>
  <c r="A206" i="4"/>
  <c r="C199" i="4"/>
  <c r="B199" i="4"/>
  <c r="A199" i="4"/>
  <c r="C196" i="4"/>
  <c r="B196" i="4"/>
  <c r="A196" i="4"/>
  <c r="C195" i="4"/>
  <c r="B195" i="4"/>
  <c r="A195" i="4"/>
  <c r="C189" i="4"/>
  <c r="B189" i="4"/>
  <c r="A189" i="4"/>
  <c r="C188" i="4"/>
  <c r="B188" i="4"/>
  <c r="A188" i="4"/>
  <c r="C187" i="4"/>
  <c r="B187" i="4"/>
  <c r="A187" i="4"/>
  <c r="C186" i="4"/>
  <c r="B186" i="4"/>
  <c r="A186" i="4"/>
  <c r="C180" i="4"/>
  <c r="B180" i="4"/>
  <c r="A180" i="4"/>
  <c r="A92" i="4"/>
  <c r="B92" i="4"/>
  <c r="C92" i="4"/>
  <c r="A176" i="4"/>
  <c r="B176" i="4"/>
  <c r="C176" i="4"/>
  <c r="A177" i="4"/>
  <c r="B177" i="4"/>
  <c r="C177" i="4"/>
  <c r="C161" i="4"/>
  <c r="B161" i="4"/>
  <c r="A161" i="4"/>
  <c r="C173" i="4"/>
  <c r="B173" i="4"/>
  <c r="A173" i="4"/>
  <c r="C151" i="4"/>
  <c r="B151" i="4"/>
  <c r="A151" i="4"/>
  <c r="C128" i="4"/>
  <c r="B128" i="4"/>
  <c r="A128" i="4"/>
  <c r="C127" i="4"/>
  <c r="B127" i="4"/>
  <c r="A127" i="4"/>
  <c r="C77" i="4"/>
  <c r="B77" i="4"/>
  <c r="A77" i="4"/>
  <c r="A126" i="3"/>
  <c r="B126" i="3"/>
  <c r="C126" i="3"/>
  <c r="C82" i="4"/>
  <c r="B82" i="4"/>
  <c r="A82" i="4"/>
  <c r="C85" i="4"/>
  <c r="B85" i="4"/>
  <c r="A85" i="4"/>
  <c r="C57" i="4"/>
  <c r="B57" i="4"/>
  <c r="A57" i="4"/>
  <c r="C54" i="4"/>
  <c r="B54" i="4"/>
  <c r="A54" i="4"/>
  <c r="C53" i="4"/>
  <c r="B53" i="4"/>
  <c r="A53" i="4"/>
  <c r="C52" i="4"/>
  <c r="B52" i="4"/>
  <c r="A52" i="4"/>
  <c r="A29" i="5"/>
  <c r="B29" i="5"/>
  <c r="C29" i="5"/>
  <c r="A30" i="5"/>
  <c r="B30" i="5"/>
  <c r="C30" i="5"/>
  <c r="A31" i="5"/>
  <c r="B31" i="5"/>
  <c r="C31" i="5"/>
  <c r="C78" i="4"/>
  <c r="B78" i="4"/>
  <c r="A78" i="4"/>
  <c r="C40" i="4"/>
  <c r="B40" i="4"/>
  <c r="A40" i="4"/>
  <c r="C16" i="4"/>
  <c r="B16" i="4"/>
  <c r="A16" i="4"/>
  <c r="C15" i="4"/>
  <c r="B15" i="4"/>
  <c r="A15" i="4"/>
  <c r="A142" i="5"/>
  <c r="B142" i="5"/>
  <c r="C142" i="5"/>
  <c r="A94" i="6"/>
  <c r="B94" i="6"/>
  <c r="C94" i="6"/>
  <c r="A144" i="5"/>
  <c r="B144" i="5"/>
  <c r="C144" i="5"/>
  <c r="A145" i="5"/>
  <c r="B145" i="5"/>
  <c r="C145" i="5"/>
  <c r="A133" i="4"/>
  <c r="B133" i="4"/>
  <c r="C133" i="4"/>
  <c r="A134" i="4"/>
  <c r="B134" i="4"/>
  <c r="C134" i="4"/>
  <c r="C158" i="5"/>
  <c r="B158" i="5"/>
  <c r="A158" i="5"/>
  <c r="C111" i="6"/>
  <c r="B111" i="6"/>
  <c r="A111" i="6"/>
  <c r="C93" i="6"/>
  <c r="B93" i="6"/>
  <c r="A93" i="6"/>
  <c r="A26" i="5"/>
  <c r="B26" i="5"/>
  <c r="C26" i="5"/>
  <c r="C122" i="5"/>
  <c r="B122" i="5"/>
  <c r="A122" i="5"/>
  <c r="A141" i="4"/>
  <c r="B141" i="4"/>
  <c r="C141" i="4"/>
  <c r="A51" i="5"/>
  <c r="B51" i="5"/>
  <c r="C51" i="5"/>
  <c r="A14" i="11"/>
  <c r="B14" i="11"/>
  <c r="C14" i="11"/>
  <c r="A15" i="11"/>
  <c r="B15" i="11"/>
  <c r="C15" i="11"/>
  <c r="A18" i="5"/>
  <c r="B18" i="5"/>
  <c r="C18" i="5"/>
  <c r="A236" i="4"/>
  <c r="B236" i="4"/>
  <c r="C236" i="4"/>
  <c r="A247" i="4"/>
  <c r="B247" i="4"/>
  <c r="C247" i="4"/>
  <c r="A38" i="4"/>
  <c r="B38" i="4"/>
  <c r="C38" i="4"/>
  <c r="A112" i="5"/>
  <c r="B112" i="5"/>
  <c r="C112" i="5"/>
  <c r="A105" i="4"/>
  <c r="B105" i="4"/>
  <c r="C105" i="4"/>
  <c r="A106" i="4"/>
  <c r="B106" i="4"/>
  <c r="C106" i="4"/>
  <c r="A107" i="4"/>
  <c r="B107" i="4"/>
  <c r="C107" i="4"/>
  <c r="A108" i="4"/>
  <c r="B108" i="4"/>
  <c r="C108" i="4"/>
  <c r="A109" i="4"/>
  <c r="B109" i="4"/>
  <c r="C109" i="4"/>
  <c r="A110" i="4"/>
  <c r="B110" i="4"/>
  <c r="C110" i="4"/>
  <c r="A111" i="4"/>
  <c r="B111" i="4"/>
  <c r="C111" i="4"/>
  <c r="A112" i="4"/>
  <c r="B112" i="4"/>
  <c r="C112" i="4"/>
  <c r="A113" i="4"/>
  <c r="B113" i="4"/>
  <c r="C113" i="4"/>
  <c r="A114" i="4"/>
  <c r="B114" i="4"/>
  <c r="C114" i="4"/>
  <c r="A115" i="4"/>
  <c r="B115" i="4"/>
  <c r="C115" i="4"/>
  <c r="A116" i="4"/>
  <c r="B116" i="4"/>
  <c r="C116" i="4"/>
  <c r="A117" i="4"/>
  <c r="B117" i="4"/>
  <c r="C117" i="4"/>
  <c r="C34" i="11" l="1"/>
  <c r="B34" i="11"/>
  <c r="A34" i="11"/>
  <c r="C32" i="11"/>
  <c r="B32" i="11"/>
  <c r="A32" i="11"/>
  <c r="A228" i="5"/>
  <c r="B228" i="5"/>
  <c r="C228" i="5"/>
  <c r="A215" i="4"/>
  <c r="B215" i="4"/>
  <c r="C215" i="4"/>
  <c r="A214" i="4"/>
  <c r="B214" i="4"/>
  <c r="C214" i="4"/>
  <c r="A227" i="5"/>
  <c r="B227" i="5"/>
  <c r="C227" i="5"/>
  <c r="A206" i="5"/>
  <c r="B206" i="5"/>
  <c r="C206" i="5"/>
  <c r="A213" i="4" l="1"/>
  <c r="B213" i="4"/>
  <c r="C213" i="4"/>
  <c r="A18" i="6" l="1"/>
  <c r="B18" i="6"/>
  <c r="C18" i="6"/>
  <c r="A19" i="6"/>
  <c r="B19" i="6"/>
  <c r="C19" i="6"/>
  <c r="A20" i="6"/>
  <c r="B20" i="6"/>
  <c r="C20" i="6"/>
  <c r="A21" i="6"/>
  <c r="B21" i="6"/>
  <c r="C21" i="6"/>
  <c r="A22" i="6"/>
  <c r="B22" i="6"/>
  <c r="C22" i="6"/>
  <c r="A23" i="6"/>
  <c r="B23" i="6"/>
  <c r="C23" i="6"/>
  <c r="A118" i="2"/>
  <c r="B118" i="2"/>
  <c r="C118" i="2"/>
  <c r="A250" i="4"/>
  <c r="B250" i="4"/>
  <c r="C250" i="4"/>
  <c r="C212" i="4"/>
  <c r="B212" i="4"/>
  <c r="A212" i="4"/>
  <c r="A248" i="3"/>
  <c r="B248" i="3"/>
  <c r="C248" i="3"/>
  <c r="A214" i="3"/>
  <c r="B214" i="3"/>
  <c r="C214" i="3"/>
  <c r="A182" i="3"/>
  <c r="B182" i="3"/>
  <c r="C182" i="3"/>
  <c r="A18" i="4"/>
  <c r="B18" i="4"/>
  <c r="C18" i="4"/>
  <c r="A136" i="3"/>
  <c r="B136" i="3"/>
  <c r="C136" i="3"/>
  <c r="A39" i="3"/>
  <c r="B39" i="3"/>
  <c r="C39" i="3"/>
  <c r="C53" i="6" l="1"/>
  <c r="B53" i="6"/>
  <c r="A53" i="6"/>
  <c r="C207" i="2"/>
  <c r="B207" i="2"/>
  <c r="A207" i="2"/>
  <c r="A160" i="5"/>
  <c r="B160" i="5"/>
  <c r="C160" i="5"/>
  <c r="A165" i="5"/>
  <c r="B165" i="5"/>
  <c r="C165" i="5"/>
  <c r="C63" i="3"/>
  <c r="B63" i="3"/>
  <c r="A63" i="3"/>
  <c r="A153" i="3"/>
  <c r="B153" i="3"/>
  <c r="C153" i="3"/>
  <c r="A89" i="4"/>
  <c r="B89" i="4"/>
  <c r="C89" i="4"/>
  <c r="A90" i="4"/>
  <c r="B90" i="4"/>
  <c r="C90" i="4"/>
  <c r="A192" i="4"/>
  <c r="B192" i="4"/>
  <c r="C192" i="4"/>
  <c r="A158" i="4"/>
  <c r="B158" i="4"/>
  <c r="C158" i="4"/>
  <c r="C157" i="5"/>
  <c r="B157" i="5"/>
  <c r="A157" i="5"/>
  <c r="A244" i="3"/>
  <c r="B244" i="3"/>
  <c r="C244" i="3"/>
  <c r="A245" i="3"/>
  <c r="B245" i="3"/>
  <c r="C245" i="3"/>
  <c r="A240" i="3"/>
  <c r="B240" i="3"/>
  <c r="C240" i="3"/>
  <c r="A241" i="3"/>
  <c r="B241" i="3"/>
  <c r="C241" i="3"/>
  <c r="A234" i="3"/>
  <c r="B234" i="3"/>
  <c r="C234" i="3"/>
  <c r="A235" i="3"/>
  <c r="B235" i="3"/>
  <c r="C235" i="3"/>
  <c r="A171" i="4"/>
  <c r="B171" i="4"/>
  <c r="C171" i="4"/>
  <c r="C171" i="5"/>
  <c r="B171" i="5"/>
  <c r="A171" i="5"/>
  <c r="C172" i="5"/>
  <c r="B172" i="5"/>
  <c r="A172" i="5"/>
  <c r="A204" i="3"/>
  <c r="B204" i="3"/>
  <c r="C204" i="3"/>
  <c r="A200" i="3"/>
  <c r="B200" i="3"/>
  <c r="C200" i="3"/>
  <c r="A201" i="3"/>
  <c r="B201" i="3"/>
  <c r="C201" i="3"/>
  <c r="A167" i="3"/>
  <c r="B167" i="3"/>
  <c r="C167" i="3"/>
  <c r="A188" i="3"/>
  <c r="B188" i="3"/>
  <c r="C188" i="3"/>
  <c r="A189" i="3"/>
  <c r="B189" i="3"/>
  <c r="C189" i="3"/>
  <c r="A190" i="3"/>
  <c r="B190" i="3"/>
  <c r="C190" i="3"/>
  <c r="A191" i="3"/>
  <c r="B191" i="3"/>
  <c r="C191" i="3"/>
  <c r="C118" i="3"/>
  <c r="B118" i="3"/>
  <c r="A118" i="3"/>
  <c r="C165" i="4"/>
  <c r="B165" i="4"/>
  <c r="A165" i="4"/>
  <c r="C164" i="4"/>
  <c r="B164" i="4"/>
  <c r="A164" i="4"/>
  <c r="A148" i="3"/>
  <c r="B148" i="3"/>
  <c r="C148" i="3"/>
  <c r="A142" i="3"/>
  <c r="B142" i="3"/>
  <c r="C142" i="3"/>
  <c r="C151" i="6" l="1"/>
  <c r="B151" i="6"/>
  <c r="A151" i="6"/>
  <c r="C150" i="6"/>
  <c r="B150" i="6"/>
  <c r="A150" i="6"/>
  <c r="C204" i="5"/>
  <c r="B204" i="5"/>
  <c r="A204" i="5"/>
  <c r="A71" i="3"/>
  <c r="B71" i="3"/>
  <c r="C71" i="3"/>
  <c r="A50" i="3"/>
  <c r="B50" i="3"/>
  <c r="C50" i="3"/>
  <c r="A69" i="3"/>
  <c r="B69" i="3"/>
  <c r="C69" i="3"/>
  <c r="A70" i="3"/>
  <c r="B70" i="3"/>
  <c r="C70" i="3"/>
  <c r="A45" i="3"/>
  <c r="B45" i="3"/>
  <c r="C45" i="3"/>
  <c r="A46" i="3"/>
  <c r="B46" i="3"/>
  <c r="C46" i="3"/>
  <c r="A37" i="3"/>
  <c r="B37" i="3"/>
  <c r="C37" i="3"/>
  <c r="A15" i="3"/>
  <c r="B15" i="3"/>
  <c r="C15" i="3"/>
  <c r="A16" i="3"/>
  <c r="B16" i="3"/>
  <c r="C16" i="3"/>
  <c r="A17" i="3"/>
  <c r="B17" i="3"/>
  <c r="C17" i="3"/>
  <c r="C111" i="5"/>
  <c r="B111" i="5"/>
  <c r="A111" i="5"/>
  <c r="A120" i="4"/>
  <c r="B120" i="4"/>
  <c r="C120" i="4"/>
  <c r="A121" i="4"/>
  <c r="B121" i="4"/>
  <c r="C121" i="4"/>
  <c r="A86" i="3"/>
  <c r="B86" i="3"/>
  <c r="C86" i="3"/>
  <c r="A87" i="3"/>
  <c r="B87" i="3"/>
  <c r="C87" i="3"/>
  <c r="A88" i="3"/>
  <c r="B88" i="3"/>
  <c r="C88" i="3"/>
  <c r="A89" i="3"/>
  <c r="B89" i="3"/>
  <c r="C89" i="3"/>
  <c r="A90" i="3"/>
  <c r="B90" i="3"/>
  <c r="C90" i="3"/>
  <c r="A91" i="3"/>
  <c r="B91" i="3"/>
  <c r="C91" i="3"/>
  <c r="A92" i="3"/>
  <c r="B92" i="3"/>
  <c r="C92" i="3"/>
  <c r="A93" i="3"/>
  <c r="B93" i="3"/>
  <c r="C93" i="3"/>
  <c r="A94" i="3"/>
  <c r="B94" i="3"/>
  <c r="C94" i="3"/>
  <c r="A95" i="3"/>
  <c r="B95" i="3"/>
  <c r="C95" i="3"/>
  <c r="A96" i="3"/>
  <c r="B96" i="3"/>
  <c r="C96" i="3"/>
  <c r="C157" i="3"/>
  <c r="B157" i="3"/>
  <c r="A157" i="3"/>
  <c r="A176" i="2"/>
  <c r="B176" i="2"/>
  <c r="C176" i="2"/>
  <c r="C85" i="5"/>
  <c r="B85" i="5"/>
  <c r="A85" i="5"/>
  <c r="C84" i="5"/>
  <c r="B84" i="5"/>
  <c r="A84" i="5"/>
  <c r="C83" i="5"/>
  <c r="B83" i="5"/>
  <c r="A83" i="5"/>
  <c r="A38" i="3"/>
  <c r="B38" i="3"/>
  <c r="C38" i="3"/>
  <c r="A176" i="3"/>
  <c r="B176" i="3"/>
  <c r="C176" i="3"/>
  <c r="C75" i="5"/>
  <c r="B75" i="5"/>
  <c r="A75" i="5"/>
  <c r="A112" i="3"/>
  <c r="B112" i="3"/>
  <c r="C112" i="3"/>
  <c r="C71" i="4"/>
  <c r="B71" i="4"/>
  <c r="A71" i="4"/>
  <c r="A58" i="3"/>
  <c r="B58" i="3"/>
  <c r="C58" i="3"/>
  <c r="C237" i="3"/>
  <c r="B237" i="3"/>
  <c r="A237" i="3"/>
  <c r="C153" i="4" l="1"/>
  <c r="B153" i="4"/>
  <c r="A153" i="4"/>
  <c r="C154" i="4"/>
  <c r="B154" i="4"/>
  <c r="A154" i="4"/>
  <c r="C155" i="4"/>
  <c r="B155" i="4"/>
  <c r="A155" i="4"/>
  <c r="C156" i="4"/>
  <c r="B156" i="4"/>
  <c r="A156" i="4"/>
  <c r="C157" i="4"/>
  <c r="B157" i="4"/>
  <c r="A157" i="4"/>
  <c r="A122" i="4"/>
  <c r="B122" i="4"/>
  <c r="C122" i="4"/>
  <c r="C99" i="4"/>
  <c r="B99" i="4"/>
  <c r="A99" i="4"/>
  <c r="A31" i="4"/>
  <c r="B31" i="4"/>
  <c r="C31" i="4"/>
  <c r="C119" i="3"/>
  <c r="B119" i="3"/>
  <c r="A119" i="3"/>
  <c r="A117" i="3" l="1"/>
  <c r="B117" i="3"/>
  <c r="C117" i="3"/>
  <c r="F123" i="2"/>
  <c r="G123" i="2"/>
  <c r="A123" i="2"/>
  <c r="B123" i="2"/>
  <c r="C123" i="2"/>
  <c r="C105" i="3"/>
  <c r="B105" i="3"/>
  <c r="A105" i="3"/>
  <c r="A26" i="6"/>
  <c r="B26" i="6"/>
  <c r="C26" i="6"/>
  <c r="A26" i="3"/>
  <c r="B26" i="3"/>
  <c r="C26" i="3"/>
  <c r="C33" i="6"/>
  <c r="B33" i="6"/>
  <c r="A33" i="6"/>
  <c r="C32" i="6"/>
  <c r="B32" i="6"/>
  <c r="A32" i="6"/>
  <c r="C22" i="5"/>
  <c r="B22" i="5"/>
  <c r="A22" i="5"/>
  <c r="C28" i="4"/>
  <c r="B28" i="4"/>
  <c r="A28" i="4"/>
  <c r="C19" i="4"/>
  <c r="B19" i="4"/>
  <c r="A19" i="4"/>
  <c r="A88" i="4"/>
  <c r="B88" i="4"/>
  <c r="C88" i="4"/>
  <c r="C99" i="5"/>
  <c r="B99" i="5"/>
  <c r="A99" i="5"/>
  <c r="A171" i="3"/>
  <c r="B171" i="3"/>
  <c r="C171" i="3"/>
  <c r="C23" i="3"/>
  <c r="B23" i="3"/>
  <c r="A23" i="3"/>
  <c r="A132" i="3"/>
  <c r="B132" i="3"/>
  <c r="C132" i="3"/>
  <c r="A133" i="3"/>
  <c r="B133" i="3"/>
  <c r="C133" i="3"/>
  <c r="A104" i="3"/>
  <c r="B104" i="3"/>
  <c r="C104" i="3"/>
  <c r="A106" i="3"/>
  <c r="B106" i="3"/>
  <c r="C106" i="3"/>
  <c r="A107" i="3"/>
  <c r="B107" i="3"/>
  <c r="C107" i="3"/>
  <c r="A108" i="3"/>
  <c r="B108" i="3"/>
  <c r="C108" i="3"/>
  <c r="C203" i="4"/>
  <c r="B203" i="4"/>
  <c r="A203" i="4"/>
  <c r="C202" i="4"/>
  <c r="B202" i="4"/>
  <c r="A202" i="4"/>
  <c r="C218" i="4"/>
  <c r="B218" i="4"/>
  <c r="A218" i="4"/>
  <c r="C79" i="3"/>
  <c r="B79" i="3"/>
  <c r="A79" i="3"/>
  <c r="C80" i="3"/>
  <c r="B80" i="3"/>
  <c r="A80" i="3"/>
  <c r="C47" i="3"/>
  <c r="B47" i="3"/>
  <c r="A47" i="3"/>
  <c r="C129" i="3"/>
  <c r="B129" i="3"/>
  <c r="A129" i="3"/>
  <c r="C96" i="5"/>
  <c r="B96" i="5"/>
  <c r="A96" i="5"/>
  <c r="C72" i="5"/>
  <c r="B72" i="5"/>
  <c r="A72" i="5"/>
  <c r="C135" i="6"/>
  <c r="B135" i="6"/>
  <c r="A135" i="6"/>
  <c r="C202" i="5"/>
  <c r="B202" i="5"/>
  <c r="A202" i="5"/>
  <c r="C149" i="6"/>
  <c r="B149" i="6"/>
  <c r="A149" i="6"/>
  <c r="C219" i="5"/>
  <c r="B219" i="5"/>
  <c r="A219" i="5"/>
  <c r="C201" i="5"/>
  <c r="B201" i="5"/>
  <c r="A201" i="5"/>
  <c r="C191" i="4"/>
  <c r="B191" i="4"/>
  <c r="A191" i="4"/>
  <c r="C190" i="4"/>
  <c r="B190" i="4"/>
  <c r="A190" i="4"/>
  <c r="C265" i="2" l="1"/>
  <c r="B265" i="2"/>
  <c r="A265" i="2"/>
  <c r="C266" i="2"/>
  <c r="B266" i="2"/>
  <c r="A266" i="2"/>
  <c r="C267" i="2"/>
  <c r="B267" i="2"/>
  <c r="A267"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95" i="5"/>
  <c r="B95" i="5"/>
  <c r="A95" i="5"/>
  <c r="C71" i="5"/>
  <c r="B71" i="5"/>
  <c r="A71" i="5"/>
  <c r="A22" i="7"/>
  <c r="B22" i="7"/>
  <c r="C22" i="7"/>
  <c r="A62" i="2"/>
  <c r="B62" i="2"/>
  <c r="C62" i="2"/>
  <c r="A29" i="2"/>
  <c r="B29" i="2"/>
  <c r="C29" i="2"/>
  <c r="C152" i="4"/>
  <c r="B152" i="4"/>
  <c r="A152" i="4"/>
  <c r="A237" i="2"/>
  <c r="B237" i="2"/>
  <c r="C237" i="2"/>
  <c r="A238" i="2"/>
  <c r="B238" i="2"/>
  <c r="C238" i="2"/>
  <c r="C92" i="6"/>
  <c r="B92" i="6"/>
  <c r="A92" i="6"/>
  <c r="C91" i="6"/>
  <c r="B91" i="6"/>
  <c r="A91" i="6"/>
  <c r="C90" i="5"/>
  <c r="B90" i="5"/>
  <c r="A90" i="5"/>
  <c r="C91" i="5"/>
  <c r="B91" i="5"/>
  <c r="A91" i="5"/>
  <c r="C67" i="5"/>
  <c r="B67" i="5"/>
  <c r="A67" i="5"/>
  <c r="C68" i="5"/>
  <c r="B68" i="5"/>
  <c r="A68" i="5"/>
  <c r="C75" i="4"/>
  <c r="B75" i="4"/>
  <c r="A75" i="4"/>
  <c r="C76" i="4"/>
  <c r="B76" i="4"/>
  <c r="A76" i="4"/>
  <c r="C68" i="4" l="1"/>
  <c r="B68" i="4"/>
  <c r="A68" i="4"/>
  <c r="C212" i="3"/>
  <c r="B212" i="3"/>
  <c r="A212" i="3"/>
  <c r="C213" i="3"/>
  <c r="B213" i="3"/>
  <c r="A213" i="3"/>
  <c r="C68" i="3"/>
  <c r="B68" i="3"/>
  <c r="A68" i="3"/>
  <c r="C67" i="3"/>
  <c r="B67" i="3"/>
  <c r="A67" i="3"/>
  <c r="C75" i="3"/>
  <c r="B75" i="3"/>
  <c r="A75" i="3"/>
  <c r="C122" i="3"/>
  <c r="B122" i="3"/>
  <c r="A122" i="3"/>
  <c r="C123" i="3"/>
  <c r="B123" i="3"/>
  <c r="A123" i="3"/>
  <c r="C51" i="3" l="1"/>
  <c r="B51" i="3"/>
  <c r="A51" i="3"/>
  <c r="A61" i="3"/>
  <c r="A102" i="3"/>
  <c r="B102" i="3"/>
  <c r="C102" i="3"/>
  <c r="A103" i="3"/>
  <c r="B103" i="3"/>
  <c r="C103" i="3"/>
  <c r="A109" i="3"/>
  <c r="B109" i="3"/>
  <c r="C109" i="3"/>
  <c r="C56" i="3"/>
  <c r="B56" i="3"/>
  <c r="A56" i="3"/>
  <c r="C57" i="3"/>
  <c r="B57" i="3"/>
  <c r="A57" i="3"/>
  <c r="C62" i="3"/>
  <c r="B62" i="3"/>
  <c r="A62" i="3"/>
  <c r="C40" i="11"/>
  <c r="B40" i="11"/>
  <c r="A40" i="11"/>
  <c r="A39" i="11"/>
  <c r="B39" i="11"/>
  <c r="C39" i="11"/>
  <c r="C152" i="3"/>
  <c r="B152" i="3"/>
  <c r="A152" i="3"/>
  <c r="A143" i="3"/>
  <c r="C145" i="3"/>
  <c r="B145" i="3"/>
  <c r="A145" i="3"/>
  <c r="C144" i="3"/>
  <c r="B144" i="3"/>
  <c r="A144" i="3"/>
  <c r="C208" i="3"/>
  <c r="B208" i="3"/>
  <c r="A208" i="3"/>
  <c r="A196" i="3"/>
  <c r="B196" i="3"/>
  <c r="C196" i="3"/>
  <c r="A197" i="3"/>
  <c r="B197" i="3"/>
  <c r="C197" i="3"/>
  <c r="A205" i="3"/>
  <c r="B205" i="3"/>
  <c r="C205" i="3"/>
  <c r="A166" i="2"/>
  <c r="B166" i="2"/>
  <c r="C166" i="2"/>
  <c r="A149" i="2" l="1"/>
  <c r="B149" i="2"/>
  <c r="C149" i="2"/>
  <c r="C21" i="2"/>
  <c r="B21" i="2"/>
  <c r="A21" i="2"/>
  <c r="C24" i="2"/>
  <c r="B24" i="2"/>
  <c r="A24" i="2"/>
  <c r="C40" i="2"/>
  <c r="B40" i="2"/>
  <c r="A40" i="2"/>
  <c r="A201" i="2"/>
  <c r="B201" i="2"/>
  <c r="C201" i="2"/>
  <c r="A241" i="2"/>
  <c r="B241" i="2"/>
  <c r="C241" i="2"/>
  <c r="A77" i="2"/>
  <c r="B77" i="2"/>
  <c r="C77" i="2"/>
  <c r="A104" i="2"/>
  <c r="B104" i="2"/>
  <c r="C104" i="2"/>
  <c r="A131" i="3"/>
  <c r="B131" i="3"/>
  <c r="C131" i="3"/>
  <c r="A71" i="2"/>
  <c r="B71" i="2"/>
  <c r="C71" i="2"/>
  <c r="C179" i="2"/>
  <c r="B179" i="2"/>
  <c r="A179" i="2"/>
  <c r="C206" i="2"/>
  <c r="B206" i="2"/>
  <c r="A206" i="2"/>
  <c r="C38" i="5"/>
  <c r="B38" i="5"/>
  <c r="A38" i="5"/>
  <c r="C46" i="4"/>
  <c r="B46" i="4"/>
  <c r="A46" i="4"/>
  <c r="A190" i="2"/>
  <c r="B190" i="2"/>
  <c r="C190" i="2"/>
  <c r="A191" i="2"/>
  <c r="B191" i="2"/>
  <c r="C191" i="2"/>
  <c r="A188" i="2"/>
  <c r="B188" i="2"/>
  <c r="C188" i="2"/>
  <c r="A195" i="3"/>
  <c r="B195" i="3"/>
  <c r="C195" i="3"/>
  <c r="C100" i="3"/>
  <c r="B100" i="3"/>
  <c r="A100" i="3"/>
  <c r="A244" i="2"/>
  <c r="B244" i="2"/>
  <c r="C244" i="2"/>
  <c r="A217" i="2"/>
  <c r="B217" i="2"/>
  <c r="C217" i="2"/>
  <c r="A235" i="2"/>
  <c r="B235" i="2"/>
  <c r="C235" i="2"/>
  <c r="B61" i="3"/>
  <c r="C61" i="3"/>
  <c r="A143" i="2"/>
  <c r="B143" i="2"/>
  <c r="C143" i="2"/>
  <c r="A144" i="2"/>
  <c r="B144" i="2"/>
  <c r="C144" i="2"/>
  <c r="A145" i="2"/>
  <c r="B145" i="2"/>
  <c r="C145" i="2"/>
  <c r="A128" i="2"/>
  <c r="B128" i="2"/>
  <c r="C128" i="2"/>
  <c r="A129" i="2"/>
  <c r="B129" i="2"/>
  <c r="C129" i="2"/>
  <c r="A114" i="2"/>
  <c r="B114" i="2"/>
  <c r="C114" i="2"/>
  <c r="C142" i="2"/>
  <c r="B142" i="2"/>
  <c r="A142" i="2"/>
  <c r="A35" i="1"/>
  <c r="B35" i="1"/>
  <c r="C35" i="1"/>
  <c r="C131" i="2"/>
  <c r="B131" i="2"/>
  <c r="A131" i="2"/>
  <c r="C130" i="5"/>
  <c r="B130" i="5"/>
  <c r="A130" i="5"/>
  <c r="C139" i="5"/>
  <c r="B139" i="5"/>
  <c r="A139" i="5"/>
  <c r="C138" i="5"/>
  <c r="B138" i="5"/>
  <c r="A138" i="5"/>
  <c r="A76" i="2"/>
  <c r="B76" i="2"/>
  <c r="C76" i="2"/>
  <c r="C100" i="6"/>
  <c r="B100" i="6"/>
  <c r="A100" i="6"/>
  <c r="C99" i="3"/>
  <c r="B99" i="3"/>
  <c r="A99" i="3"/>
  <c r="A17" i="2"/>
  <c r="B17" i="2"/>
  <c r="C17" i="2"/>
  <c r="C158" i="2"/>
  <c r="B158" i="2"/>
  <c r="A158" i="2"/>
  <c r="A128" i="1"/>
  <c r="B128" i="1"/>
  <c r="C128" i="1"/>
  <c r="A129" i="1"/>
  <c r="B129" i="1"/>
  <c r="C129" i="1"/>
  <c r="A110" i="1"/>
  <c r="B110" i="1"/>
  <c r="C110" i="1"/>
  <c r="C165" i="2"/>
  <c r="B165" i="2"/>
  <c r="A165" i="2"/>
  <c r="A98" i="3"/>
  <c r="B98" i="3"/>
  <c r="C98" i="3"/>
  <c r="A96" i="2"/>
  <c r="B96" i="2"/>
  <c r="C96" i="2"/>
  <c r="A97" i="2"/>
  <c r="B97" i="2"/>
  <c r="C97" i="2"/>
  <c r="A98" i="2"/>
  <c r="B98" i="2"/>
  <c r="C98" i="2"/>
  <c r="A99" i="2"/>
  <c r="B99" i="2"/>
  <c r="C99" i="2"/>
  <c r="A100" i="2"/>
  <c r="B100" i="2"/>
  <c r="C100" i="2"/>
  <c r="A101" i="2"/>
  <c r="B101" i="2"/>
  <c r="C101" i="2"/>
  <c r="A102" i="2"/>
  <c r="B102" i="2"/>
  <c r="C102" i="2"/>
  <c r="A103" i="2"/>
  <c r="B103" i="2"/>
  <c r="C103" i="2"/>
  <c r="A105" i="2"/>
  <c r="B105" i="2"/>
  <c r="C105" i="2"/>
  <c r="A106" i="2"/>
  <c r="B106" i="2"/>
  <c r="C106" i="2"/>
  <c r="A107" i="2"/>
  <c r="B107" i="2"/>
  <c r="C107" i="2"/>
  <c r="A108" i="2"/>
  <c r="B108" i="2"/>
  <c r="C108" i="2"/>
  <c r="C66" i="3"/>
  <c r="B66" i="3"/>
  <c r="A66" i="3"/>
  <c r="C55" i="3"/>
  <c r="B55" i="3"/>
  <c r="A55" i="3"/>
  <c r="A54" i="2"/>
  <c r="B54" i="2"/>
  <c r="C54" i="2"/>
  <c r="A163" i="3"/>
  <c r="B163" i="3"/>
  <c r="C163" i="3"/>
  <c r="B162" i="3"/>
  <c r="C162" i="3"/>
  <c r="A130" i="2"/>
  <c r="B130" i="2"/>
  <c r="C130" i="2"/>
  <c r="A141" i="2"/>
  <c r="B141" i="2"/>
  <c r="C141" i="2"/>
  <c r="A134" i="1"/>
  <c r="B134" i="1"/>
  <c r="C134" i="1"/>
  <c r="A135" i="1"/>
  <c r="B135" i="1"/>
  <c r="C135" i="1"/>
  <c r="A251" i="2"/>
  <c r="B251" i="2"/>
  <c r="C251" i="2"/>
  <c r="A252" i="2"/>
  <c r="B252" i="2"/>
  <c r="C252" i="2"/>
  <c r="A247" i="2"/>
  <c r="B247" i="2"/>
  <c r="C247" i="2"/>
  <c r="A248" i="2"/>
  <c r="B248" i="2"/>
  <c r="C248" i="2"/>
  <c r="A234" i="2"/>
  <c r="B234" i="2"/>
  <c r="C234" i="2"/>
  <c r="A236" i="2"/>
  <c r="B236" i="2"/>
  <c r="C236" i="2"/>
  <c r="A197" i="2"/>
  <c r="B197" i="2"/>
  <c r="C197" i="2"/>
  <c r="A198" i="2"/>
  <c r="B198" i="2"/>
  <c r="C198" i="2"/>
  <c r="A185" i="2"/>
  <c r="B185" i="2"/>
  <c r="C185" i="2"/>
  <c r="A186" i="2"/>
  <c r="B186" i="2"/>
  <c r="C186" i="2"/>
  <c r="A187" i="2"/>
  <c r="B187" i="2"/>
  <c r="C187" i="2"/>
  <c r="A155" i="2"/>
  <c r="B155" i="2"/>
  <c r="C155" i="2"/>
  <c r="A58" i="4"/>
  <c r="B58" i="4"/>
  <c r="C58" i="4"/>
  <c r="A72" i="2"/>
  <c r="B72" i="2"/>
  <c r="C72" i="2"/>
  <c r="A57" i="2"/>
  <c r="B57" i="2"/>
  <c r="C57" i="2"/>
  <c r="A80" i="2"/>
  <c r="B80" i="2"/>
  <c r="C80" i="2"/>
  <c r="A81" i="2"/>
  <c r="B81" i="2"/>
  <c r="C81" i="2"/>
  <c r="A73" i="2"/>
  <c r="B73" i="2"/>
  <c r="C73" i="2"/>
  <c r="A74" i="2"/>
  <c r="B74" i="2"/>
  <c r="C74" i="2"/>
  <c r="A75" i="2"/>
  <c r="B75" i="2"/>
  <c r="C75" i="2"/>
  <c r="A47" i="2"/>
  <c r="B47" i="2"/>
  <c r="C47" i="2"/>
  <c r="A35" i="2"/>
  <c r="B35" i="2"/>
  <c r="C35" i="2"/>
  <c r="A36" i="2"/>
  <c r="B36" i="2"/>
  <c r="C36" i="2"/>
  <c r="A37" i="2"/>
  <c r="B37" i="2"/>
  <c r="C37" i="2"/>
  <c r="A28" i="2"/>
  <c r="B28" i="2"/>
  <c r="C28" i="2"/>
  <c r="A15" i="2"/>
  <c r="B15" i="2"/>
  <c r="C15" i="2"/>
  <c r="A16" i="2"/>
  <c r="B16" i="2"/>
  <c r="C16" i="2"/>
  <c r="A192" i="3"/>
  <c r="B192" i="3"/>
  <c r="C192" i="3"/>
  <c r="A193" i="3"/>
  <c r="B193" i="3"/>
  <c r="C193" i="3"/>
  <c r="A194" i="3"/>
  <c r="B194" i="3"/>
  <c r="C194" i="3"/>
  <c r="A31" i="1"/>
  <c r="B31" i="1"/>
  <c r="C31" i="1"/>
  <c r="C38" i="11"/>
  <c r="B38" i="11"/>
  <c r="A38" i="11"/>
  <c r="A175" i="2"/>
  <c r="B175" i="2"/>
  <c r="C175" i="2"/>
  <c r="A152" i="1"/>
  <c r="B152" i="1"/>
  <c r="C152" i="1"/>
  <c r="A161" i="3"/>
  <c r="B161" i="3"/>
  <c r="C161" i="3"/>
  <c r="A66" i="2"/>
  <c r="B66" i="2"/>
  <c r="C66" i="2"/>
  <c r="A67" i="2"/>
  <c r="B67" i="2"/>
  <c r="C67" i="2"/>
  <c r="C151" i="3"/>
  <c r="B151" i="3"/>
  <c r="A151" i="3"/>
  <c r="A113" i="2"/>
  <c r="B113" i="2"/>
  <c r="C113" i="2"/>
  <c r="A112" i="2"/>
  <c r="B112" i="2"/>
  <c r="C112" i="2"/>
  <c r="C23" i="11"/>
  <c r="B23" i="11"/>
  <c r="A23" i="11"/>
  <c r="C80" i="11"/>
  <c r="B80" i="11"/>
  <c r="A80" i="11"/>
  <c r="C79" i="11"/>
  <c r="B79" i="11"/>
  <c r="A79" i="11"/>
  <c r="C78" i="11"/>
  <c r="B78" i="11"/>
  <c r="A78" i="11"/>
  <c r="C77" i="11"/>
  <c r="B77" i="11"/>
  <c r="A77" i="11"/>
  <c r="C76" i="11"/>
  <c r="B76" i="11"/>
  <c r="A76" i="11"/>
  <c r="C75" i="11"/>
  <c r="B75" i="11"/>
  <c r="A75" i="11"/>
  <c r="C74" i="11"/>
  <c r="B74" i="11"/>
  <c r="A74" i="11"/>
  <c r="C73" i="11"/>
  <c r="B73" i="11"/>
  <c r="A73" i="11"/>
  <c r="C72" i="11"/>
  <c r="B72" i="11"/>
  <c r="A72" i="11"/>
  <c r="C71" i="11"/>
  <c r="B71" i="11"/>
  <c r="A71" i="11"/>
  <c r="C70" i="11"/>
  <c r="B70" i="11"/>
  <c r="A70" i="11"/>
  <c r="C57" i="11"/>
  <c r="B57" i="11"/>
  <c r="A57" i="11"/>
  <c r="C49" i="11"/>
  <c r="B49" i="11"/>
  <c r="A49" i="11"/>
  <c r="C48" i="11"/>
  <c r="B48" i="11"/>
  <c r="A48" i="11"/>
  <c r="C37" i="11"/>
  <c r="B37" i="11"/>
  <c r="A37" i="11"/>
  <c r="C36" i="11"/>
  <c r="B36" i="11"/>
  <c r="A36" i="11"/>
  <c r="C35" i="11"/>
  <c r="B35" i="11"/>
  <c r="A35" i="11"/>
  <c r="C33" i="11"/>
  <c r="B33" i="11"/>
  <c r="A33" i="11"/>
  <c r="C31" i="11"/>
  <c r="B31" i="11"/>
  <c r="A31" i="11"/>
  <c r="C22" i="11"/>
  <c r="B22" i="11"/>
  <c r="A22" i="11"/>
  <c r="C21" i="11"/>
  <c r="B21" i="11"/>
  <c r="A21" i="11"/>
  <c r="C12" i="11"/>
  <c r="B12" i="11"/>
  <c r="A12" i="11"/>
  <c r="C11" i="11"/>
  <c r="B11" i="11"/>
  <c r="A11" i="11"/>
  <c r="C10" i="11"/>
  <c r="B10" i="11"/>
  <c r="A10" i="11"/>
  <c r="A214" i="2"/>
  <c r="B214" i="2"/>
  <c r="C214" i="2"/>
  <c r="A70" i="2"/>
  <c r="B70" i="2"/>
  <c r="C70" i="2"/>
  <c r="A50" i="2"/>
  <c r="B50" i="2"/>
  <c r="C50" i="2"/>
  <c r="A74" i="4"/>
  <c r="B74" i="4"/>
  <c r="C74" i="4"/>
  <c r="A53" i="2"/>
  <c r="B53" i="2"/>
  <c r="C53" i="2"/>
  <c r="A205" i="5"/>
  <c r="B205" i="5"/>
  <c r="C205" i="5"/>
  <c r="A44" i="2"/>
  <c r="B44" i="2"/>
  <c r="C44" i="2"/>
  <c r="A43" i="2"/>
  <c r="B43" i="2"/>
  <c r="C43" i="2"/>
  <c r="A194" i="2"/>
  <c r="B194" i="2"/>
  <c r="C194" i="2"/>
  <c r="C61" i="1"/>
  <c r="B61" i="1"/>
  <c r="A61" i="1"/>
  <c r="C161" i="2"/>
  <c r="B161" i="2"/>
  <c r="A161" i="2"/>
  <c r="A169" i="1"/>
  <c r="B169" i="1"/>
  <c r="C169" i="1"/>
  <c r="C205" i="1"/>
  <c r="B205" i="1"/>
  <c r="A205" i="1"/>
  <c r="C111" i="2"/>
  <c r="B111" i="2"/>
  <c r="A111" i="2"/>
  <c r="C110" i="2"/>
  <c r="B110" i="2"/>
  <c r="A110" i="2"/>
  <c r="C109" i="2"/>
  <c r="B109" i="2"/>
  <c r="A109" i="2"/>
  <c r="C119" i="1"/>
  <c r="B119" i="1"/>
  <c r="A119" i="1"/>
  <c r="C116" i="1"/>
  <c r="B116" i="1"/>
  <c r="A116" i="1"/>
  <c r="C115" i="1"/>
  <c r="B115" i="1"/>
  <c r="A115" i="1"/>
  <c r="C118" i="1"/>
  <c r="B118" i="1"/>
  <c r="A118" i="1"/>
  <c r="C114" i="1"/>
  <c r="B114" i="1"/>
  <c r="A114" i="1"/>
  <c r="C117" i="1"/>
  <c r="B117" i="1"/>
  <c r="A117" i="1"/>
  <c r="C113" i="1"/>
  <c r="B113" i="1"/>
  <c r="A113" i="1"/>
  <c r="C109" i="1"/>
  <c r="B109" i="1"/>
  <c r="A109" i="1"/>
  <c r="C112" i="1"/>
  <c r="B112" i="1"/>
  <c r="A112" i="1"/>
  <c r="C111" i="1"/>
  <c r="B111" i="1"/>
  <c r="A111" i="1"/>
  <c r="C108" i="1"/>
  <c r="B108" i="1"/>
  <c r="A108" i="1"/>
  <c r="C107" i="1"/>
  <c r="B107" i="1"/>
  <c r="A107" i="1"/>
  <c r="C106" i="1"/>
  <c r="B106" i="1"/>
  <c r="A106" i="1"/>
  <c r="C105" i="1"/>
  <c r="B105" i="1"/>
  <c r="A105" i="1"/>
  <c r="C104" i="1"/>
  <c r="B104" i="1"/>
  <c r="A104" i="1"/>
  <c r="C103" i="1"/>
  <c r="B103" i="1"/>
  <c r="A103" i="1"/>
  <c r="C102" i="1"/>
  <c r="B102" i="1"/>
  <c r="A102" i="1"/>
  <c r="C101" i="1"/>
  <c r="B101" i="1"/>
  <c r="A101" i="1"/>
  <c r="C100" i="1"/>
  <c r="B100" i="1"/>
  <c r="A100" i="1"/>
  <c r="C99" i="1"/>
  <c r="B99" i="1"/>
  <c r="A99" i="1"/>
  <c r="C98" i="1"/>
  <c r="B98" i="1"/>
  <c r="A98" i="1"/>
  <c r="C53" i="1"/>
  <c r="B53" i="1"/>
  <c r="A53" i="1"/>
  <c r="C212" i="1"/>
  <c r="B212" i="1"/>
  <c r="A212" i="1"/>
  <c r="C211" i="1"/>
  <c r="B211" i="1"/>
  <c r="A211" i="1"/>
  <c r="C210" i="1"/>
  <c r="B210" i="1"/>
  <c r="A210" i="1"/>
  <c r="C209" i="1"/>
  <c r="B209" i="1"/>
  <c r="A209" i="1"/>
  <c r="C208" i="1"/>
  <c r="B208" i="1"/>
  <c r="A208" i="1"/>
  <c r="C204" i="1"/>
  <c r="B204" i="1"/>
  <c r="A204" i="1"/>
  <c r="C50" i="1"/>
  <c r="B50" i="1"/>
  <c r="A50" i="1"/>
  <c r="C47" i="1"/>
  <c r="B47" i="1"/>
  <c r="A47" i="1"/>
  <c r="C133" i="1"/>
  <c r="B133" i="1"/>
  <c r="A133" i="1"/>
  <c r="C132" i="1"/>
  <c r="B132" i="1"/>
  <c r="A132" i="1"/>
  <c r="C144" i="1"/>
  <c r="B144" i="1"/>
  <c r="A144" i="1"/>
  <c r="C137" i="1"/>
  <c r="B137" i="1"/>
  <c r="A137" i="1"/>
  <c r="C202" i="1"/>
  <c r="B202" i="1"/>
  <c r="A202" i="1"/>
  <c r="C201" i="1"/>
  <c r="B201" i="1"/>
  <c r="A201" i="1"/>
  <c r="C187" i="1"/>
  <c r="B187" i="1"/>
  <c r="A187" i="1"/>
  <c r="C16" i="1"/>
  <c r="B16" i="1"/>
  <c r="A16" i="1"/>
  <c r="A230" i="1" l="1"/>
  <c r="B230" i="1"/>
  <c r="C230" i="1"/>
  <c r="A231" i="1"/>
  <c r="B231" i="1"/>
  <c r="C231" i="1"/>
  <c r="A205" i="2"/>
  <c r="B205" i="2"/>
  <c r="C205" i="2"/>
  <c r="C88" i="1" l="1"/>
  <c r="B88" i="1"/>
  <c r="A88" i="1"/>
  <c r="C26" i="1" l="1"/>
  <c r="B26" i="1"/>
  <c r="A26" i="1"/>
  <c r="C229" i="1"/>
  <c r="B229" i="1"/>
  <c r="A229" i="1"/>
  <c r="A178" i="1"/>
  <c r="B178" i="1"/>
  <c r="C178" i="1"/>
  <c r="A179" i="1"/>
  <c r="B179" i="1"/>
  <c r="C179" i="1"/>
  <c r="A48" i="1"/>
  <c r="B48" i="1"/>
  <c r="C48" i="1"/>
  <c r="A143" i="1" l="1"/>
  <c r="B143" i="1"/>
  <c r="C143" i="1"/>
  <c r="C122" i="2"/>
  <c r="B122" i="2"/>
  <c r="A122" i="2"/>
  <c r="C121" i="2"/>
  <c r="B121" i="2"/>
  <c r="A121" i="2"/>
  <c r="A205" i="4"/>
  <c r="B205" i="4"/>
  <c r="C205" i="4"/>
  <c r="C54" i="6"/>
  <c r="B54" i="6"/>
  <c r="A54" i="6"/>
  <c r="A181" i="1"/>
  <c r="B181" i="1"/>
  <c r="C181" i="1"/>
  <c r="A190" i="1"/>
  <c r="B190" i="1"/>
  <c r="C190" i="1"/>
  <c r="A213" i="1"/>
  <c r="B213" i="1"/>
  <c r="C213" i="1"/>
  <c r="A214" i="1"/>
  <c r="B214" i="1"/>
  <c r="C214" i="1"/>
  <c r="A182" i="1"/>
  <c r="B182" i="1"/>
  <c r="C182" i="1"/>
  <c r="A191" i="1"/>
  <c r="B191" i="1"/>
  <c r="C191" i="1"/>
  <c r="A161" i="1"/>
  <c r="B161" i="1"/>
  <c r="C161" i="1"/>
  <c r="A162" i="1"/>
  <c r="B162" i="1"/>
  <c r="C162" i="1"/>
  <c r="A166" i="3"/>
  <c r="B166" i="3"/>
  <c r="C166" i="3"/>
  <c r="A156" i="2"/>
  <c r="B156" i="2"/>
  <c r="C156" i="2"/>
  <c r="A164" i="2"/>
  <c r="B164" i="2"/>
  <c r="C164" i="2"/>
  <c r="A151" i="1"/>
  <c r="B151" i="1"/>
  <c r="C151" i="1"/>
  <c r="A91" i="1"/>
  <c r="B91" i="1"/>
  <c r="C91" i="1"/>
  <c r="A41" i="1" l="1"/>
  <c r="B41" i="1"/>
  <c r="C41" i="1"/>
  <c r="A19" i="1"/>
  <c r="B19" i="1"/>
  <c r="C19" i="1"/>
  <c r="A27" i="2"/>
  <c r="B27" i="2"/>
  <c r="C27" i="2"/>
  <c r="A194" i="1"/>
  <c r="B194" i="1"/>
  <c r="C194" i="1"/>
  <c r="A139" i="2"/>
  <c r="B139" i="2"/>
  <c r="C139" i="2"/>
  <c r="A140" i="2"/>
  <c r="B140" i="2"/>
  <c r="C140" i="2"/>
  <c r="A146" i="2"/>
  <c r="B146" i="2"/>
  <c r="C146" i="2"/>
  <c r="C124" i="3"/>
  <c r="B124" i="3"/>
  <c r="A124" i="3"/>
  <c r="A172" i="1"/>
  <c r="B172" i="1"/>
  <c r="C172" i="1"/>
  <c r="A166" i="1"/>
  <c r="B166" i="1"/>
  <c r="C166" i="1"/>
  <c r="A150" i="1"/>
  <c r="B150" i="1"/>
  <c r="C150" i="1"/>
  <c r="A155" i="1"/>
  <c r="B155" i="1"/>
  <c r="C155" i="1"/>
  <c r="A76" i="1"/>
  <c r="B76" i="1"/>
  <c r="C76" i="1"/>
  <c r="A77" i="1"/>
  <c r="B77" i="1"/>
  <c r="C77" i="1"/>
  <c r="A74" i="1"/>
  <c r="B74" i="1"/>
  <c r="C74" i="1"/>
  <c r="A75" i="1"/>
  <c r="B75" i="1"/>
  <c r="C75" i="1"/>
  <c r="A125" i="1"/>
  <c r="B125" i="1"/>
  <c r="C125" i="1"/>
  <c r="A64" i="1"/>
  <c r="B64" i="1"/>
  <c r="C64" i="1"/>
  <c r="A41" i="2"/>
  <c r="B41" i="2"/>
  <c r="C41" i="2"/>
  <c r="A42" i="2"/>
  <c r="B42" i="2"/>
  <c r="C42" i="2"/>
  <c r="A51" i="2"/>
  <c r="B51" i="2"/>
  <c r="C51" i="2"/>
  <c r="A86" i="1"/>
  <c r="B86" i="1"/>
  <c r="C86" i="1"/>
  <c r="A63" i="1"/>
  <c r="B63" i="1"/>
  <c r="C63" i="1"/>
  <c r="A22" i="1"/>
  <c r="B22" i="1"/>
  <c r="C22" i="1"/>
  <c r="A71" i="1"/>
  <c r="C71" i="1"/>
  <c r="A23" i="1"/>
  <c r="B23" i="1"/>
  <c r="C23" i="1"/>
  <c r="A18" i="2"/>
  <c r="B18" i="2"/>
  <c r="C18" i="2"/>
  <c r="C18" i="1"/>
  <c r="B18" i="1"/>
  <c r="A18" i="1"/>
  <c r="C30" i="1"/>
  <c r="B30" i="1"/>
  <c r="A30" i="1"/>
  <c r="C29" i="1"/>
  <c r="B29" i="1"/>
  <c r="A29" i="1"/>
  <c r="C28" i="1"/>
  <c r="B28" i="1"/>
  <c r="A28" i="1"/>
  <c r="C140" i="1" l="1"/>
  <c r="B140" i="1"/>
  <c r="A140" i="1"/>
  <c r="C200" i="1"/>
  <c r="B200" i="1"/>
  <c r="A200" i="1"/>
  <c r="C38" i="1"/>
  <c r="B38" i="1"/>
  <c r="A38" i="1"/>
  <c r="C117" i="2"/>
  <c r="B117" i="2"/>
  <c r="A117" i="2"/>
  <c r="C122" i="1"/>
  <c r="B122" i="1"/>
  <c r="A122" i="1"/>
  <c r="C68" i="1"/>
  <c r="B68" i="1"/>
  <c r="A68" i="1"/>
  <c r="C67" i="1"/>
  <c r="B67" i="1"/>
  <c r="A67" i="1"/>
  <c r="C56" i="1"/>
  <c r="B56" i="1"/>
  <c r="A56" i="1"/>
  <c r="C78" i="1"/>
  <c r="B78" i="1"/>
  <c r="A78" i="1"/>
  <c r="C199" i="1"/>
  <c r="B199" i="1"/>
  <c r="A199" i="1"/>
  <c r="C55" i="1"/>
  <c r="B55" i="1"/>
  <c r="A55" i="1"/>
  <c r="C57" i="1"/>
  <c r="B57" i="1"/>
  <c r="A57" i="1"/>
  <c r="C163" i="1"/>
  <c r="B163" i="1"/>
  <c r="A163" i="1"/>
  <c r="A198" i="1"/>
  <c r="B198" i="1"/>
  <c r="C198" i="1"/>
  <c r="A87" i="2"/>
  <c r="B87" i="2"/>
  <c r="C87" i="2"/>
  <c r="D222" i="2"/>
  <c r="C42" i="11"/>
  <c r="B42" i="11"/>
  <c r="A42" i="11"/>
  <c r="C41" i="11"/>
  <c r="B41" i="11"/>
  <c r="A41" i="11"/>
  <c r="C70" i="7"/>
  <c r="B70" i="7"/>
  <c r="A70" i="7"/>
  <c r="C69" i="7"/>
  <c r="B69" i="7"/>
  <c r="A69" i="7"/>
  <c r="D57" i="7"/>
  <c r="C55" i="7"/>
  <c r="B55" i="7"/>
  <c r="A55" i="7"/>
  <c r="C54" i="7"/>
  <c r="B54" i="7"/>
  <c r="A54" i="7"/>
  <c r="C48" i="7"/>
  <c r="B48" i="7"/>
  <c r="A48" i="7"/>
  <c r="C47" i="7"/>
  <c r="B47" i="7"/>
  <c r="A47" i="7"/>
  <c r="C41" i="7"/>
  <c r="B41" i="7"/>
  <c r="A41" i="7"/>
  <c r="C40" i="7"/>
  <c r="B40" i="7"/>
  <c r="A40" i="7"/>
  <c r="C34" i="7"/>
  <c r="B34" i="7"/>
  <c r="A34" i="7"/>
  <c r="C16" i="7"/>
  <c r="B16" i="7"/>
  <c r="A16" i="7"/>
  <c r="C15" i="7"/>
  <c r="B15" i="7"/>
  <c r="A15" i="7"/>
  <c r="C185" i="6"/>
  <c r="B185" i="6"/>
  <c r="A185" i="6"/>
  <c r="C182" i="6"/>
  <c r="B182" i="6"/>
  <c r="A182" i="6"/>
  <c r="C181" i="6"/>
  <c r="B181" i="6"/>
  <c r="A181" i="6"/>
  <c r="C178" i="6"/>
  <c r="B178" i="6"/>
  <c r="A178" i="6"/>
  <c r="C177" i="6"/>
  <c r="B177" i="6"/>
  <c r="A177" i="6"/>
  <c r="C174" i="6"/>
  <c r="B174" i="6"/>
  <c r="A174" i="6"/>
  <c r="C173" i="6"/>
  <c r="B173" i="6"/>
  <c r="A173" i="6"/>
  <c r="D161" i="6"/>
  <c r="C159" i="6"/>
  <c r="B159" i="6"/>
  <c r="A159" i="6"/>
  <c r="C156" i="6"/>
  <c r="B156" i="6"/>
  <c r="A156" i="6"/>
  <c r="C155" i="6"/>
  <c r="B155" i="6"/>
  <c r="A155" i="6"/>
  <c r="C152" i="6"/>
  <c r="B152" i="6"/>
  <c r="A152" i="6"/>
  <c r="C148" i="6"/>
  <c r="B148" i="6"/>
  <c r="A148" i="6"/>
  <c r="C145" i="6"/>
  <c r="B145" i="6"/>
  <c r="A145" i="6"/>
  <c r="C144" i="6"/>
  <c r="B144" i="6"/>
  <c r="A144" i="6"/>
  <c r="C141" i="6"/>
  <c r="B141" i="6"/>
  <c r="A141" i="6"/>
  <c r="C138" i="6"/>
  <c r="B138" i="6"/>
  <c r="A138" i="6"/>
  <c r="C136" i="6"/>
  <c r="B136" i="6"/>
  <c r="A136" i="6"/>
  <c r="C129" i="6"/>
  <c r="B129" i="6"/>
  <c r="A129" i="6"/>
  <c r="C126" i="6"/>
  <c r="B126" i="6"/>
  <c r="A126" i="6"/>
  <c r="C125" i="6"/>
  <c r="B125" i="6"/>
  <c r="A125" i="6"/>
  <c r="C122" i="6"/>
  <c r="B122" i="6"/>
  <c r="A122" i="6"/>
  <c r="C121" i="6"/>
  <c r="B121" i="6"/>
  <c r="A121" i="6"/>
  <c r="C118" i="6"/>
  <c r="B118" i="6"/>
  <c r="A118" i="6"/>
  <c r="C117" i="6"/>
  <c r="B117" i="6"/>
  <c r="A117" i="6"/>
  <c r="C114" i="6"/>
  <c r="B114" i="6"/>
  <c r="A114" i="6"/>
  <c r="C113" i="6"/>
  <c r="B113" i="6"/>
  <c r="A113" i="6"/>
  <c r="C112" i="6"/>
  <c r="B112" i="6"/>
  <c r="A112" i="6"/>
  <c r="C105" i="6"/>
  <c r="B105" i="6"/>
  <c r="A105" i="6"/>
  <c r="C102" i="6"/>
  <c r="B102" i="6"/>
  <c r="A102" i="6"/>
  <c r="C101" i="6"/>
  <c r="B101" i="6"/>
  <c r="A101" i="6"/>
  <c r="C97" i="6"/>
  <c r="B97" i="6"/>
  <c r="A97" i="6"/>
  <c r="C96" i="6"/>
  <c r="B96" i="6"/>
  <c r="A96" i="6"/>
  <c r="C95" i="6"/>
  <c r="B95" i="6"/>
  <c r="A95" i="6"/>
  <c r="C88" i="6"/>
  <c r="B88" i="6"/>
  <c r="A88" i="6"/>
  <c r="C87" i="6"/>
  <c r="B87" i="6"/>
  <c r="A87" i="6"/>
  <c r="C86" i="6"/>
  <c r="B86" i="6"/>
  <c r="A86" i="6"/>
  <c r="C83" i="6"/>
  <c r="B83" i="6"/>
  <c r="A83" i="6"/>
  <c r="C82" i="6"/>
  <c r="B82" i="6"/>
  <c r="A82" i="6"/>
  <c r="C81" i="6"/>
  <c r="B81" i="6"/>
  <c r="A81" i="6"/>
  <c r="C75" i="6"/>
  <c r="B75" i="6"/>
  <c r="A75" i="6"/>
  <c r="C72" i="6"/>
  <c r="B72" i="6"/>
  <c r="A72" i="6"/>
  <c r="C71" i="6"/>
  <c r="B71" i="6"/>
  <c r="A71" i="6"/>
  <c r="C70" i="6"/>
  <c r="B70" i="6"/>
  <c r="A70" i="6"/>
  <c r="C62" i="6"/>
  <c r="B62" i="6"/>
  <c r="A62" i="6"/>
  <c r="C61" i="6"/>
  <c r="B61" i="6"/>
  <c r="A61" i="6"/>
  <c r="C66" i="6"/>
  <c r="B66" i="6"/>
  <c r="A66" i="6"/>
  <c r="C65" i="6"/>
  <c r="B65" i="6"/>
  <c r="A65" i="6"/>
  <c r="C56" i="6"/>
  <c r="B56" i="6"/>
  <c r="A56" i="6"/>
  <c r="C55" i="6"/>
  <c r="B55" i="6"/>
  <c r="A55" i="6"/>
  <c r="C44" i="6"/>
  <c r="B44" i="6"/>
  <c r="A44" i="6"/>
  <c r="C41" i="6"/>
  <c r="B41" i="6"/>
  <c r="A41" i="6"/>
  <c r="C40" i="6"/>
  <c r="B40" i="6"/>
  <c r="A40" i="6"/>
  <c r="C39" i="6"/>
  <c r="B39" i="6"/>
  <c r="A39" i="6"/>
  <c r="C36" i="6"/>
  <c r="B36" i="6"/>
  <c r="A36" i="6"/>
  <c r="C35" i="6"/>
  <c r="B35" i="6"/>
  <c r="A35" i="6"/>
  <c r="C34" i="6"/>
  <c r="B34" i="6"/>
  <c r="A34" i="6"/>
  <c r="C29" i="6"/>
  <c r="B29" i="6"/>
  <c r="A29" i="6"/>
  <c r="C28" i="6"/>
  <c r="B28" i="6"/>
  <c r="A28" i="6"/>
  <c r="C27" i="6"/>
  <c r="B27" i="6"/>
  <c r="A27" i="6"/>
  <c r="C52" i="6"/>
  <c r="B52" i="6"/>
  <c r="A52" i="6"/>
  <c r="C274" i="5"/>
  <c r="B274" i="5"/>
  <c r="A274" i="5"/>
  <c r="C270" i="5"/>
  <c r="B270" i="5"/>
  <c r="A270" i="5"/>
  <c r="C271" i="5"/>
  <c r="B271" i="5"/>
  <c r="A271" i="5"/>
  <c r="D236" i="5"/>
  <c r="C226" i="5"/>
  <c r="B226" i="5"/>
  <c r="A226" i="5"/>
  <c r="C225" i="5"/>
  <c r="B225" i="5"/>
  <c r="A225" i="5"/>
  <c r="C222" i="5"/>
  <c r="B222" i="5"/>
  <c r="A222" i="5"/>
  <c r="C221" i="5"/>
  <c r="B221" i="5"/>
  <c r="A221" i="5"/>
  <c r="C203" i="5"/>
  <c r="B203" i="5"/>
  <c r="A203" i="5"/>
  <c r="C193" i="5"/>
  <c r="B193" i="5"/>
  <c r="A193" i="5"/>
  <c r="C187" i="5"/>
  <c r="B187" i="5"/>
  <c r="A187" i="5"/>
  <c r="C186" i="5"/>
  <c r="B186" i="5"/>
  <c r="A186" i="5"/>
  <c r="C182" i="5"/>
  <c r="B182" i="5"/>
  <c r="A182" i="5"/>
  <c r="C181" i="5"/>
  <c r="B181" i="5"/>
  <c r="A181" i="5"/>
  <c r="C179" i="5"/>
  <c r="B179" i="5"/>
  <c r="A179" i="5"/>
  <c r="C175" i="5"/>
  <c r="B175" i="5"/>
  <c r="A175" i="5"/>
  <c r="C180" i="5"/>
  <c r="B180" i="5"/>
  <c r="A180" i="5"/>
  <c r="C148" i="5"/>
  <c r="B148" i="5"/>
  <c r="A148" i="5"/>
  <c r="C141" i="5"/>
  <c r="B141" i="5"/>
  <c r="A141" i="5"/>
  <c r="C140" i="5"/>
  <c r="B140" i="5"/>
  <c r="A140" i="5"/>
  <c r="C137" i="5"/>
  <c r="B137" i="5"/>
  <c r="A137" i="5"/>
  <c r="C134" i="5"/>
  <c r="B134" i="5"/>
  <c r="A134" i="5"/>
  <c r="C133" i="5"/>
  <c r="B133" i="5"/>
  <c r="A133" i="5"/>
  <c r="C129" i="5"/>
  <c r="B129" i="5"/>
  <c r="A129" i="5"/>
  <c r="C126" i="5"/>
  <c r="B126" i="5"/>
  <c r="A126" i="5"/>
  <c r="C123" i="5"/>
  <c r="B123" i="5"/>
  <c r="A123" i="5"/>
  <c r="C118" i="5"/>
  <c r="B118" i="5"/>
  <c r="A118" i="5"/>
  <c r="C115" i="5"/>
  <c r="B115" i="5"/>
  <c r="A115" i="5"/>
  <c r="C105" i="5"/>
  <c r="B105" i="5"/>
  <c r="A105" i="5"/>
  <c r="C89" i="5"/>
  <c r="B89" i="5"/>
  <c r="A89" i="5"/>
  <c r="C80" i="5"/>
  <c r="B80" i="5"/>
  <c r="A80" i="5"/>
  <c r="C76" i="5"/>
  <c r="B76" i="5"/>
  <c r="A76" i="5"/>
  <c r="C66" i="5"/>
  <c r="B66" i="5"/>
  <c r="A66" i="5"/>
  <c r="C48" i="5"/>
  <c r="B48" i="5"/>
  <c r="A48" i="5"/>
  <c r="C45" i="5"/>
  <c r="B45" i="5"/>
  <c r="A45" i="5"/>
  <c r="C44" i="5"/>
  <c r="B44" i="5"/>
  <c r="A44" i="5"/>
  <c r="C41" i="5"/>
  <c r="B41" i="5"/>
  <c r="A41" i="5"/>
  <c r="C40" i="5"/>
  <c r="B40" i="5"/>
  <c r="A40" i="5"/>
  <c r="C35" i="5"/>
  <c r="B35" i="5"/>
  <c r="A35" i="5"/>
  <c r="C34" i="5"/>
  <c r="B34" i="5"/>
  <c r="A34" i="5"/>
  <c r="C23" i="5"/>
  <c r="B23" i="5"/>
  <c r="A23" i="5"/>
  <c r="C255" i="4"/>
  <c r="B255" i="4"/>
  <c r="A255" i="4"/>
  <c r="C254" i="4"/>
  <c r="B254" i="4"/>
  <c r="A254" i="4"/>
  <c r="C235" i="4"/>
  <c r="B235" i="4"/>
  <c r="A235" i="4"/>
  <c r="D220" i="4"/>
  <c r="C204" i="4"/>
  <c r="B204" i="4"/>
  <c r="A204" i="4"/>
  <c r="C172" i="4"/>
  <c r="B172" i="4"/>
  <c r="A172" i="4"/>
  <c r="C168" i="4"/>
  <c r="B168" i="4"/>
  <c r="A168" i="4"/>
  <c r="C140" i="4"/>
  <c r="B140" i="4"/>
  <c r="A140" i="4"/>
  <c r="C139" i="4"/>
  <c r="B139" i="4"/>
  <c r="A139" i="4"/>
  <c r="C138" i="4"/>
  <c r="B138" i="4"/>
  <c r="A138" i="4"/>
  <c r="C130" i="4"/>
  <c r="B130" i="4"/>
  <c r="A130" i="4"/>
  <c r="C129" i="4"/>
  <c r="B129" i="4"/>
  <c r="A129" i="4"/>
  <c r="C119" i="4"/>
  <c r="B119" i="4"/>
  <c r="A119" i="4"/>
  <c r="C118" i="4"/>
  <c r="B118" i="4"/>
  <c r="A118" i="4"/>
  <c r="C96" i="4"/>
  <c r="B96" i="4"/>
  <c r="A96" i="4"/>
  <c r="C91" i="4"/>
  <c r="B91" i="4"/>
  <c r="A91" i="4"/>
  <c r="C81" i="4"/>
  <c r="B81" i="4"/>
  <c r="A81" i="4"/>
  <c r="C59" i="4"/>
  <c r="B59" i="4"/>
  <c r="A59" i="4"/>
  <c r="C43" i="4"/>
  <c r="B43" i="4"/>
  <c r="A43" i="4"/>
  <c r="C34" i="4"/>
  <c r="B34" i="4"/>
  <c r="A34" i="4"/>
  <c r="C17" i="4"/>
  <c r="B17" i="4"/>
  <c r="A17" i="4"/>
  <c r="C27" i="4"/>
  <c r="B27" i="4"/>
  <c r="A27" i="4"/>
  <c r="C26" i="4"/>
  <c r="B26" i="4"/>
  <c r="A26" i="4"/>
  <c r="C257" i="3"/>
  <c r="B257" i="3"/>
  <c r="A257" i="3"/>
  <c r="C254" i="3"/>
  <c r="B254" i="3"/>
  <c r="A254" i="3"/>
  <c r="C251" i="3"/>
  <c r="B251" i="3"/>
  <c r="A251" i="3"/>
  <c r="C236" i="3"/>
  <c r="B236" i="3"/>
  <c r="A236" i="3"/>
  <c r="D222" i="3"/>
  <c r="C170" i="3"/>
  <c r="B170" i="3"/>
  <c r="A170" i="3"/>
  <c r="C217" i="3"/>
  <c r="B217" i="3"/>
  <c r="A217" i="3"/>
  <c r="C211" i="3"/>
  <c r="B211" i="3"/>
  <c r="A211" i="3"/>
  <c r="C154" i="3"/>
  <c r="B154" i="3"/>
  <c r="A154" i="3"/>
  <c r="C175" i="3"/>
  <c r="B175" i="3"/>
  <c r="A175" i="3"/>
  <c r="C172" i="3"/>
  <c r="B172" i="3"/>
  <c r="A172" i="3"/>
  <c r="A162" i="3"/>
  <c r="C158" i="3"/>
  <c r="B158" i="3"/>
  <c r="A158" i="3"/>
  <c r="C143" i="3"/>
  <c r="B143" i="3"/>
  <c r="C130" i="3"/>
  <c r="B130" i="3"/>
  <c r="A130" i="3"/>
  <c r="C125" i="3"/>
  <c r="B125" i="3"/>
  <c r="A125" i="3"/>
  <c r="C115" i="3"/>
  <c r="B115" i="3"/>
  <c r="A115" i="3"/>
  <c r="C101" i="3"/>
  <c r="B101" i="3"/>
  <c r="A101" i="3"/>
  <c r="C97" i="3"/>
  <c r="B97" i="3"/>
  <c r="A97" i="3"/>
  <c r="C78" i="3"/>
  <c r="B78" i="3"/>
  <c r="A78" i="3"/>
  <c r="C74" i="3"/>
  <c r="B74" i="3"/>
  <c r="A74" i="3"/>
  <c r="C116" i="3"/>
  <c r="B116" i="3"/>
  <c r="A116" i="3"/>
  <c r="C52" i="3"/>
  <c r="B52" i="3"/>
  <c r="A52" i="3"/>
  <c r="C36" i="3"/>
  <c r="B36" i="3"/>
  <c r="A36" i="3"/>
  <c r="C35" i="3"/>
  <c r="B35" i="3"/>
  <c r="A35" i="3"/>
  <c r="C30" i="3"/>
  <c r="B30" i="3"/>
  <c r="A30" i="3"/>
  <c r="C29" i="3"/>
  <c r="B29" i="3"/>
  <c r="A29" i="3"/>
  <c r="C22" i="3"/>
  <c r="B22" i="3"/>
  <c r="A22" i="3"/>
  <c r="C18" i="3"/>
  <c r="B18" i="3"/>
  <c r="A18" i="3"/>
  <c r="C19" i="3"/>
  <c r="B19" i="3"/>
  <c r="A19" i="3"/>
  <c r="C220" i="2"/>
  <c r="B220" i="2"/>
  <c r="A220" i="2"/>
  <c r="C213" i="2"/>
  <c r="B213" i="2"/>
  <c r="A213" i="2"/>
  <c r="C210" i="2"/>
  <c r="B210" i="2"/>
  <c r="A210" i="2"/>
  <c r="C61" i="2"/>
  <c r="B61" i="2"/>
  <c r="A61" i="2"/>
  <c r="C60" i="2"/>
  <c r="B60" i="2"/>
  <c r="A60" i="2"/>
  <c r="C202" i="2"/>
  <c r="B202" i="2"/>
  <c r="A202" i="2"/>
  <c r="C189" i="2"/>
  <c r="B189" i="2"/>
  <c r="A189" i="2"/>
  <c r="C172" i="2"/>
  <c r="B172" i="2"/>
  <c r="A172" i="2"/>
  <c r="C169" i="2"/>
  <c r="B169" i="2"/>
  <c r="A169" i="2"/>
  <c r="C157" i="2"/>
  <c r="B157" i="2"/>
  <c r="A157" i="2"/>
  <c r="C138" i="2"/>
  <c r="B138" i="2"/>
  <c r="A138" i="2"/>
  <c r="C137" i="2"/>
  <c r="B137" i="2"/>
  <c r="A137" i="2"/>
  <c r="C134" i="2"/>
  <c r="B134" i="2"/>
  <c r="A134" i="2"/>
  <c r="C127" i="2"/>
  <c r="B127" i="2"/>
  <c r="A127" i="2"/>
  <c r="C126" i="2"/>
  <c r="B126" i="2"/>
  <c r="A126" i="2"/>
  <c r="C93" i="2"/>
  <c r="B93" i="2"/>
  <c r="A93" i="2"/>
  <c r="C84" i="2"/>
  <c r="B84" i="2"/>
  <c r="A84" i="2"/>
  <c r="C65" i="2"/>
  <c r="B65" i="2"/>
  <c r="A65" i="2"/>
  <c r="C52" i="2"/>
  <c r="B52" i="2"/>
  <c r="A52" i="2"/>
  <c r="C92" i="1"/>
  <c r="B92" i="1"/>
  <c r="A92" i="1"/>
  <c r="C59" i="11"/>
  <c r="B59" i="11"/>
  <c r="A59" i="11"/>
  <c r="C58" i="11"/>
  <c r="B58" i="11"/>
  <c r="A58" i="11"/>
  <c r="C197" i="1"/>
  <c r="B197" i="1"/>
  <c r="A197" i="1"/>
  <c r="C186" i="1"/>
  <c r="B186" i="1"/>
  <c r="A186" i="1"/>
  <c r="C180" i="1"/>
  <c r="B180" i="1"/>
  <c r="A180" i="1"/>
  <c r="C82" i="11"/>
  <c r="B82" i="11"/>
  <c r="A82" i="11"/>
  <c r="C81" i="11"/>
  <c r="B81" i="11"/>
  <c r="A81" i="11"/>
  <c r="D61" i="11"/>
  <c r="C51" i="11"/>
  <c r="B51" i="11"/>
  <c r="A51" i="11"/>
  <c r="C50" i="11"/>
  <c r="B50" i="11"/>
  <c r="A50" i="11"/>
  <c r="C25" i="11"/>
  <c r="B25" i="11"/>
  <c r="A25" i="11"/>
  <c r="C24" i="11"/>
  <c r="B24" i="11"/>
  <c r="A24" i="11"/>
  <c r="C13" i="11"/>
  <c r="B13" i="11"/>
  <c r="A13" i="11"/>
  <c r="B54" i="1"/>
  <c r="C54" i="1"/>
  <c r="C239" i="1"/>
  <c r="B239" i="1"/>
  <c r="A239" i="1"/>
  <c r="C238" i="1"/>
  <c r="B238" i="1"/>
  <c r="A238" i="1"/>
  <c r="C235" i="1"/>
  <c r="B235" i="1"/>
  <c r="A235" i="1"/>
  <c r="C234" i="1"/>
  <c r="B234" i="1"/>
  <c r="A234" i="1"/>
  <c r="C228" i="1"/>
  <c r="B228" i="1"/>
  <c r="A228" i="1"/>
  <c r="C203" i="1"/>
  <c r="B203" i="1"/>
  <c r="A203" i="1"/>
  <c r="C158" i="1"/>
  <c r="B158" i="1"/>
  <c r="A158" i="1"/>
  <c r="C183" i="1"/>
  <c r="B183" i="1"/>
  <c r="A183" i="1"/>
  <c r="C87" i="1"/>
  <c r="B87" i="1"/>
  <c r="A87" i="1"/>
  <c r="C79" i="1"/>
  <c r="B79" i="1"/>
  <c r="A79" i="1"/>
  <c r="C49" i="1"/>
  <c r="B49" i="1"/>
  <c r="A49" i="1"/>
  <c r="C62" i="1"/>
  <c r="B62" i="1"/>
  <c r="A62" i="1"/>
  <c r="C60" i="1"/>
  <c r="B60" i="1"/>
  <c r="A60" i="1"/>
  <c r="C34" i="1"/>
  <c r="B34" i="1"/>
  <c r="A34" i="1"/>
  <c r="C83" i="1"/>
  <c r="B83" i="1"/>
  <c r="A83" i="1"/>
  <c r="C82" i="1"/>
  <c r="B82" i="1"/>
  <c r="A82" i="1"/>
  <c r="C27" i="1"/>
  <c r="B27" i="1"/>
  <c r="A27" i="1"/>
  <c r="C17" i="1"/>
  <c r="B17" i="1"/>
  <c r="A17" i="1"/>
  <c r="A54" i="1"/>
  <c r="D216" i="1" l="1"/>
</calcChain>
</file>

<file path=xl/sharedStrings.xml><?xml version="1.0" encoding="utf-8"?>
<sst xmlns="http://schemas.openxmlformats.org/spreadsheetml/2006/main" count="14013" uniqueCount="1910">
  <si>
    <t>BuildCare SCHEDULE MONDAY, AUGUST 31 / 2026</t>
  </si>
  <si>
    <r>
      <t>SUPERVISOR ON CALL NJ</t>
    </r>
    <r>
      <rPr>
        <sz val="20"/>
        <rFont val="Calibri"/>
        <family val="2"/>
        <scheme val="minor"/>
      </rPr>
      <t>: Sebastian Lopez  (551) 202-4443  jlopez@build-care.com</t>
    </r>
  </si>
  <si>
    <r>
      <t>CREWS ASSIGNED BY DEFAULT ON CALL:</t>
    </r>
    <r>
      <rPr>
        <sz val="20"/>
        <rFont val="Calibri"/>
        <family val="2"/>
        <scheme val="minor"/>
      </rPr>
      <t xml:space="preserve"> DVM - Atlas Techs / Atlas Cleaning - HG Services</t>
    </r>
  </si>
  <si>
    <r>
      <t xml:space="preserve">CREWS CONFIRMED BY THE ON CALL:  </t>
    </r>
    <r>
      <rPr>
        <sz val="20"/>
        <color rgb="FF00B050"/>
        <rFont val="Calibri (Body)"/>
      </rPr>
      <t>????</t>
    </r>
  </si>
  <si>
    <t>BC MEMBERS OFF/VACATIONS:</t>
  </si>
  <si>
    <t xml:space="preserve">STATE OF NEW JERSEY </t>
  </si>
  <si>
    <t xml:space="preserve">WATERFRONT AREA (Fort Lee - Edgewater - Cliffside Park - Fairview - North Bergen - West New York - Weehawken - North Hoboken "8th Street Up" ) </t>
  </si>
  <si>
    <r>
      <t>BC SUPERVISOR:</t>
    </r>
    <r>
      <rPr>
        <sz val="20"/>
        <rFont val="Calibri"/>
        <family val="2"/>
      </rPr>
      <t xml:space="preserve"> Carlos Perez  (862) 383-3884  cperez@build-care.com</t>
    </r>
    <r>
      <rPr>
        <b/>
        <sz val="20"/>
        <rFont val="Calibri"/>
        <family val="2"/>
      </rPr>
      <t xml:space="preserve"> BC SUPERVISOR/RUNNER: </t>
    </r>
    <r>
      <rPr>
        <sz val="20"/>
        <rFont val="Calibri"/>
        <family val="2"/>
      </rPr>
      <t>Juan Zapata  (551) 202-4443  jzapata@build-care.com</t>
    </r>
  </si>
  <si>
    <t>State</t>
  </si>
  <si>
    <t>MANAGEMENT</t>
  </si>
  <si>
    <t>BC CLERK</t>
  </si>
  <si>
    <t>BUILDING / ADDRESS</t>
  </si>
  <si>
    <t>UNIT / AREA</t>
  </si>
  <si>
    <t xml:space="preserve">SIZE </t>
  </si>
  <si>
    <t>WORKSITE STATUS</t>
  </si>
  <si>
    <t xml:space="preserve">JOB DESCRIPTION </t>
  </si>
  <si>
    <t>JOB AWARDED TO: / TECHS QUANTITY:</t>
  </si>
  <si>
    <t>REQUEST / P.O / WTN / W.O</t>
  </si>
  <si>
    <t>BC WORK ORDER / BC ESTIMATE</t>
  </si>
  <si>
    <t xml:space="preserve">EXTRAS </t>
  </si>
  <si>
    <t>SPECIAL NOTES / SEQUENCE</t>
  </si>
  <si>
    <t>VENDORS DAILY STATUS REPORT</t>
  </si>
  <si>
    <t xml:space="preserve">MEETING / INSPECTION </t>
  </si>
  <si>
    <t>EMPLOYEE OR TEAM ASSIGNED</t>
  </si>
  <si>
    <t>SOUTH HOBOKEN "7th Street down" - JERSEY CITY - BAYONNE</t>
  </si>
  <si>
    <r>
      <t xml:space="preserve">JERSEY CITY - BC SUPERVISOR: </t>
    </r>
    <r>
      <rPr>
        <sz val="20"/>
        <rFont val="Calibri"/>
        <family val="2"/>
      </rPr>
      <t>Carlos Perez  (862) 383-3884</t>
    </r>
    <r>
      <rPr>
        <b/>
        <sz val="20"/>
        <rFont val="Calibri"/>
        <family val="2"/>
      </rPr>
      <t xml:space="preserve">  </t>
    </r>
    <r>
      <rPr>
        <sz val="20"/>
        <rFont val="Calibri"/>
        <family val="2"/>
      </rPr>
      <t>cperez@build-care.com</t>
    </r>
    <r>
      <rPr>
        <b/>
        <sz val="20"/>
        <rFont val="Calibri"/>
        <family val="2"/>
      </rPr>
      <t xml:space="preserve"> -  BC RUNNER: </t>
    </r>
    <r>
      <rPr>
        <sz val="20"/>
        <rFont val="Calibri"/>
        <family val="2"/>
      </rPr>
      <t>Juan Sebastian Salazar  (862) 394-6010  jssalazar@build-care.com</t>
    </r>
  </si>
  <si>
    <t xml:space="preserve">NEWPORT </t>
  </si>
  <si>
    <r>
      <t xml:space="preserve">BC SUPERVISOR: </t>
    </r>
    <r>
      <rPr>
        <sz val="20"/>
        <rFont val="Calibri"/>
        <family val="2"/>
      </rPr>
      <t>Jhonatan Perez  (201) 800-5601  jperez@build-care.com</t>
    </r>
    <r>
      <rPr>
        <b/>
        <sz val="20"/>
        <rFont val="Calibri"/>
        <family val="2"/>
      </rPr>
      <t xml:space="preserve"> / BC RUNNER: </t>
    </r>
    <r>
      <rPr>
        <sz val="20"/>
        <rFont val="Calibri"/>
        <family val="2"/>
      </rPr>
      <t>Eduard Bonifacio  (551) 242-5958  purchases@build-care.com</t>
    </r>
  </si>
  <si>
    <t xml:space="preserve">NJ OUTER AREA:  (West &amp; North) </t>
  </si>
  <si>
    <r>
      <t xml:space="preserve">BC SUPERVISOR/RUNNER: </t>
    </r>
    <r>
      <rPr>
        <sz val="20"/>
        <rFont val="Calibri"/>
        <family val="2"/>
      </rPr>
      <t>Daniel Garcia  (973) 572-6211  dgarcia@build-care.com</t>
    </r>
  </si>
  <si>
    <t xml:space="preserve">NJ OUTER AREA: (Center - South - Shore) </t>
  </si>
  <si>
    <r>
      <t>BC SUPERVISOR/RUNNER:</t>
    </r>
    <r>
      <rPr>
        <sz val="20"/>
        <rFont val="Calibri"/>
        <family val="2"/>
      </rPr>
      <t xml:space="preserve"> Junior Garcia  (201) 893-0167  jgarcia@build-care.com</t>
    </r>
  </si>
  <si>
    <t>STATE OF PENNSYLVANIA</t>
  </si>
  <si>
    <t xml:space="preserve">PHILADELPHIA AND ENTIRE STATE </t>
  </si>
  <si>
    <r>
      <t xml:space="preserve">BC SUPERVISOR: </t>
    </r>
    <r>
      <rPr>
        <sz val="20"/>
        <rFont val="Calibri"/>
        <family val="2"/>
      </rPr>
      <t>Jarvis Woods  (908) 416-7939  jwoods@build-care.com</t>
    </r>
    <r>
      <rPr>
        <b/>
        <sz val="20"/>
        <rFont val="Calibri"/>
        <family val="2"/>
      </rPr>
      <t xml:space="preserve"> / BC SUPERVISIR/RUNNER: </t>
    </r>
    <r>
      <rPr>
        <sz val="20"/>
        <rFont val="Calibri"/>
        <family val="2"/>
      </rPr>
      <t>Josue Hernandez  (862) 383-3882  jhernandez@build-care.com</t>
    </r>
  </si>
  <si>
    <r>
      <t>SUPERVISOR ON CALL NJ</t>
    </r>
    <r>
      <rPr>
        <sz val="20"/>
        <rFont val="Calibri"/>
        <family val="2"/>
        <scheme val="minor"/>
      </rPr>
      <t>: Josue Hernandez  (862) 383-3882  jhernandez@build-care.com</t>
    </r>
  </si>
  <si>
    <r>
      <t>CREWS ASSIGNED BY DEFAULT ON CALL:</t>
    </r>
    <r>
      <rPr>
        <sz val="20"/>
        <rFont val="Calibri"/>
        <family val="2"/>
        <scheme val="minor"/>
      </rPr>
      <t xml:space="preserve"> Great Jobs / DVM / Woods / EMAC / HG Services</t>
    </r>
    <r>
      <rPr>
        <b/>
        <sz val="20"/>
        <rFont val="Calibri"/>
        <family val="2"/>
        <scheme val="minor"/>
      </rPr>
      <t xml:space="preserve"> / </t>
    </r>
    <r>
      <rPr>
        <sz val="20"/>
        <rFont val="Calibri"/>
        <family val="2"/>
        <scheme val="minor"/>
      </rPr>
      <t>HR Cleaning</t>
    </r>
  </si>
  <si>
    <t>Jobs confirmed, Scheduled and distributed to all techs and Teams</t>
  </si>
  <si>
    <t>Jobs confirmed to be scheduled</t>
  </si>
  <si>
    <t xml:space="preserve">Jobs pending for materials or to be confirmed </t>
  </si>
  <si>
    <t>Jobs cancelled or waiting to be rescheduled</t>
  </si>
  <si>
    <t>Highlighted for special notes, Materials or Jobs With special requests</t>
  </si>
  <si>
    <t>BuildCare SCHEDULE TUESDAY, SEPTEMBER 01 / 2026</t>
  </si>
  <si>
    <t>BuildCare SCHEDULE WEDNESDAY, SEPTEMBER 02 / 2026</t>
  </si>
  <si>
    <t>Birch House
49 Fisk St, Jersey City, NJ 07305</t>
  </si>
  <si>
    <t>1BDR</t>
  </si>
  <si>
    <t xml:space="preserve">Vacant </t>
  </si>
  <si>
    <t xml:space="preserve">Unit Cleaning at 8:00am </t>
  </si>
  <si>
    <t>Email</t>
  </si>
  <si>
    <t>BuildCare SCHEDULE THURSDAY, SEPTEMBER 03 / 2026</t>
  </si>
  <si>
    <t>BuildCare SCHEDULE FRIDAY, SEPTEMBER 04 / 2026</t>
  </si>
  <si>
    <t>BuildCare SCHEDULE SATURDAY, SEPTEMBER 05 / 2026</t>
  </si>
  <si>
    <t>BuildCare SCHEDULE SUNDAY, SEPTEMBER 06 / 2026</t>
  </si>
  <si>
    <t>BuildCare SCHEDULE</t>
  </si>
  <si>
    <r>
      <t>BC SUPERVISOR/RUNNER:</t>
    </r>
    <r>
      <rPr>
        <sz val="20"/>
        <rFont val="Calibri"/>
        <family val="2"/>
      </rPr>
      <t xml:space="preserve"> Junior Garcia  (201) 893-0167  jgarcia@build-care.com</t>
    </r>
    <r>
      <rPr>
        <b/>
        <sz val="20"/>
        <rFont val="Calibri"/>
        <family val="2"/>
      </rPr>
      <t xml:space="preserve"> / BC SUPERVISOR/RUNNER: </t>
    </r>
    <r>
      <rPr>
        <sz val="20"/>
        <rFont val="Calibri"/>
        <family val="2"/>
      </rPr>
      <t>Daniel Garcia  (973) 572-6211  dgarcia@build-care.com</t>
    </r>
  </si>
  <si>
    <t>STATE</t>
  </si>
  <si>
    <t>Billing Clerk</t>
  </si>
  <si>
    <t>BC Supervisor / Runner</t>
  </si>
  <si>
    <t>BC Project manager or director</t>
  </si>
  <si>
    <t>Travel Expense</t>
  </si>
  <si>
    <t>Service manager Information</t>
  </si>
  <si>
    <t>Property manager Information</t>
  </si>
  <si>
    <t>Paint specs / paint provided by:</t>
  </si>
  <si>
    <t>Notes / Management Changes</t>
  </si>
  <si>
    <t>Artisan at Lawrenceville
1000 Town Ct S, Lawrence Township, NJ 08648</t>
  </si>
  <si>
    <t>NJ</t>
  </si>
  <si>
    <t>AFTON Management</t>
  </si>
  <si>
    <t>A-V</t>
  </si>
  <si>
    <t>Junior Garcia</t>
  </si>
  <si>
    <t>Jarvis Woods</t>
  </si>
  <si>
    <t>Above 35 miles
$44</t>
  </si>
  <si>
    <t>Stewards Crossing Apartments
1000 Stewards Crossing Way
Lawrence Township, NJ 08648</t>
  </si>
  <si>
    <t>Avalon at Edgewater I
Old Building (River Mews).</t>
  </si>
  <si>
    <t>Vivmark Residential</t>
  </si>
  <si>
    <t>N-O</t>
  </si>
  <si>
    <t>Juan Zapata</t>
  </si>
  <si>
    <t>Roberto Cañas</t>
  </si>
  <si>
    <t>N/A</t>
  </si>
  <si>
    <t>Avalon at Edgewater II
New Building (Russell).</t>
  </si>
  <si>
    <t>Avalon at Florham Park
1 Florence Dr, Florham Park, NJ 07932.</t>
  </si>
  <si>
    <t>Avalon Bloomfield Station
300 Glenwood Ave 1000 1000, Bloomfield, NJ 07003.</t>
  </si>
  <si>
    <t>Avalon Bloomingdale 
1100 Avalon way Bloomingdale NJ 07403.</t>
  </si>
  <si>
    <t>Avalon Boonton
1 Avalon Way, Boonton, NJ 07005.</t>
  </si>
  <si>
    <t>Avalon Cove
444 Washington Blvd, Jersey City, NJ 07310.</t>
  </si>
  <si>
    <t>Carlos Perez / Juan Salazar</t>
  </si>
  <si>
    <t>Avalon Hackensack at Riverside
414 Hackensack Ave, Hackensack, NJ 07601.</t>
  </si>
  <si>
    <t>Avalon Hoboken
800 Madison St, Hoboken, NJ 07030.</t>
  </si>
  <si>
    <t>Avalon Maplewood
200 Boyden Ave, Maplewood, NJ 07040.</t>
  </si>
  <si>
    <t>Avalon Montville
85 Bloomfield Ave, Pine Brook, NJ 07058.</t>
  </si>
  <si>
    <t>Avalon North Bergen
5665 John F. Kennedy Blvd, North Bergen, NJ 07047.</t>
  </si>
  <si>
    <t>Avalon Old Bridge 
1 Avalon Way, Old Bridge, NJ 08857.</t>
  </si>
  <si>
    <t>Avalon Piscataway 
7000 Avalon Way, Piscataway, NJ 08854.</t>
  </si>
  <si>
    <t>Avalon Roseland
100 Avalon Blvd, Livingston, NJ 07039.</t>
  </si>
  <si>
    <t>Avalon Somerville 
22 Robeson St, Somerville, NJ 08876.</t>
  </si>
  <si>
    <t>Avalon Teaneck
1775 Windsor Rd, Teaneck, NJ 07666.</t>
  </si>
  <si>
    <t>Avalon Union
2400 Vauxhall Rd, Union, NJ 07083.</t>
  </si>
  <si>
    <t>Avalon Princeton
100 Albert Wy, Princeton, NJ 08542.</t>
  </si>
  <si>
    <t>Avalon Princeton SENIOR LIVING
500 Thanet Cir, Princeton, NJ 08540.</t>
  </si>
  <si>
    <t>Avalon Wayne 
1455 Valley Rd, Wayne NJ, 07470</t>
  </si>
  <si>
    <t>Avalon Parsippany
3 Campus Dr, Parsippany, NJ 07054.</t>
  </si>
  <si>
    <t>Avalon Wharton
111 East Dewey Avenue Wharton, NJ 07885.</t>
  </si>
  <si>
    <t>Avalon At Becker Farm
6 Becker Farm Road Roseland, NJ 07068.</t>
  </si>
  <si>
    <t>AVE Clifton 
743 Passaic Ave Clifton NJ</t>
  </si>
  <si>
    <t xml:space="preserve">AVE Living </t>
  </si>
  <si>
    <t>AVE Florham Park
90 Park Ave, Florham Park, NJ 07932</t>
  </si>
  <si>
    <t>AVE KING OF PRUSSIA
 555 S Goddard Blvd. King Of Prussia, PA 19406</t>
  </si>
  <si>
    <t>PA</t>
  </si>
  <si>
    <t>Josue Hernandez</t>
  </si>
  <si>
    <t>AVE Malvern
311 E Lancaster Ave, Malvern, PA 19355</t>
  </si>
  <si>
    <t>AVE Somerset
199 Pierce Street Somerset, NJ  08873</t>
  </si>
  <si>
    <t>AVE Tampa Riverwalk
160 W. Tyler St. Tampa, FL 33602</t>
  </si>
  <si>
    <t>FL</t>
  </si>
  <si>
    <t>Juan Cardona</t>
  </si>
  <si>
    <t>Ave Union
1070 Morris Ave Union, NJ</t>
  </si>
  <si>
    <t>Blue Bell Villas
1560 Wick Ln, Blue Bell, PA 19422</t>
  </si>
  <si>
    <t>Tudor House at Madison
39 Green Village Rd, Madison, NJ 07940</t>
  </si>
  <si>
    <t>Bergman Realty</t>
  </si>
  <si>
    <t>Aura 240
240 S Harrison St, East Orange, NJ 07018</t>
  </si>
  <si>
    <t>Blackstone Management</t>
  </si>
  <si>
    <t>The Beacon, Jersey city 
 Tower - 56 Beacon Place</t>
  </si>
  <si>
    <t>BLT (Building and Land Technology)</t>
  </si>
  <si>
    <t>The Beacon, Jersey city 
Criterion - 100 Clifton Place</t>
  </si>
  <si>
    <t>The Beacon, Jersey city 
Hague - 88 Clifton Place</t>
  </si>
  <si>
    <t>The Beacon, Jersey city 
Mercury - 20 Beacon Way</t>
  </si>
  <si>
    <t>The Beacon, Jersey city 
Orpheum - 24 Beacon Way</t>
  </si>
  <si>
    <t>The Beacon, Jersey city 
Paramount - 126 Clifton Place</t>
  </si>
  <si>
    <t>100 House
100 Hoboken Ave Jersey City, NJ 07310</t>
  </si>
  <si>
    <t xml:space="preserve">BNE Management </t>
  </si>
  <si>
    <t>Dey &amp; Bergen
1 Bergen St, Harrison, NJ 07029</t>
  </si>
  <si>
    <t>One Harrison
1 Harrison Ave, Harrison, NJ 07029</t>
  </si>
  <si>
    <t>One Ten 
110 Hoboken Ave Jersey City</t>
  </si>
  <si>
    <t>One500
1500 Teaneck Rd, Teaneck, NJ 07666</t>
  </si>
  <si>
    <t>Station Bay 1000 Schindler Drive, South Amboy NJ 08879</t>
  </si>
  <si>
    <t>The Enclave 
675 Monmouth St. Jersey City</t>
  </si>
  <si>
    <t>The Grove, Piscataway (67 Old New Brunswick Rd. Piscataway, NJ 08854)</t>
  </si>
  <si>
    <t>The Kingsley
2000 Murray Ct, Fairfield, NJ 07004</t>
  </si>
  <si>
    <t>The Monarch
100-120 Schindler Ct, East Rutherford, NJ 07073</t>
  </si>
  <si>
    <t>Water's Edge
301 Dey St, Harrison, NJ 07029</t>
  </si>
  <si>
    <t>The Club at Pearl River
100 Schindler Drive Pearl River, NY  10965</t>
  </si>
  <si>
    <t>NY</t>
  </si>
  <si>
    <t>The Waverly Apartments 
300 Waverly Ave, Neptune Township, NJ 07753</t>
  </si>
  <si>
    <t>The Piermont
137 Patterson St Hillsdale, NJ 07642</t>
  </si>
  <si>
    <t>Artisan on Clinton
1408 Clinton St, Hoboken, NJ 07030</t>
  </si>
  <si>
    <t>Bozzuto</t>
  </si>
  <si>
    <t>Roberto Canas / Carlos Perez</t>
  </si>
  <si>
    <t>Artisan on Grand
1330 Grand St, Hoboken, NJ 07030</t>
  </si>
  <si>
    <t>Artisan on Madison
1101 Madison St, Hoboken, NJ 07030</t>
  </si>
  <si>
    <t>Artisan Series
1100 Jefferson St, Hoboken, NJ 07030</t>
  </si>
  <si>
    <t>Atlee Square
200 Middletown Blvd, Langhorne, PA 19047</t>
  </si>
  <si>
    <t>Lincoln Square
1000 S Broad St, Philadelphia, PA 19146</t>
  </si>
  <si>
    <t>Cast Iron Lofts
300 Coles St, Jersey City, NJ 07310</t>
  </si>
  <si>
    <t>Cobalt Lofts
1200 S 5th St, Harrison, NJ 07029</t>
  </si>
  <si>
    <t>Courtyard at Jefferson
800 Jefferson St. Hoboken</t>
  </si>
  <si>
    <t>Courtyard at Jefferson
801 Jefferson St. Hoboken</t>
  </si>
  <si>
    <t>Edge Avenue F
170 Avenue F, Bayonne, NJ 07002</t>
  </si>
  <si>
    <t>Edge Avenue G
100 Avenue G, Bayonne, NJ 07002</t>
  </si>
  <si>
    <t>Edge Lofts
1405 Adams street Hoboken NJ 07030</t>
  </si>
  <si>
    <t>Edge Lofts
1405 Clinton street Hoboken NJ 07030</t>
  </si>
  <si>
    <t>Evo Apartments
40 Bennett Rd, Englewood, NJ 07631</t>
  </si>
  <si>
    <t>Halstead Parsippany
1715 US Highway 46 Parsippany, NJ 07054</t>
  </si>
  <si>
    <t>Harlow
1330 Willow Ave, Hoboken, NJ 07030</t>
  </si>
  <si>
    <t>Juliana Apartments
600 Jackson St, Hoboken</t>
  </si>
  <si>
    <t>Molly Brook on Belmont, North Haledon, NJ, 07508</t>
  </si>
  <si>
    <t>One Cathedral Square
1701 Race St, Philadelphia, PA 19103</t>
  </si>
  <si>
    <t>One Theater Square 
2 Center St, Newark, NJ 07102</t>
  </si>
  <si>
    <t>Park &amp; Garden
1450 Garden Street Hoboken, NJ 07030</t>
  </si>
  <si>
    <t>Presidential City
3900 City Avenue Philadelphia, PA19131</t>
  </si>
  <si>
    <t>Steel Works 
1200 Frank E Rodgers Blvd S, Harrison, NJ 07029</t>
  </si>
  <si>
    <t>Sterling Parc at Hanover
2101 Glen Drive, Cedar Knolls, NJ 07927</t>
  </si>
  <si>
    <t>The Bexley 
1300 Clinton St, Hoboken, NJ 07030</t>
  </si>
  <si>
    <t>The Brick of Hackensack
150 Main St, Hackensack, NJ 07601</t>
  </si>
  <si>
    <t>The Grant
1 Cynwyd Rd, Bala Cynwyd, PA 19004</t>
  </si>
  <si>
    <t>The Haven at Atwater Village
1000 Terrain Street Malvern, PA 19355</t>
  </si>
  <si>
    <t>The Isle
1 Cotton St Philadelphia PA 19127</t>
  </si>
  <si>
    <t>The James
87 Madison Ave, Park Ridge, NJ</t>
  </si>
  <si>
    <t>The Morgan
160 Morgan St, Jersey City, NJ</t>
  </si>
  <si>
    <t>The Morgan
160 Morgan St, Jersey City, NJ
(Renu Construction &amp; Remodeling Company)</t>
  </si>
  <si>
    <t xml:space="preserve">Renu </t>
  </si>
  <si>
    <t>Construction company bill to them not the building</t>
  </si>
  <si>
    <t>The Park
417 Raritan Rd, Roselle, NJ 07203</t>
  </si>
  <si>
    <t>The Square
110 Sibley Ave Ardmore, PA 19003</t>
  </si>
  <si>
    <t>The Victor
One Market St, Camden, NJ 08102</t>
  </si>
  <si>
    <t xml:space="preserve">The Wyldes, 1100 south 5th street Harrison, NJ 07029 </t>
  </si>
  <si>
    <t>Third and Valley 
153 Valley St, South Orange Village, NJ 07079</t>
  </si>
  <si>
    <t>Two South Willow
2 S Willow St, Montclair, NJ 07042</t>
  </si>
  <si>
    <t>The District at 15Fifteen
 1501NJ-10, Parsippny-Troy Hills, NJ 07054</t>
  </si>
  <si>
    <t>Vantage Collection
1 Park View Ave, Jersey City, NJ 07302</t>
  </si>
  <si>
    <t>Vantage Collection
33 Park View Ave, Jersey City, NJ 07302</t>
  </si>
  <si>
    <t>Canter Green 
1255 Magie Ave, Union, NJ 07083</t>
  </si>
  <si>
    <t>Greystar to Bozzuto 11/10/25</t>
  </si>
  <si>
    <t>Embark
533 Main St, East Orange, NJ 07018</t>
  </si>
  <si>
    <t>205 Columbia Ave, Passaic</t>
  </si>
  <si>
    <t xml:space="preserve">BuildCare </t>
  </si>
  <si>
    <t>323 Highland Ave Passaic NJ</t>
  </si>
  <si>
    <t>325 Highland Ave Passaic</t>
  </si>
  <si>
    <t>BC Office 205 Columbia Passaic</t>
  </si>
  <si>
    <t>BC Shop (Warehouse) 
1 Passaic Ave, Wood-Ridge, NJ 07075</t>
  </si>
  <si>
    <t>BuildCare</t>
  </si>
  <si>
    <t>BuildCare / Newport</t>
  </si>
  <si>
    <t>Juan Salazar</t>
  </si>
  <si>
    <t>Jhonatan Perez</t>
  </si>
  <si>
    <t>Newport
BuildCare storage room</t>
  </si>
  <si>
    <t>Passaic church 
153 Washington Pl, Passaic, NJ 07055</t>
  </si>
  <si>
    <t>Ocean First Bank
2400 Bridge Ave, Point Pleasant, NJ 08742</t>
  </si>
  <si>
    <t>C.B.R.E Management</t>
  </si>
  <si>
    <t>Ocean First Bank
55 Bananier Dr. Toms River, NJ 08755</t>
  </si>
  <si>
    <t>111 Town Square Place
111 Town Square Pl, Jersey City, NJ 07310</t>
  </si>
  <si>
    <t>C/O Realty</t>
  </si>
  <si>
    <t>Aquablu at Newport
110 River Dr S, Jersey City, NJ 07310</t>
  </si>
  <si>
    <t>Atlantic at Newport
31 River Ct, Jersey City, NJ 07310</t>
  </si>
  <si>
    <t>Beach at Newport
180 River Dr, Jersey City, NJ 07310</t>
  </si>
  <si>
    <t>Bisby at Newport
30 Park Lane North Jersey City, NJ 07310</t>
  </si>
  <si>
    <t>East Hampton at Newport
30 River Ct, Jersey City, NJ 07310</t>
  </si>
  <si>
    <t>Ellipse at Newport
25 Park Ln S, Jersey City, NJ 07310</t>
  </si>
  <si>
    <t>Laguna at Newport
45 Park Ln S, Jersey City, NJ 07310</t>
  </si>
  <si>
    <t>Lincoln House at Hamilton Park
204 10th St, Jersey City, NJ 07302</t>
  </si>
  <si>
    <t>Pacific and Southampton</t>
  </si>
  <si>
    <t>Pacific at Newport
25 River Dr S, Jersey City, NJ 07310</t>
  </si>
  <si>
    <t>Parkside East at Newport
30 Newport Parkway, Jersey City, NJ</t>
  </si>
  <si>
    <t>Parkside West at Newport
40 Newport Parkway, Jersey City, NJ</t>
  </si>
  <si>
    <t>Riverside at Newport
1 River Ct, Jersey City, NJ 07310</t>
  </si>
  <si>
    <t>Roosevelt House at Hamilton Park
180 10th St, Jersey City, NJ 07302</t>
  </si>
  <si>
    <t>Shore South
20 Newport Pkwy, Jersey City, NJ 07310</t>
  </si>
  <si>
    <t>Shore Parking Garage
20 Newport Pkwy, Jersey City, NJ 07310</t>
  </si>
  <si>
    <t>Shore Parking Garage</t>
  </si>
  <si>
    <t>SOUTH HAMPTON  AND RIVERSIDE  AT NEWPORT</t>
  </si>
  <si>
    <t>Southampton at Newport
20 River Ct, Jersey City, NJ 07310</t>
  </si>
  <si>
    <t>The Shore Club
1 Shore Ln, Jersey City, NJ 07310</t>
  </si>
  <si>
    <t>Waterside Square North at Newport 55 River Dr S, Jersey City, NJ 07310</t>
  </si>
  <si>
    <t>Waterside Square South at Newport 35 River Dr S, Jersey City, NJ 07310</t>
  </si>
  <si>
    <t>200 &amp; 250 Georgia King Village Newark, New Jersey 07107</t>
  </si>
  <si>
    <t>C&amp;C</t>
  </si>
  <si>
    <t>200 Georgia King Village
Newark, New Jersey 07107</t>
  </si>
  <si>
    <t>250 Georgia King Village 
Newark, New Jersey 07107</t>
  </si>
  <si>
    <t>540 Broad St Newark, NJ 07102</t>
  </si>
  <si>
    <t>Georgia King Village 
4 Littleton Ave, Newark, NJ 07107</t>
  </si>
  <si>
    <t>Norman Towers
500 Parkway Dr East Orange, NJ 07017</t>
  </si>
  <si>
    <t>Norman Towers Community Partners LP Norman Towers
500 N Walnut Street
East Orange, NJ 07017</t>
  </si>
  <si>
    <t>Zion Towers
515 Elizabeth Avenue Newark, NJ  07112</t>
  </si>
  <si>
    <t>Citizen Little Falls
405 Main St, Little Falls Township, NJ 07424</t>
  </si>
  <si>
    <t>CITIZEN</t>
  </si>
  <si>
    <t>TBD</t>
  </si>
  <si>
    <t>527 North Ave Elizabeth, NJ 07208</t>
  </si>
  <si>
    <t>Comcast Management</t>
  </si>
  <si>
    <t>222 W Jersey St Elizabeth, NJ 07202</t>
  </si>
  <si>
    <t>Addison at Princeton Meadows Apartments 2821 Pheasant Hollow Dr, Plainsboro Township, NJ 08536</t>
  </si>
  <si>
    <t xml:space="preserve">Cushwake </t>
  </si>
  <si>
    <t>Eleven80 Apartments
1180 Raymond Blvd, Newark, NJ 07102</t>
  </si>
  <si>
    <t>Skye 750 Apartments
750 Moore Rd, King of Prussia, PA19406</t>
  </si>
  <si>
    <t>Sofi at Morristown Station
10 Lafayette Ave, Morristown, NJ 07960</t>
  </si>
  <si>
    <t>Willow Bridge P.C.</t>
  </si>
  <si>
    <t>Cushwake to Willow Bridge 10/27/25</t>
  </si>
  <si>
    <t>Sofi Gaslight Commons
28 W 3rd St, South Orange Village, NJ 07079</t>
  </si>
  <si>
    <t>Sofi Lyndhurst
1301 Wall St W, Lyndhurst, NJ 07071</t>
  </si>
  <si>
    <t>The Lively Apartments
321 Warren St, Jersey City, NJ 07302</t>
  </si>
  <si>
    <t>Dalan Management</t>
  </si>
  <si>
    <t>Highlands of Morris Plains
40 East Hanover Ave
Morris Plains NJ 07950</t>
  </si>
  <si>
    <t>DASAN Builders</t>
  </si>
  <si>
    <t>Hunters Glen Apartments
1000 Hunters Glen Dr, Plainsboro Township, NJ 08536
(DASAN Builders)</t>
  </si>
  <si>
    <t>Mt. Arlington Corporate Center 100 &amp; 200 Valley Rd Mt Arlington, NJ 07856</t>
  </si>
  <si>
    <t>Diversified Properties</t>
  </si>
  <si>
    <t>Summit Court Luxury Apartments, 1700 Patriot Way, Union, NJ 07083</t>
  </si>
  <si>
    <t>Summit Court Luxury Apartments, 1725 Patriot Way, Union, NJ 07083</t>
  </si>
  <si>
    <t>Summit Court Luxury Apartments, 1776 Patriot Way, Union, NJ 07083</t>
  </si>
  <si>
    <t>The Promenade at Summit
545 Morris Ave, Summit, NJ 07901</t>
  </si>
  <si>
    <t>Irondale at Wharton
47 Kossuth St, Wharton, NJ 07885</t>
  </si>
  <si>
    <t>Jefferson Place
9 Hellers Ln, Lake Hopatcong, NJ 07849</t>
  </si>
  <si>
    <t>Montville Center
350 Main Rd, Montville, NJ 07045</t>
  </si>
  <si>
    <t>45 River Road Summit, NJ 07901</t>
  </si>
  <si>
    <t>6 Mars Court
Montville, NJ 07045</t>
  </si>
  <si>
    <t>102-110 Brunswick LLC (102-110 Brunswick Ave Jersey City 07302 )</t>
  </si>
  <si>
    <t>DVORA</t>
  </si>
  <si>
    <t>109 Christopher Columbus LLC (109 Christopher Columbus Dr. Jersey City, NJ 07302)</t>
  </si>
  <si>
    <t>111 Hutton St, Jersey City</t>
  </si>
  <si>
    <t>148 First St (Art House Jersey City)</t>
  </si>
  <si>
    <t>148 First Street Urban Renewal LLC (148 1st St. Jersey City, NJ 07302)</t>
  </si>
  <si>
    <t>159 Congress LLC (159 Congress St. Jersey City, NJ 07307)</t>
  </si>
  <si>
    <t>175 Second Street LLC (175 2nd St. Jersey City, NJ 07302)</t>
  </si>
  <si>
    <t>255 Brunswick st (Hamilton House Jersey City)</t>
  </si>
  <si>
    <t>323 Pine Acquisition LLC (323 Pine St, Jersey City, NJ 07304)</t>
  </si>
  <si>
    <t>360 Ninth Street Urban Renewal LLC  (255 Brunswick St, Jersey City, NJ 07302</t>
  </si>
  <si>
    <t>366 West side Ave, Jersey City</t>
  </si>
  <si>
    <t>372 Ninth Street LLC  (255 Brunswick St, Jersey City, NJ 07302)</t>
  </si>
  <si>
    <t>Clara Café Limited Liability Company (239 Liberty Ave Jersey City NJ 07306)</t>
  </si>
  <si>
    <t>Claremont Ave Realty, LLC  (353 Claremont Avenue Jersey City NJ 07305)</t>
  </si>
  <si>
    <t>JC Apartments LLC (160 1st St. Jersey City, NJ 07302)</t>
  </si>
  <si>
    <t>70 Greene Apartments
70 Greene St, Jersey City, NJ 07302.</t>
  </si>
  <si>
    <t>Highlands at South Plainfield Apartments 1300 Cook Lane, South Plainfield, NJ 07080.</t>
  </si>
  <si>
    <t>Hudson Point Apartments
131 Dudley St Ste Off, Jersey City, NJ 07302.</t>
  </si>
  <si>
    <t>Madox Apartments
198 Van Vorst St, Jersey City, NJ 07302.</t>
  </si>
  <si>
    <t>Portside Towers Apartments
155 Washington St, Jersey City, NJ 07302.</t>
  </si>
  <si>
    <t>The Landings at Port Imperial Apartment 4 Ave at Port Imperial, West New York, NJ 07093.</t>
  </si>
  <si>
    <t>The Pier Apartments
1 Harborside Pl, Jersey City, NJ 07311.</t>
  </si>
  <si>
    <t>The Rivington Apartments
1130 Grand St, Hoboken, NJ 07030.</t>
  </si>
  <si>
    <t>Liberty House
(FINCOR)</t>
  </si>
  <si>
    <t xml:space="preserve">Fincor Construction </t>
  </si>
  <si>
    <t>Stephen Manor
1100 Atlantic Ave C, Asbury Park, NJ 07712
(FINCOR)</t>
  </si>
  <si>
    <t>1000 Jefferson Apartments
1000 Jefferson St, Hoboken, NJ 07030</t>
  </si>
  <si>
    <t>Greystar</t>
  </si>
  <si>
    <t>1001 Jefferson Apartments
1001 Jefferson St, Hoboken, NJ 07030</t>
  </si>
  <si>
    <t>214 Main
214 Main St, Hackensack, NJ 07601</t>
  </si>
  <si>
    <t>22 Aldebaran Drive, Randolph NJ 07869</t>
  </si>
  <si>
    <t>221 Bergen Apartments
221 Bergen St, Harrison, NJ 07029</t>
  </si>
  <si>
    <t>3 Journal Square
2935 John F. Kennedy Blvd, Jersey City, NJ 07306</t>
  </si>
  <si>
    <t>500 PARQ 
500 Parq Lane Parsippany, NJ 07054</t>
  </si>
  <si>
    <t>BELA
74 Maple St, Jersey City, NJ 07304</t>
  </si>
  <si>
    <t>Jarvis Woods / Carlos Perez</t>
  </si>
  <si>
    <t>The Greyson 
25 Cottage St Jersey City,  NJ 07306</t>
  </si>
  <si>
    <t>Chancery Square
11 Cattano Avenue Morristown, NJ 07960</t>
  </si>
  <si>
    <t>Embankment House
270 10th St, Jersey City, NJ 07302</t>
  </si>
  <si>
    <t>Enclave at Raritan
308 NJ-31, Flemington, NJ 08822</t>
  </si>
  <si>
    <t>Estuary Apartments 
1600 Harbor Blvd, Weehawken Township, NJ 07086</t>
  </si>
  <si>
    <t>Goldtex Apartments 
315 N 12th Street Philadelphia, PA 19107</t>
  </si>
  <si>
    <t>Half Moon Harbour 
7912 River Rd, North Bergen, NJ 07047</t>
  </si>
  <si>
    <t>Hamilton Cove 
800 Harbor Blvd, Weehawken Township, NJ 07086</t>
  </si>
  <si>
    <t>Harbor 1500
1500 Harbor Blvd, Weehawken Township, NJ 07086</t>
  </si>
  <si>
    <t>Harbor Pointe 
302 Constitution Ave, Bayonne, NJ 07002</t>
  </si>
  <si>
    <r>
      <t xml:space="preserve">Harrison Yards </t>
    </r>
    <r>
      <rPr>
        <b/>
        <sz val="18"/>
        <rFont val="Calibri"/>
        <family val="2"/>
      </rPr>
      <t>1 (One)</t>
    </r>
    <r>
      <rPr>
        <sz val="18"/>
        <rFont val="Calibri"/>
        <family val="2"/>
      </rPr>
      <t xml:space="preserve">
600 Frank E Rodgers Blvd. Harrison, NJ 07029</t>
    </r>
  </si>
  <si>
    <r>
      <t>Harrison Yards</t>
    </r>
    <r>
      <rPr>
        <b/>
        <sz val="18"/>
        <rFont val="Calibri"/>
        <family val="2"/>
      </rPr>
      <t xml:space="preserve"> 2 (Two)</t>
    </r>
    <r>
      <rPr>
        <sz val="18"/>
        <rFont val="Calibri"/>
        <family val="2"/>
      </rPr>
      <t xml:space="preserve">
450 Angelo Cifelli Dr, Harrison, NJ 07029</t>
    </r>
  </si>
  <si>
    <t>Heather Gate at Oxford Valley
8101 Fonthill Ct,
Langhorne, PA19047</t>
  </si>
  <si>
    <t>Jarvis Woods / Roberto Canas</t>
  </si>
  <si>
    <t>Liberty Bay Club Apartments
190 W 54th St, Bayonne, NJ 07002</t>
  </si>
  <si>
    <t xml:space="preserve">Maybrook Apartments  
325 Penn Rd., Wynnewood, PA 19096 </t>
  </si>
  <si>
    <t>Mountain View Crossing
650 NJ-23, Wayne, NJ 07470</t>
  </si>
  <si>
    <t>Observer Park Apartments
51 Garden St, Hoboken, NJ 07030</t>
  </si>
  <si>
    <t>Ocean Gate Apartments North
85 Cooper Ave, Long Branch, NJ 07740</t>
  </si>
  <si>
    <t>Ocean Gate Apartments South
84 Cooper Ave, Long Branch, NJ 07740</t>
  </si>
  <si>
    <t>One Grove 
215 Grove St, Jersey City, NJ 07302</t>
  </si>
  <si>
    <t>Osprey Cove Apartments
45 Meadowlands Pkwy, Secaucus, NJ 07094</t>
  </si>
  <si>
    <t xml:space="preserve">Phoenix village 
131 Bridge Street Phoenixville Pennsylvania 19460. </t>
  </si>
  <si>
    <t>Ray Philly
1525 N American St, Philadelphia, PA 19122</t>
  </si>
  <si>
    <t>Revetment House
310 10th St, Jersey City, NJ 07302</t>
  </si>
  <si>
    <t>Rutherford Station Apartments
201 Railroad Ave, East Rutherford, NJ 07073</t>
  </si>
  <si>
    <t>SoCam 290 Apartments
290 George Street
New Brunswick, NJ 08901</t>
  </si>
  <si>
    <t>PeakMade</t>
  </si>
  <si>
    <t>Southside Commons
444 Brodhead Ave. Bethlehem, PA18015.</t>
  </si>
  <si>
    <t>The Accolade on Chestnut
3600 Chestnut St, Philadelphia, PA 19104</t>
  </si>
  <si>
    <t>The Bedford
374 Communipaw Ave, Jersey City, NJ 07304</t>
  </si>
  <si>
    <t>The Brownstones at Englewood South 73 Brownstone Way, Englewood, NJ 07631</t>
  </si>
  <si>
    <t xml:space="preserve">The Girard
1199 Ludlow St Philadelphia PA 19107 </t>
  </si>
  <si>
    <t>The Granary Apartments 1901 Callowhill Street Philadelphia, PA 19130</t>
  </si>
  <si>
    <t>The Grand
508 51st St, West New York, NJ 07093</t>
  </si>
  <si>
    <t>The Harper at Harmon Meadow Apartments 100 Park Plaza Dr, Secaucus, NJ 07094</t>
  </si>
  <si>
    <t xml:space="preserve">The Highland at Morris Plain 40 E Hanover Ave, Morris Plain, NJ </t>
  </si>
  <si>
    <t xml:space="preserve">The Ludlow
1101 Ludlow St Philadelphia PA 19107 </t>
  </si>
  <si>
    <t>The Park at Woodbridge Station
55 Brook St, Woodbridge Township, NJ 07095</t>
  </si>
  <si>
    <t>The Park Bayonne 
1040 John F. Kennedy Blvd, Bayonne, NJ 07002</t>
  </si>
  <si>
    <t>The Plaza Grande at Garden State Park 700 Citation Ln, Cherry Hill Township, NJ 08002</t>
  </si>
  <si>
    <t>The Quincy
120 Neilson St, New Brunswick, NJ 08901</t>
  </si>
  <si>
    <t>The Station
4901 Bergenline Ave, West New York, NJ 07093</t>
  </si>
  <si>
    <t>The Walcott Hackensack
435 Main St, Hackensack, NJ 07601</t>
  </si>
  <si>
    <t>333 Central
333 Central Ave, Westfield, NJ 07090</t>
  </si>
  <si>
    <t>Roberto Canas</t>
  </si>
  <si>
    <t>Berkeley House 
434 Springfield Avenue, Berkeley Heights, NJ, 07922</t>
  </si>
  <si>
    <t>The Cliffs Lofts
100 Paterson Plank Rd Jersey City, NJ 07307</t>
  </si>
  <si>
    <t>Radio Lofts
316 16th St, Jersey City, NJ 07310</t>
  </si>
  <si>
    <t>Hudson House East
315 15th St, Jersey City, NJ 07310</t>
  </si>
  <si>
    <t>Hudson House West
325 15th St, Jersey City, NJ 07310</t>
  </si>
  <si>
    <t>Oaks On The Square
12 Royce Circle Storrs, CT 06268</t>
  </si>
  <si>
    <t>CT</t>
  </si>
  <si>
    <t>Above 35 miles
$Project Price</t>
  </si>
  <si>
    <t>The Grove Somerset
500 Bristol Blvd, Franklin Township, NJ 08873</t>
  </si>
  <si>
    <t>New Brunswick Apartments -
33 Paul Robeson Blvd, New Brunswick, NJ 08901</t>
  </si>
  <si>
    <t>WinnResidential</t>
  </si>
  <si>
    <t>HMR to WinnResidential starting 02/01</t>
  </si>
  <si>
    <t>15 West
15 West Lincoln Avenue Atlantic Highlands NJ 07716</t>
  </si>
  <si>
    <t>Kalian Management</t>
  </si>
  <si>
    <t>Blue Bay Inn
51 First Ave, Atlantic Highlands, NJ 07716</t>
  </si>
  <si>
    <t>Harbor House
60 1st Avenue Atlantic Highlands NJ 07716</t>
  </si>
  <si>
    <t>Salt Aire
158 1st Avenue Atlantic Highlands NJ 07716</t>
  </si>
  <si>
    <t>The Forum
24 Mechanic Street, Red Bank NJ 07701</t>
  </si>
  <si>
    <t>Bay Village Apartments
2 Henessey Blvd, Atlantic Highlands, NJ 07716</t>
  </si>
  <si>
    <t>TBG Management Properties LLC</t>
  </si>
  <si>
    <t>Prospect Place Apartments
300 Prospect Ave Hackensack, NJ 07601</t>
  </si>
  <si>
    <t xml:space="preserve">Khosla Capital </t>
  </si>
  <si>
    <t>The Sheffield Englewood DE LLC 100 Sterling Blvd
Englewood,NJ</t>
  </si>
  <si>
    <t>18 Park Apartments
18 Park View Ave, Jersey City, NJ 07302</t>
  </si>
  <si>
    <t xml:space="preserve">KRE Group Management </t>
  </si>
  <si>
    <t>225 Grand
225 Grand St, Jersey City, NJ 07302</t>
  </si>
  <si>
    <t>351 Marin
351 Marin Blvd, Jersey City, NJ 07302</t>
  </si>
  <si>
    <t>Beacon Hill Apartments
100 Buckingham Street, Marlboro, NJ 07751</t>
  </si>
  <si>
    <t>Grove Pointe 
100 Christopher Columbus Drive, Jersey City, NJ 07302</t>
  </si>
  <si>
    <t>Jackson Green Apartments
100 Justin Way, Jackson Township, NJ 08527</t>
  </si>
  <si>
    <t>Rock Pointe
1 Rock Pointe Pl, Rockaway, NJ 07866</t>
  </si>
  <si>
    <t>Rose Hall Apartments
10 Kings Rd, Madison, NJ 07940</t>
  </si>
  <si>
    <t>The Hopewell Chapter
1 Samuel Peterson Dr, Hopewell Township, NJ 08560</t>
  </si>
  <si>
    <t>Valley View Park Apartments
6000 Morris Pl, East Hanover, NJ 07936</t>
  </si>
  <si>
    <t>Whiton Hills Apartments
804 Bermuda Drive, Branchburg, NJ 08853</t>
  </si>
  <si>
    <t>Lehigh Hill Apartments 
100 Aviv Street, Fogelsville, PA 18051</t>
  </si>
  <si>
    <t>Spring View Apartments
311 Robert Morris Blvd, Allentown, PA18104</t>
  </si>
  <si>
    <t>Willow Pointe Apartments
2405 Maryland Rd, Willow Grove, PA 19090</t>
  </si>
  <si>
    <t>The Villages at Bey Lea | Toms River Apartments
30 Green View Way, Toms River, NJ 08753</t>
  </si>
  <si>
    <t>Summit Hill Apartments
100 Stone Hill Rd, Springfield, NJ 07081</t>
  </si>
  <si>
    <t>Centurion Elizabeth
321 S Broad St, Elizabeth, NJ 07202</t>
  </si>
  <si>
    <t>LANDMARK</t>
  </si>
  <si>
    <t>Centurion Elizabeth
614-620 S Broad St, Elizabeth, NJ 07202</t>
  </si>
  <si>
    <t>Centurion Ironbound
42-50 Vesey Street, Newark, NJ 07105</t>
  </si>
  <si>
    <t>Centurion River Park
1181 Morris Avenue, Union, NJ 07083</t>
  </si>
  <si>
    <t>Centurion Sleepy Hollow
1222 South Ave, Plainfield, NJ 07062</t>
  </si>
  <si>
    <t>Centurion Union Center
945 Stuyvesant Ave., Union, NJ 07083</t>
  </si>
  <si>
    <t>Centurion Union Center
946 Stuyvesant Ave., Union, NJ 07083</t>
  </si>
  <si>
    <t>Centurion Union Center
968 Bonnel Court, Union, NJ 07083</t>
  </si>
  <si>
    <t>Centurion Union Center
975 Bonnel Court, Union, NJ 07083</t>
  </si>
  <si>
    <t>LANDMARK
530 Chestnut St Union, NJ 07083</t>
  </si>
  <si>
    <t>Valley &amp; Bloom
34 Valley Rd, Montclair, NJ 07042</t>
  </si>
  <si>
    <t xml:space="preserve">LCOR </t>
  </si>
  <si>
    <t>210 Main
210 Main St, Hackensack, NJ 07601</t>
  </si>
  <si>
    <t>Meridian Living</t>
  </si>
  <si>
    <t>Rivet 23 (Riv1)
23 University Place Blvd, Jersey City, NJ  07305</t>
  </si>
  <si>
    <t>Rivet 26 (Riv2)
26 University Place Blvd, Jersey City, NJ  07305</t>
  </si>
  <si>
    <t>The Mews
1305 Paterson Plank Rd, North Bergen, NJ 07047</t>
  </si>
  <si>
    <t>Metropolis Parking
90 Town Square Place Jersey City, NJ  07310</t>
  </si>
  <si>
    <t>Metropolis Technologies Inc (Newport)</t>
  </si>
  <si>
    <t>Metropolis Parking 
(River Market Garage)
20 North Blvd, Jersey City, NJ 07310</t>
  </si>
  <si>
    <t>Modera Montville
340 Changebridge Rd, Pine Brook, NJ 07058</t>
  </si>
  <si>
    <t>Mill Creek Residential</t>
  </si>
  <si>
    <t>Modera Woodbridge
10 Main street Woodbridge NJ 07095</t>
  </si>
  <si>
    <t>Horizons at Scales Plaza
100-101 Scales Plaza, Clifton, NJ</t>
  </si>
  <si>
    <t xml:space="preserve">Montvale Commons </t>
  </si>
  <si>
    <t>Montvale Commons 150 Nottingham CT Montvale,NJ 07645</t>
  </si>
  <si>
    <t xml:space="preserve">Sam's Place Apartments
446 E 19th St, NJ Paterson, NJ  07524 </t>
  </si>
  <si>
    <t>Senior Horizon at Clifton 714 Clifton Ave. Clifton Ave.,NJ 07013</t>
  </si>
  <si>
    <t>200 Warren St Newark NJ</t>
  </si>
  <si>
    <t xml:space="preserve">NJIT Management </t>
  </si>
  <si>
    <t>1001 Jefferson Ave Rahway, NJ 07065</t>
  </si>
  <si>
    <t>No Charge / Courtesy Job</t>
  </si>
  <si>
    <t>1067 Stasia Street Teaneck,NJ 07666</t>
  </si>
  <si>
    <t>11 Maxwell Rd, East Brunswick, NJ 08816</t>
  </si>
  <si>
    <t>11 Sperling Rd, Clifton, NJ 07013</t>
  </si>
  <si>
    <t>110 Broad St, Newark NJ 07104</t>
  </si>
  <si>
    <t>1100 Clinton St Hoboken, NJ 07030</t>
  </si>
  <si>
    <t>111 Belmont Avenue, Garfield NJ</t>
  </si>
  <si>
    <t>1115 86th St North Bergen NJ</t>
  </si>
  <si>
    <t>1119 Orange Rd. Cranford, NJ 07016</t>
  </si>
  <si>
    <t>119 Peach Road Marlton NJ 08053</t>
  </si>
  <si>
    <t>120 W Edward Street Iselin, NJ (Tony santa House )</t>
  </si>
  <si>
    <t>122 Wallace St Edison NJ 08817</t>
  </si>
  <si>
    <t>14 Abbett Street in Jersey City
(No Charge / Courtesy Job)</t>
  </si>
  <si>
    <t>1444 River Rd Edgewater, NJ 07020</t>
  </si>
  <si>
    <t>16 East Midland Av, Kearny Nj</t>
  </si>
  <si>
    <t>165 Sherman Avenue Newark</t>
  </si>
  <si>
    <t>192 Griffith St Jersey City, NJ 07307</t>
  </si>
  <si>
    <t>2124 Tasker Street 
Philadelphia PA 19145</t>
  </si>
  <si>
    <t>225 S 4th St, Philadelphia PA 19106</t>
  </si>
  <si>
    <t>238 Howard ave Rochelle Park 07662</t>
  </si>
  <si>
    <t>305 Columbia Common, Hillsborough Township,NJ 08844</t>
  </si>
  <si>
    <t>32 Charles St Roselle Park, NJ 07204</t>
  </si>
  <si>
    <t>3313 Cleveland Ln Rockaway, NJ 07866</t>
  </si>
  <si>
    <t>333 Clinton St Haledon, NJ 07508</t>
  </si>
  <si>
    <t>333 Liberty St Little Ferry, NJ 07643</t>
  </si>
  <si>
    <t>4 Willow Grove Way
Manalapan Township, NJ</t>
  </si>
  <si>
    <t>40 Parker Rd Suite #100 Elizabeth, NJ 07208</t>
  </si>
  <si>
    <t>422 Essex St Hackensack NJ</t>
  </si>
  <si>
    <t>466 W Scott Ave Rahway NJ 0706</t>
  </si>
  <si>
    <t>52 Adams Terrace Clifton, NJ 07013</t>
  </si>
  <si>
    <t>74 Bleecker St Jersey City</t>
  </si>
  <si>
    <t>8 Tice St Bloomingdale, NJ 07403</t>
  </si>
  <si>
    <t>9 Sparrow Drive, Sparta NJ</t>
  </si>
  <si>
    <t>961 Wilson Ave  Teaneck NJ 07666</t>
  </si>
  <si>
    <t xml:space="preserve">196 Poplar Ave Hackensack </t>
  </si>
  <si>
    <t>283 Sparta Ave Sparta, NJ 07871</t>
  </si>
  <si>
    <t>459 Norwood St East Orange, NJ 07018</t>
  </si>
  <si>
    <t>13 Old Schoolhouse Rd Asbury, NJ 08802</t>
  </si>
  <si>
    <t>311 Union St, Boonton, NJ 07005</t>
  </si>
  <si>
    <t>15 Dalton Pl Bergenfield, NJ 07621</t>
  </si>
  <si>
    <t>1114 92nd St North Bergen, NJ 07047</t>
  </si>
  <si>
    <t>722 Chancellor Apartments
722 Chancellor Ave, Irvington, NJ 07111</t>
  </si>
  <si>
    <t>NRP Group Management</t>
  </si>
  <si>
    <t>1 Britton St Jersey City, NJ 07306</t>
  </si>
  <si>
    <t xml:space="preserve">Optimum </t>
  </si>
  <si>
    <t>1 Tonnelle Ave Jersey City, NJ 07306</t>
  </si>
  <si>
    <t>104 Booraem Ave Jersey City, NJ 07307</t>
  </si>
  <si>
    <t>1062 West Side Ave Jersey City, NJ 07306</t>
  </si>
  <si>
    <t>108 60th St West New York, NJ 07093</t>
  </si>
  <si>
    <t>110 61st St West New York, NJ 07093</t>
  </si>
  <si>
    <t>114 Stuyvesant Ave Jersey City, NJ 07306</t>
  </si>
  <si>
    <t>118 74th St North Bergen, NJ 07047</t>
  </si>
  <si>
    <t>119 Roosevelt Ave Jersey City, NJ 07304</t>
  </si>
  <si>
    <t>121 Roosevelt Ave Jersey City, NJ 07304</t>
  </si>
  <si>
    <t>123 Roosevelt Ave Jersey City, NJ 07304</t>
  </si>
  <si>
    <t>124 74th St North Bergen, NJ 07047</t>
  </si>
  <si>
    <t>124 Neptune Ave Jersey City, NJ 07305</t>
  </si>
  <si>
    <t>126 Corbin Ave Jersey City, NJ 07306</t>
  </si>
  <si>
    <t>126 Neptune Ave Jersey City, NJ 07305</t>
  </si>
  <si>
    <t>128 Neptune Ave Jersey City, NJ 07305</t>
  </si>
  <si>
    <t>13 Olean Ave Jersey City, NJ 07304</t>
  </si>
  <si>
    <t>130 Corbin Ave Jersey City, NJ 07306</t>
  </si>
  <si>
    <t>134 Corbin Ave Jersey City, NJ 07306</t>
  </si>
  <si>
    <t>1357 John F. Kennedy Blvd Jersey City, NJ 07305</t>
  </si>
  <si>
    <t>140 71st St Guttenberg, NJ 07093</t>
  </si>
  <si>
    <t>143 Lafayette St Jersey City, NJ 07304</t>
  </si>
  <si>
    <t>15 Olean Ave Jersey City, NJ 07304</t>
  </si>
  <si>
    <t>153 Academy St Jersey City, NJ 07302</t>
  </si>
  <si>
    <t>1531 John F. Kennedy Blvd Jersey City, NJ 07305</t>
  </si>
  <si>
    <t>1533 John F. Kennedy Blvd Jersey City, NJ 07305</t>
  </si>
  <si>
    <t>1535 John F. Kennedy Blvd Jersey City, NJ 07305</t>
  </si>
  <si>
    <t>1537 John F. Kennedy Blvd Jersey City, NJ 07305</t>
  </si>
  <si>
    <t>154 Summit Ave Jersey City, NJ 07304</t>
  </si>
  <si>
    <t>168 Harrison Ave Jersey City, NJ 07304</t>
  </si>
  <si>
    <t>169 Manhattan Ave Jersey City, NJ 07307</t>
  </si>
  <si>
    <t>17 Kensington Ave Jersey City, NJ 07304</t>
  </si>
  <si>
    <t>18-20 Wright Ave Jersey City, NJ 07306</t>
  </si>
  <si>
    <t>19 Kensington Ave Jersey City, NJ 07304</t>
  </si>
  <si>
    <t>20 Emory St Jersey City, NJ 07304</t>
  </si>
  <si>
    <t>205 Monticello Ave Jersey City, NJ 07304</t>
  </si>
  <si>
    <t>207 Webster Ave Jersey City, NJ 07307</t>
  </si>
  <si>
    <t>209 New York Ave Jersey City, NJ 07307</t>
  </si>
  <si>
    <t>225 Academy St Jersey City, NJ 07306</t>
  </si>
  <si>
    <t>234 52nd St West New York, NJ 07093</t>
  </si>
  <si>
    <t>234-236 Jewett Ave, Jersey City, NJ 07304</t>
  </si>
  <si>
    <t>235 56th St West New York, NJ 07093</t>
  </si>
  <si>
    <t>2465 John F. Kennedy Blvd Jersey City, NJ 07304</t>
  </si>
  <si>
    <t>25 Kensington Ave Jersey City, NJ 07304</t>
  </si>
  <si>
    <t>2677 John F. Kennedy Blvd Jersey City, NJ 07306</t>
  </si>
  <si>
    <t>2729 John F. Kennedy Blvd Jersey City, NJ 07306</t>
  </si>
  <si>
    <t>28 Belvidere Ave Jersey City, NJ 07304</t>
  </si>
  <si>
    <t>24 Belvidere Ave Jersey City, NJ 07304</t>
  </si>
  <si>
    <t>301 71st St Guttenberg, NJ 07093</t>
  </si>
  <si>
    <t>303 58th St West New York, NJ 07093</t>
  </si>
  <si>
    <t>303 59th St West New York, NJ 07093</t>
  </si>
  <si>
    <t>304 50th St West New York, NJ 07093</t>
  </si>
  <si>
    <t>3143 John F. Kennedy Blvd Jersey City, NJ 07306</t>
  </si>
  <si>
    <t>3149 John F. Kennedy Blvd Jersey City, NJ 07306</t>
  </si>
  <si>
    <t>328 61st St West New York, NJ 07093</t>
  </si>
  <si>
    <t>330 50th St West New York, NJ 07093</t>
  </si>
  <si>
    <t>332 61st St West New York, NJ 07093</t>
  </si>
  <si>
    <t>37 Duncan Ave Jersey City, NJ 07304</t>
  </si>
  <si>
    <t>3719 John F. Kennedy Blvd Jersey City, NJ 07307</t>
  </si>
  <si>
    <t>38 Broadway Jersey City, NJ 07306</t>
  </si>
  <si>
    <t>384 Baldwin Ave Jersey City, NJ 07306</t>
  </si>
  <si>
    <t>39 Duncan Ave Jersey City, NJ 07304</t>
  </si>
  <si>
    <t>393 Central Ave Jersey City, NJ 07307</t>
  </si>
  <si>
    <t>400 52nd St West New York, NJ 07093</t>
  </si>
  <si>
    <t>401 53rd St West New York, NJ 07093</t>
  </si>
  <si>
    <t>409 54th St West New York, NJ 07093</t>
  </si>
  <si>
    <t>409 59th St West New York, NJ 07093</t>
  </si>
  <si>
    <t>413 54th St West New York, NJ 0709</t>
  </si>
  <si>
    <t>417 54th St West New York, NJ 07093</t>
  </si>
  <si>
    <t>42 Broadway Jersey City, NJ 07306</t>
  </si>
  <si>
    <t>429 Hoboken Ave Jersey City, NJ 07306</t>
  </si>
  <si>
    <t>45 Clifton Pl Jersey City, NJ 07304</t>
  </si>
  <si>
    <t>46 Vroom St Jersey City, NJ 07306</t>
  </si>
  <si>
    <t>47 Duncan Ave Jersey City, NJ 07304</t>
  </si>
  <si>
    <t>500 Baldwin Ave Jersey City, NJ 07306</t>
  </si>
  <si>
    <t>5004 Palisade Ave West New York, NJ 07093</t>
  </si>
  <si>
    <t>5006 Palisade Ave West New York, NJ 07093</t>
  </si>
  <si>
    <t>5008 Palisade Ave West New York, NJ 07093</t>
  </si>
  <si>
    <t>508 67th St,  West New York, NJ 07093</t>
  </si>
  <si>
    <t>5105 Hudson Ave West New York, NJ 07093</t>
  </si>
  <si>
    <t>5107 Hudson Ave West New York, NJ 07093</t>
  </si>
  <si>
    <t>5110 Bergenline Ave West New York, NJ 07093</t>
  </si>
  <si>
    <t>5111 Bergenline Ave West New York, NJ 07093</t>
  </si>
  <si>
    <t>516 Central Ave Jersey City, NJ 07307</t>
  </si>
  <si>
    <t>518 Central Ave Jersey City, NJ 07307</t>
  </si>
  <si>
    <t>520 Central Ave Jersey City, NJ 07307</t>
  </si>
  <si>
    <t>5206 Bergenline Ave West New York, NJ 07093</t>
  </si>
  <si>
    <t>5208 Bergenline Ave West New York, NJ 07093</t>
  </si>
  <si>
    <t>5300 Palisade Ave West New York, NJ 07093</t>
  </si>
  <si>
    <t>5301 Palisade Ave West New York, NJ 07093</t>
  </si>
  <si>
    <t>5304 Palisade Ave West New York, NJ 07093</t>
  </si>
  <si>
    <t>5307-11 Palisade ave, West New York, NJ 07093</t>
  </si>
  <si>
    <t>5311 Palisade ave, West New York, NJ 07093</t>
  </si>
  <si>
    <t>55 Graham St Jersey City, NJ 07307</t>
  </si>
  <si>
    <t>5604 Hudson Ave West New York, NJ 07093</t>
  </si>
  <si>
    <t>5608 Palisade Ave West New York, NJ 07093</t>
  </si>
  <si>
    <t>5708 Hudson Ave, West New York, NJ 07093</t>
  </si>
  <si>
    <t>5712 Hudson Ave, West New York, NJ 07093</t>
  </si>
  <si>
    <t>58 Van Reypen St Jersey City, NJ 07306</t>
  </si>
  <si>
    <t>580 59th St West New York, NJ 07093</t>
  </si>
  <si>
    <t>5801 Palisade Ave West New York, NJ 07093</t>
  </si>
  <si>
    <t>5902 Madison St West New York, NJ 07093</t>
  </si>
  <si>
    <t>594 West Side Ave Jersey City, NJ 07304</t>
  </si>
  <si>
    <t>596 West Side Ave Jersey City, NJ 07304</t>
  </si>
  <si>
    <t>6 Sheffield St Jersey City, NJ 07305</t>
  </si>
  <si>
    <t>6 Tonnelle Ave Jersey City, NJ 07306</t>
  </si>
  <si>
    <t>6000 Hudson Ave West New York, NJ 07093</t>
  </si>
  <si>
    <t>6000 Monroe Pl West New York, NJ 07093</t>
  </si>
  <si>
    <t>6119 Park Ave West New York, NJ 07093</t>
  </si>
  <si>
    <t>6120 Monroe Pl West New York, NJ 07093</t>
  </si>
  <si>
    <t>6208 Palisade Ave West New York, NJ 07093</t>
  </si>
  <si>
    <t>630 Bergen Ave Jersey City, NJ 07304</t>
  </si>
  <si>
    <t>6308 Broadway Ave West New York, NJ 07093</t>
  </si>
  <si>
    <t>6310 Broadway West New York, NJ 07093</t>
  </si>
  <si>
    <t>64 Newkirk St Jersey City, NJ 07306</t>
  </si>
  <si>
    <t>6404 Park Ave West New York, NJ 07093</t>
  </si>
  <si>
    <t>6611 Broadway West New York, NJ 07093</t>
  </si>
  <si>
    <t>6615 Broadway West New York, NJ 07093</t>
  </si>
  <si>
    <t>67 Stuyvesant Ave Jersey City, NJ 07306</t>
  </si>
  <si>
    <t>7011 Hudson Ave Guttenberg, NJ 07093</t>
  </si>
  <si>
    <t>7222 Broadway North Bergen, NJ 07047</t>
  </si>
  <si>
    <t>7328 John F. Kennedy Blvd North Bergen, NJ 07047</t>
  </si>
  <si>
    <t>78 Congress St Jersey City, NJ 07307</t>
  </si>
  <si>
    <t>836 Pavonia Ave Jersey City, NJ 07306</t>
  </si>
  <si>
    <t>8610 John F. Kennedy Blvd North Bergen, NJ 0704</t>
  </si>
  <si>
    <t>863 Pavonia Ave Jersey City, NJ 07306</t>
  </si>
  <si>
    <t>9 Garrison Ave Jersey City, NJ 07306</t>
  </si>
  <si>
    <t>92 Highland Ave Jersey City, NJ 07306</t>
  </si>
  <si>
    <t>943 Pavonia Ave Jersey City, NJ 07306</t>
  </si>
  <si>
    <t>95 Beacon Ave Jersey City, NJ 07306</t>
  </si>
  <si>
    <t>96 Highland Ave Jersey City</t>
  </si>
  <si>
    <t>96 Wayne St Jersey City, NJ 07302</t>
  </si>
  <si>
    <t>98 Wayne St Jersey City, NJ 07302</t>
  </si>
  <si>
    <t>William Flats
15 William St, Newark, NJ 07102</t>
  </si>
  <si>
    <t>Paramount Assets</t>
  </si>
  <si>
    <t>Netherwood Flats
829 South Ave, Plainfield, NJ 07062</t>
  </si>
  <si>
    <t>Halston Flats
1225 Raymond Blvd, Newark, NJ 07102</t>
  </si>
  <si>
    <t>Clinton Flats
40 Clinton St, Newark, NJ 07102</t>
  </si>
  <si>
    <t>Clinton Flats
30 Clinton St, Newark, NJ 07102</t>
  </si>
  <si>
    <t>375 McCarter Hwy Newark, NJ 07114</t>
  </si>
  <si>
    <t>17 Academy St Newark, NJ 07102</t>
  </si>
  <si>
    <t>Central Flats
586 Central Ave, East Orange, NJ 07018</t>
  </si>
  <si>
    <t>756 Broad St Newark, NJ 07102</t>
  </si>
  <si>
    <t>146 Main St Paterson, NJ 07505</t>
  </si>
  <si>
    <t>Frontier Flats
163 E Front St, Plainfield, NJ 07060</t>
  </si>
  <si>
    <t>1522 Chestnut St Philadelphia, PA 19102
 (Commercial Space)</t>
  </si>
  <si>
    <t>Post Brothers</t>
  </si>
  <si>
    <t>Erbe
1001 N 2nd St Philadelphia, PA 19123</t>
  </si>
  <si>
    <t>Liberties Walk and Townhomes
1022-1030 N 2nd St, Philadelphia, PA 19123</t>
  </si>
  <si>
    <t>One Thousand One
1001 S Broad St, Philadelphia, PA 19147</t>
  </si>
  <si>
    <t>Piazza Alta
1099 Germantown Ave Philadelphia, PA 19123</t>
  </si>
  <si>
    <t>Piazza Montesino
1010 N Hancock St Philadelphia, PA 19123</t>
  </si>
  <si>
    <t>Piazza Navona
1050 N Hancock St, Philadelphia, PA 19123</t>
  </si>
  <si>
    <t>Rittenhouse Hill
633 W Rittenhouse Street Philadelphia, PA  19144</t>
  </si>
  <si>
    <t>The Atlantic
1401 Spruce St, Philadelphia, PA 19102</t>
  </si>
  <si>
    <t>The Cove at The Piazza 
1020 N Hancock St, Philadelphia, PA 19123</t>
  </si>
  <si>
    <t>The Darien
815 Poplar St, Philadelphia, PA 19123</t>
  </si>
  <si>
    <t>The Duchess
7601 River Rd, North Bergen, NJ 07047</t>
  </si>
  <si>
    <t>The Piazza Townhomes Philadelphia, PA</t>
  </si>
  <si>
    <t>The Poplar Apartments 
900 N 9th Street Philadelphia PA</t>
  </si>
  <si>
    <t>Mercato (Corporate Office)
1021 N Hancock St, Philadelphia, PA 19123</t>
  </si>
  <si>
    <t>City Line Bayonne
317 Ave E, Bayonne, NJ 07002</t>
  </si>
  <si>
    <t xml:space="preserve">PRC Group </t>
  </si>
  <si>
    <t>City Line Bayonne
318 Ave E, Bayonne, NJ 07002</t>
  </si>
  <si>
    <t>City Line East 
15 Carbon Pl, Jersey City, NJ 07305</t>
  </si>
  <si>
    <t>City Line West 
33 University Pl Blvd, Jersey City, NJ 07305</t>
  </si>
  <si>
    <t>10 Orton Rd
West Caldwell, NJ 07006</t>
  </si>
  <si>
    <t>Private Job</t>
  </si>
  <si>
    <t>14 Abbett Street in Jersey City
(Private Job)</t>
  </si>
  <si>
    <t>203 Walnut St Englewood, NJ 07631</t>
  </si>
  <si>
    <t>21 Coventry Way
Ringwood, NJ 07456</t>
  </si>
  <si>
    <t>31 Avenue C Haledon, NJ 07508</t>
  </si>
  <si>
    <t>32-34 Hamilton St Newton, NJ 07860</t>
  </si>
  <si>
    <t>35 Haliday Street Clark, NJ 07066</t>
  </si>
  <si>
    <t>448 Goffle Rd Hawthorne, NJ 07506</t>
  </si>
  <si>
    <t>pending to be assigned</t>
  </si>
  <si>
    <t>50 Wayland Drive, Verona, NJ 07044</t>
  </si>
  <si>
    <t>6507 Park Ave, West New York</t>
  </si>
  <si>
    <t>7 Village Green Court</t>
  </si>
  <si>
    <t>82 Deerfield St. 
Bergenfield, NJ 07621</t>
  </si>
  <si>
    <t>820 Edgewater Ave, Ridgefield NJ 07657</t>
  </si>
  <si>
    <t>8208 5th Ave
North Bergen, NJ 07047</t>
  </si>
  <si>
    <t>827 Mount. Prospect Ave Newark, NJ 07104</t>
  </si>
  <si>
    <t>9109 Smith Ave
North Bergen, NJ 07047</t>
  </si>
  <si>
    <t>948 pine Street Plainfield, Nj 07060</t>
  </si>
  <si>
    <t>Leap Insurance Agency
111 Town Square Place
Jersey City, NJ  07310</t>
  </si>
  <si>
    <t>SP Plus Garage
2 Mall Drive E. Jersey City, NJ 07310</t>
  </si>
  <si>
    <t>The Palisades
100 Old Palisade Rd, Fort Lee, NJ 07024</t>
  </si>
  <si>
    <t>United Way of Greater Union County 
219 Central Ave, Rahway, NJ 07065</t>
  </si>
  <si>
    <t>531 4th St Palisades Park, NJ 07650</t>
  </si>
  <si>
    <t xml:space="preserve">152 linden avenue Verona Nj </t>
  </si>
  <si>
    <t>1788 Rensselaer RdTeaneck, NJ 0766</t>
  </si>
  <si>
    <t>(Kayleigh's house  Bozzuto regional manager)</t>
  </si>
  <si>
    <t>33 Wall St Red Bank, NJ 07701</t>
  </si>
  <si>
    <t xml:space="preserve"> Eric from kalian management Send to: laytonrealty@gmail.com</t>
  </si>
  <si>
    <t>29 Wall St Red Bank, NJ 07701</t>
  </si>
  <si>
    <t>68 Kings Hwy Orangeburg NY 10962</t>
  </si>
  <si>
    <t>333 West Clinton St Haledon  NJ 07508</t>
  </si>
  <si>
    <t>266 Lee St Elmwood Park, NJ 07407</t>
  </si>
  <si>
    <t>Daniel Garcia</t>
  </si>
  <si>
    <t>Fifty58
58 E Midland Avenue Paramus, NJ 07652</t>
  </si>
  <si>
    <t>This client is referred by Brian from Sparrow and this property will be managed Soon by Sparrow</t>
  </si>
  <si>
    <t>6 Carnation Ave Ellenville, NY 12428</t>
  </si>
  <si>
    <t>The Atwater
1000 W Fort Lee Rd, Bogota, NJ 07603</t>
  </si>
  <si>
    <t xml:space="preserve">RCB Urban Renewal / PCD Development </t>
  </si>
  <si>
    <t>The Waverton
1631 Paterson Plank Rd, Secaucus, NJ 07094</t>
  </si>
  <si>
    <t>RHO</t>
  </si>
  <si>
    <t>345 Baldwin
345 Baldwin Ave Jersey City, NJ 07306</t>
  </si>
  <si>
    <t>Rose Associates</t>
  </si>
  <si>
    <t>39 High Street
39 High Street Jersey City, NJ 07306</t>
  </si>
  <si>
    <t>425 Summit 
425 Summit Ave Jersey City, NJ 07306</t>
  </si>
  <si>
    <t>Berry Street Commons
42 Berry Street Somerset, NJ 08873</t>
  </si>
  <si>
    <t>RPM DEVELOPMENT GROUP</t>
  </si>
  <si>
    <t>Berry Street Commons
44 Berry Street Somerset, NJ 08873</t>
  </si>
  <si>
    <t>Franklin Boulevard Commons
727 Franklin Boulevard Somerset, NJ 08873</t>
  </si>
  <si>
    <t>Parkside Family
3-38 Parkside Street  Somerset, NJ 08873 (Mark Street, Victor Street, Chester Avenue and Minetta Road)</t>
  </si>
  <si>
    <t>Parkside Senior 
25 Parkside Street Somerset, NJ 08873</t>
  </si>
  <si>
    <r>
      <t xml:space="preserve">Somerset Square
</t>
    </r>
    <r>
      <rPr>
        <b/>
        <sz val="18"/>
        <rFont val="Calibri"/>
        <family val="2"/>
      </rPr>
      <t>Building A:</t>
    </r>
    <r>
      <rPr>
        <sz val="18"/>
        <rFont val="Calibri"/>
        <family val="2"/>
      </rPr>
      <t xml:space="preserve"> 1 Shepherd Street
Somerset, NJ 08873</t>
    </r>
  </si>
  <si>
    <r>
      <t xml:space="preserve">Somerset Square
</t>
    </r>
    <r>
      <rPr>
        <b/>
        <sz val="18"/>
        <rFont val="Calibri"/>
        <family val="2"/>
      </rPr>
      <t>Building B:</t>
    </r>
    <r>
      <rPr>
        <sz val="18"/>
        <rFont val="Calibri"/>
        <family val="2"/>
      </rPr>
      <t xml:space="preserve"> 3 Yaworsky Way Somerset, NJ 08873</t>
    </r>
  </si>
  <si>
    <r>
      <t xml:space="preserve">Somerset Square
</t>
    </r>
    <r>
      <rPr>
        <b/>
        <sz val="18"/>
        <rFont val="Calibri"/>
        <family val="2"/>
      </rPr>
      <t>Building C:</t>
    </r>
    <r>
      <rPr>
        <sz val="18"/>
        <rFont val="Calibri"/>
        <family val="2"/>
      </rPr>
      <t xml:space="preserve"> 2 Shepherd Street
Somerset, NJ 08873</t>
    </r>
  </si>
  <si>
    <r>
      <t xml:space="preserve">Somerset Square
</t>
    </r>
    <r>
      <rPr>
        <b/>
        <sz val="18"/>
        <rFont val="Calibri"/>
        <family val="2"/>
      </rPr>
      <t>Building D:</t>
    </r>
    <r>
      <rPr>
        <sz val="18"/>
        <rFont val="Calibri"/>
        <family val="2"/>
      </rPr>
      <t xml:space="preserve"> 1, 3, 5, 7 Gurley St Somerset, NJ 08873 / 4, 6, Shepherd Street Somerset, NJ 08873</t>
    </r>
  </si>
  <si>
    <r>
      <t xml:space="preserve">Somerset Square
</t>
    </r>
    <r>
      <rPr>
        <b/>
        <sz val="18"/>
        <rFont val="Calibri"/>
        <family val="2"/>
      </rPr>
      <t>Building E</t>
    </r>
    <r>
      <rPr>
        <sz val="18"/>
        <rFont val="Calibri"/>
        <family val="2"/>
      </rPr>
      <t>: 9, 11, 13 Gurley St Somerset, NJ 08873 / 8, 10  Shepherd Street Somerset, NJ 08873</t>
    </r>
  </si>
  <si>
    <t>Voorhees Station
    10 Camner Avenue Somerset, NJ 08873</t>
  </si>
  <si>
    <t>Voorhees Station
27A,B Voorhees Avenue, NJ 08873</t>
  </si>
  <si>
    <t>Voorhees Station
863 Somerset Street Somerset, NJ 08873</t>
  </si>
  <si>
    <t>Print House
160 River St, Hackensack, NJ 07601</t>
  </si>
  <si>
    <t>Russo Management</t>
  </si>
  <si>
    <t>Vermella Harrison
1100 Frank E Rodgers Blvd S, Harrison, NJ 07029</t>
  </si>
  <si>
    <t>Vermella Waldwick Station
41 W Prospect St, Waldwick, NJ 07463</t>
  </si>
  <si>
    <t>1015 Clinton St Hoboken, NJ 07030</t>
  </si>
  <si>
    <t>Skylight</t>
  </si>
  <si>
    <t>104 Jefferson St Hoboken, NJ 07030</t>
  </si>
  <si>
    <t>1200 Washington St Hoboken, NJ 07030</t>
  </si>
  <si>
    <t>1224 Washington St Hoboken, NJ 07030</t>
  </si>
  <si>
    <t>1229 Park Ave Hoboken, NJ 07030</t>
  </si>
  <si>
    <t>124 Bloomfield St Hoboken, NJ 07030</t>
  </si>
  <si>
    <t>1327 Willow Ave Hoboken, NJ 07030</t>
  </si>
  <si>
    <t>153 1st St Hoboken, NJ 07030</t>
  </si>
  <si>
    <t>163 3rd St Hoboken, NJ 07030</t>
  </si>
  <si>
    <t>204 Park Ave Hoboken, NJ 07030</t>
  </si>
  <si>
    <t>206 Bloomfield St Hoboken, NJ 07030</t>
  </si>
  <si>
    <t>216 Jefferson St Hoboken, NJ 07030</t>
  </si>
  <si>
    <t>216 Madison St Hoboken, NJ 07030</t>
  </si>
  <si>
    <t>220 Madison St Hoboken, NJ 07030</t>
  </si>
  <si>
    <t>221 Washington St, Hoboken, NJ  07030</t>
  </si>
  <si>
    <t>303 1st St Hoboken, NJ 07030</t>
  </si>
  <si>
    <t>335 Garden St Hoboken, NJ 07030</t>
  </si>
  <si>
    <t>500 Monroe St Hoboken, NJ 07030</t>
  </si>
  <si>
    <t>510 Observer Hwy Hoboken, NJ 07030</t>
  </si>
  <si>
    <t>527 Park Ave Hoboken, NJ 07030</t>
  </si>
  <si>
    <t>529 Park Ave Hoboken, NJ 07030</t>
  </si>
  <si>
    <t>56 Monroe St Hoboken, NJ 07030</t>
  </si>
  <si>
    <t>605 Jefferson St Hoboken, NJ 07030</t>
  </si>
  <si>
    <t>615 Monroe St Hoboken, NJ 07030</t>
  </si>
  <si>
    <t>716 Madison St Hoboken, NJ 07030</t>
  </si>
  <si>
    <t>830 Hudson St Hoboken, NJ 07030</t>
  </si>
  <si>
    <t>929 Willow Ave Hoboken, NJ 07030</t>
  </si>
  <si>
    <t>Grand Adams Apartments
300 Grand St, Hoboken, NJ 07030</t>
  </si>
  <si>
    <t>Infinity at Edgewater
340 Old River Rd, Edgewater, NJ 07020</t>
  </si>
  <si>
    <t>Riello 
99 Gorge Rd, Edgewater, NJ 07020</t>
  </si>
  <si>
    <t>The Ashton 
2 Ash Street, Jersey City</t>
  </si>
  <si>
    <t>The Sterling
2055 Center Ave, Fort Lee, NJ 07024</t>
  </si>
  <si>
    <t>10 N. Main
10 N Main St Wharton, NJ 07885</t>
  </si>
  <si>
    <t xml:space="preserve">Sparrow </t>
  </si>
  <si>
    <t>1664 Stuyvesant Ave.Union, NJ 07083</t>
  </si>
  <si>
    <t xml:space="preserve">2 Broad Street, Suite 600  Bloomfield, NJ. </t>
  </si>
  <si>
    <t>320 Valley
320 Valley St, South Orange Village, NJ 07079</t>
  </si>
  <si>
    <t>Bridgewater Court Apartments
530 US-22, Bridgewater, NJ 08807</t>
  </si>
  <si>
    <t>Cedarcrest Building 
616 Bloomfield Ave, West Caldwell, NJ 07006</t>
  </si>
  <si>
    <t>Citizen Bound Brook
507 E Main St, Bound Brook, NJ 08805</t>
  </si>
  <si>
    <t>Crossroads 389 Apartments
389 Main St Hackensack, NJ 07606</t>
  </si>
  <si>
    <t>Oak Tree Plaza
600 NJ-34, Matawan, NJ 07747</t>
  </si>
  <si>
    <t>Six Points at Bloomfield Station
30 Farrand St, Bloomfield, NJ 07003</t>
  </si>
  <si>
    <t>The Randolph Apartments
1330 Randolph Rd, Plainfield, NJ 07060</t>
  </si>
  <si>
    <t>The Royal Bloomfield -
620 Bloomfield Ave, Bloomfield, NJ 07003</t>
  </si>
  <si>
    <t>Titan Corp US</t>
  </si>
  <si>
    <t>New management Titan Corp US started 01/26/2026</t>
  </si>
  <si>
    <t>The Vault at 900 Main
900 Main, Street, Belmar, NJ 07719</t>
  </si>
  <si>
    <t>Twenty-Nine Washington Apartments 29 Washington Ave, Carteret, NJ 07008</t>
  </si>
  <si>
    <t>The Arthur Carteret
21 Washington Ave, Carteret, NJ 07008</t>
  </si>
  <si>
    <t>Peach Tree Apartments
1101 Jubilee Ct, Livingston, NJ 07039</t>
  </si>
  <si>
    <t>The Marq Teaneck
329 Alfred Ave, Teaneck, NJ 07666</t>
  </si>
  <si>
    <t>Annin Lofts &amp; Luxury Apartments
151 Bloomfield Ave, Verona, NJ 07044</t>
  </si>
  <si>
    <t>Mosaic South Orange
88 Sloan St, South Orange Village, NJ 07079</t>
  </si>
  <si>
    <t>The Clair
37 Orange Rd, Montclair, NJ 07042</t>
  </si>
  <si>
    <t>300 Executive Drive – Suite 145
West Orange, NJ 07052</t>
  </si>
  <si>
    <t>Hudson Ridge Apartments 
Building 7112 JFK Blvd E North Bergen, NJ 07047</t>
  </si>
  <si>
    <t>Tower Management Service, LP</t>
  </si>
  <si>
    <t>Hudson Ridge Apartments 
Building 7200 JFK Blvd E North Bergen, NJ 07047</t>
  </si>
  <si>
    <t>Hudson Ridge Apartments 
Building 7212 JFK Blvd E North Bergen, NJ 07047</t>
  </si>
  <si>
    <t>Hudson Ridge Apartments 
Building 7300 JFK Blvd E North Bergen, NJ 07047</t>
  </si>
  <si>
    <t>Hudson Ridge Apartments 
Building 7312 JFK Blvd E North Bergen, NJ 07047</t>
  </si>
  <si>
    <t>77 Park Avenue Apartments
77 Park Ave, Hoboken, NJ 07030</t>
  </si>
  <si>
    <t>Two Coast Living</t>
  </si>
  <si>
    <t>Equity to Two Coast Living 12/30/25 Clerk Assignation pending by Murphy</t>
  </si>
  <si>
    <t>76 Saint Pauls Ave Jersey City, NJ</t>
  </si>
  <si>
    <t xml:space="preserve">Urban Property </t>
  </si>
  <si>
    <t>Archview Flats 
105B North St Bayonne, NJ 07002</t>
  </si>
  <si>
    <t>Conifer Flats
331 Pine St, Jersey City NJ</t>
  </si>
  <si>
    <t>Element Flats 
532 Jersey Ave Jersey City</t>
  </si>
  <si>
    <t>Haus25
25 Christopher Columbus Drive, Jersey City, NJ, 07302.</t>
  </si>
  <si>
    <t>New management Veris to RHO Residential June 2026</t>
  </si>
  <si>
    <t>Liberty Towers
33 Hudson St, Jersey City, NJ 07302.</t>
  </si>
  <si>
    <t>Liberty Towers
33 Hudson St, Jersey City, NJ 07302
(Renu Construction &amp;Remodeling Company)</t>
  </si>
  <si>
    <t>Renu</t>
  </si>
  <si>
    <t>Roberto Cañas / Carlos Perez</t>
  </si>
  <si>
    <t>RiverHouse 11 at Port Imperial 1100 Ave at Port Imperial, Weehawken Township, NJ 07086.</t>
  </si>
  <si>
    <t>RiverHouse 9 at Port Imperial
900 Ave at Port Imperial, Weehawken Township, NJ 07086.</t>
  </si>
  <si>
    <t>Sable
200 Greene Street, Jersey City, NJ 07311.</t>
  </si>
  <si>
    <t>Soho Lofts
273 16th St, Jersey City, NJ 07310.</t>
  </si>
  <si>
    <t>The BLVD Collection BLVD 401
401 Washington Blvd, Jersey City, NJ 07310.</t>
  </si>
  <si>
    <t>The BLVD Collection BLVD 425
425 Washington Blvd, Jersey City, NJ 07310.</t>
  </si>
  <si>
    <t>The BLVD Collection BLVD 475
475 Washington Blvd, Jersey City, NJ 07310.</t>
  </si>
  <si>
    <t>Livana East Hanover
72 Eagle Rock Ave, East Hanover, NJ 07936</t>
  </si>
  <si>
    <t>Westminster Management</t>
  </si>
  <si>
    <t>Windsor at Mariners Apartments
100 Tower Dr, Edgewater, NJ 07020</t>
  </si>
  <si>
    <t>Windsor Communities</t>
  </si>
  <si>
    <t>Twenty50
2050 Central Rd, Fort Lee, NJ 07024</t>
  </si>
  <si>
    <t>Windsor to Greystar 04/01/26</t>
  </si>
  <si>
    <t>Warren at York by Windsor Apartments
120 York St, Jersey City, NJ 07302</t>
  </si>
  <si>
    <t>Windsor at Liberty House Apartments 115 Morris St, Jersey City, NJ 07302</t>
  </si>
  <si>
    <t>66 Elm St Westfield, NJ 07090</t>
  </si>
  <si>
    <t xml:space="preserve">Winfield Properties </t>
  </si>
  <si>
    <t>Woodmont Forge Hopewell Township / 100 Forge Cir, Pennington, NJ 08534</t>
  </si>
  <si>
    <t xml:space="preserve">Woodmont Properties </t>
  </si>
  <si>
    <t>Woodmont Way at West Windsor / 100 Woodstone Circle, Princeton, NJ 08540</t>
  </si>
  <si>
    <t>Woodmont West 
100 Fieldstone Drive. Mt. Arlington, NJ 07856</t>
  </si>
  <si>
    <t>Avalon Parsippany
3 Campus Dr, Parsippany, NJ 07054</t>
  </si>
  <si>
    <t xml:space="preserve">Avalon Bay </t>
  </si>
  <si>
    <t>Avalon Wharton
111 East Dewey Avenue Wharton, NJ 07885</t>
  </si>
  <si>
    <t>Avalon Bloomfield Station
300 Glenwood Ave 1000 1000, Bloomfield, NJ 07003</t>
  </si>
  <si>
    <t>Avalon Bloomingdale 
1100 Avalon way Bloomingdale NJ 07403</t>
  </si>
  <si>
    <t>Avalon Boonton
1 Avalon Way, Boonton, NJ 07005</t>
  </si>
  <si>
    <t>Avalon Hackensack at Riverside
414 Hackensack Ave, Hackensack, NJ 07601</t>
  </si>
  <si>
    <t>Avalon Montville
85 Bloomfield Ave, Pine Brook, NJ 07058</t>
  </si>
  <si>
    <t>Avalon Teaneck
1775 Windsor Rd, Teaneck, NJ 07666</t>
  </si>
  <si>
    <t>Senior Horizon at Clifton 714 Clifton Ave. CliftonAve.,NJ 07013</t>
  </si>
  <si>
    <t>Avalon at Florham Park
1 Florence Dr, Florham Park, NJ 07932</t>
  </si>
  <si>
    <t>Avalon Maplewood
200 Boyden Ave, Maplewood, NJ 07040</t>
  </si>
  <si>
    <t>Avalon Old Bridge 
1 Avalon Way, Old Bridge, NJ 08857</t>
  </si>
  <si>
    <t>Avalon Piscataway 
7000 Avalon Way, Piscataway, NJ 08854</t>
  </si>
  <si>
    <t>Avalon Roseland
100 Avalon Blvd, Livingston, NJ 07039</t>
  </si>
  <si>
    <t>Avalon Somerville 
22 Robeson St, Somerville, NJ 08876</t>
  </si>
  <si>
    <t>Avalon Union
2400 Vauxhall Rd, Union, NJ 07083</t>
  </si>
  <si>
    <t>Avalon Princeton
100 Albert Wy, Princeton, NJ 08542</t>
  </si>
  <si>
    <t>Avalon Princeton SENIOR LIVING
500 Thanet Cir, Princeton, NJ 08540</t>
  </si>
  <si>
    <t>Highlands at South Plainfield Apartments 1300 Cook Lane, South Plainfield, NJ 07080</t>
  </si>
  <si>
    <t>Equity</t>
  </si>
  <si>
    <t>Stephen Manor
1100 Atlantic Ave C, Asbury Park, NJ 07712</t>
  </si>
  <si>
    <t>New Brunswick Apartments
33 Paul Robeson Blvd, New Brunswick, NJ 08901</t>
  </si>
  <si>
    <t>600 Central Ave 
East Orange, NJ 07018</t>
  </si>
  <si>
    <t>CHEAT SHEET</t>
  </si>
  <si>
    <t xml:space="preserve">WATERFRONT AREA ( Fort Lee - Edgewater - Cliffside Park - Fairview - North Bergen - West New York - Weehawken - Hoboken) </t>
  </si>
  <si>
    <t xml:space="preserve">UNIT </t>
  </si>
  <si>
    <t xml:space="preserve">STATUS </t>
  </si>
  <si>
    <t>SPECIAL NOTES</t>
  </si>
  <si>
    <t>BC SUPERVISORS DAILY STATUS REPORT</t>
  </si>
  <si>
    <t>PAINTERS, HANDYMEN, LABORERS</t>
  </si>
  <si>
    <t>FLOORING</t>
  </si>
  <si>
    <t>CLEANING</t>
  </si>
  <si>
    <t>REGLAZING, ELECTRICAL, PLUMBING, EXTERIOR, REPAIRS, GLASS, CARPET, ISES (Mold Test)</t>
  </si>
  <si>
    <t>NEWPORT - JERSEY CITY</t>
  </si>
  <si>
    <t>Cuxil Group / Sanai Pliability</t>
  </si>
  <si>
    <t xml:space="preserve">BAYONNE AND NJ OUTER AREAS ( South - West - North) </t>
  </si>
  <si>
    <t>AJ Canas Solutions or Cuxil</t>
  </si>
  <si>
    <t>Woods Solutions</t>
  </si>
  <si>
    <t>Woods Solutions: PAINTERS, HANDYMEN, LABORERS</t>
  </si>
  <si>
    <t>FLOORING, CLEANING, EGLAZING, ELECTRICAL, PLUMBING, EXTERIOR, REPAIRS, GLASS, CARPET, ISES (Mold Test)</t>
  </si>
  <si>
    <t>Occupied</t>
  </si>
  <si>
    <t>Bathtub reglaze</t>
  </si>
  <si>
    <t>Felix R Santos</t>
  </si>
  <si>
    <t>PO Pending</t>
  </si>
  <si>
    <t>Estimate 17292</t>
  </si>
  <si>
    <t xml:space="preserve">7 handys quoted </t>
  </si>
  <si>
    <t> </t>
  </si>
  <si>
    <r>
      <t>Purchase and Install:</t>
    </r>
    <r>
      <rPr>
        <sz val="18"/>
        <color rgb="FF00B050"/>
        <rFont val="Calibri"/>
        <family val="2"/>
      </rPr>
      <t xml:space="preserve"> bathroom exhaust </t>
    </r>
    <r>
      <rPr>
        <b/>
        <sz val="18"/>
        <color rgb="FF00B050"/>
        <rFont val="Calibri"/>
        <family val="2"/>
      </rPr>
      <t>NOTE:</t>
    </r>
    <r>
      <rPr>
        <sz val="18"/>
        <color rgb="FF00B050"/>
        <rFont val="Calibri"/>
        <family val="2"/>
      </rPr>
      <t xml:space="preserve"> The same one we used in the other units</t>
    </r>
  </si>
  <si>
    <t>Waiting for confitm with the property or ask Sebastian the best date</t>
  </si>
  <si>
    <t>4G</t>
  </si>
  <si>
    <t>Purchase and install shower door (Opening is 71 1/2 L X 47 1/2 w)  NOTE: For access, please call Steve (646) 299-5888 or Jeffery 929-218-9732</t>
  </si>
  <si>
    <t>Leasing Office</t>
  </si>
  <si>
    <t xml:space="preserve">Estimate 16644 </t>
  </si>
  <si>
    <t xml:space="preserve">Excellent Carpet </t>
  </si>
  <si>
    <t>1 Sink reglaze</t>
  </si>
  <si>
    <t xml:space="preserve">2BDR + Den </t>
  </si>
  <si>
    <t>Vacant</t>
  </si>
  <si>
    <t>2BDR</t>
  </si>
  <si>
    <t xml:space="preserve">Email </t>
  </si>
  <si>
    <t>Unit Cleaning  at 8:00am ON TIME Requested by Jay:+1 (771) 216-6167</t>
  </si>
  <si>
    <t>Unit cleaning at 8:00 am</t>
  </si>
  <si>
    <t>WTN 85963703</t>
  </si>
  <si>
    <t>1408W</t>
  </si>
  <si>
    <t>Paint unit at 8:00 am</t>
  </si>
  <si>
    <t>WTN 86394548</t>
  </si>
  <si>
    <t>Cleaning 09/02</t>
  </si>
  <si>
    <t>WTN 86393684</t>
  </si>
  <si>
    <t>2BDR Loft</t>
  </si>
  <si>
    <t>Unit Cleaning at 8:00 am</t>
  </si>
  <si>
    <t>PO-1536780</t>
  </si>
  <si>
    <t>Full laundry room build-up: Framing</t>
  </si>
  <si>
    <t>Cuxil Group / Sanai Piability</t>
  </si>
  <si>
    <t xml:space="preserve">PO Pending </t>
  </si>
  <si>
    <t>Estimate 17168</t>
  </si>
  <si>
    <t>Full laundry room build-up: Electric work</t>
  </si>
  <si>
    <t>Full laundry room build-up: Plumbing work</t>
  </si>
  <si>
    <t>E&amp;P Mechanical Corp Cassio</t>
  </si>
  <si>
    <t>Studio</t>
  </si>
  <si>
    <t>West Side Square
1075 West Side Ave, Jersey City, NJ 07306</t>
  </si>
  <si>
    <t>???</t>
  </si>
  <si>
    <t>Paint unit at 8:00 am and same-day cleaning</t>
  </si>
  <si>
    <t xml:space="preserve">1 handyman for 5 days Assist the property with handyman tasks work orders / make ready from Monday 08/31/26 through Friday 09/04/26 at 8am Note: send Othoniel Gonzalez </t>
  </si>
  <si>
    <t xml:space="preserve">2 daily painters for 6 days Assist the property with painter tasks from Saturday 08/28/26 and Monday 08/31/26 through Friday 09/04/26 at 8am  Note: property will provide all the materials and supervision 
</t>
  </si>
  <si>
    <t xml:space="preserve">Cuxil Group / Sanai Pliability </t>
  </si>
  <si>
    <t>Paint unit at 8:00am  For access call Alvin:+1 (201) 892-9447</t>
  </si>
  <si>
    <t>1 bathtub reglaze</t>
  </si>
  <si>
    <t xml:space="preserve">Felix R Santos </t>
  </si>
  <si>
    <t>Estimate 16775</t>
  </si>
  <si>
    <t>Pereira Glass</t>
  </si>
  <si>
    <t>Estimate 17291</t>
  </si>
  <si>
    <t>Dryer Sprinkler Closet &amp; Compressor Room Closet 6019</t>
  </si>
  <si>
    <r>
      <rPr>
        <b/>
        <sz val="18"/>
        <color rgb="FF00B050"/>
        <rFont val="Calibri"/>
        <family val="2"/>
      </rPr>
      <t>Room Soundproofing:</t>
    </r>
    <r>
      <rPr>
        <sz val="18"/>
        <color rgb="FF00B050"/>
        <rFont val="Calibri"/>
        <family val="2"/>
      </rPr>
      <t xml:space="preserve"> Remove and dispose of the existing drywall and insulation as required. \ Furnish and install soundproofing insulation and sound-reducing drywall. \ Furnish and install acoustical putty pads at the required electrical outlet locations. \ Apply acoustical sealant at all perimeter joints, penetrations, and gaps as required to improve sound reduction. \ Tape, mud, sand, and finish repaired drywall surfaces to a paint-ready finish. \ Prime and paint the entire room to match the existing color. \ Leave the work area free of debris upon completion.</t>
    </r>
  </si>
  <si>
    <t>Estimate 17209</t>
  </si>
  <si>
    <t>Materials ETA 08/31</t>
  </si>
  <si>
    <t>Fire Pump  / Elevator Machine Room</t>
  </si>
  <si>
    <t>Estimate 16451</t>
  </si>
  <si>
    <t>Project for skylight renovations not the property. Please invoce accordingly</t>
  </si>
  <si>
    <t xml:space="preserve">Atlas Moises Rivas / Jesua Mancilla </t>
  </si>
  <si>
    <t>Unit Cleaning at 8:00am</t>
  </si>
  <si>
    <t xml:space="preserve">Atlas Way Cleaning </t>
  </si>
  <si>
    <t>PO#568511</t>
  </si>
  <si>
    <t>Estimate 17341</t>
  </si>
  <si>
    <t>Estimate 17343</t>
  </si>
  <si>
    <t>Until Friday 09/04</t>
  </si>
  <si>
    <t xml:space="preserve">YL Cleaning </t>
  </si>
  <si>
    <t>Deep Cleaning Unit at 8:00am For access, please call Tim 1 (914) 409-8866 or Chris 917-774-4548</t>
  </si>
  <si>
    <r>
      <t xml:space="preserve">Emergency after water damage: </t>
    </r>
    <r>
      <rPr>
        <sz val="18"/>
        <color rgb="FF00B050"/>
        <rFont val="Calibri"/>
        <family val="2"/>
      </rPr>
      <t xml:space="preserve">WAITNG NEW SCOPE OF TO CONTINUE </t>
    </r>
  </si>
  <si>
    <t>Ask carlos when to continue and how to proceed</t>
  </si>
  <si>
    <t>Email pending by Carlos</t>
  </si>
  <si>
    <t>Bike room</t>
  </si>
  <si>
    <t>Scrape damaged concrete wall refill holes with concrete once dry repaint that area with same color spec. Call Carlos Perez for further instructions</t>
  </si>
  <si>
    <t>Estimate 16730</t>
  </si>
  <si>
    <t xml:space="preserve">MVC Cleaning </t>
  </si>
  <si>
    <t>Bike Room / This job can't be mentioned on the final invoice</t>
  </si>
  <si>
    <t>Alluda Carlos Duque</t>
  </si>
  <si>
    <r>
      <rPr>
        <b/>
        <sz val="18"/>
        <color rgb="FF00B050"/>
        <rFont val="Calibri"/>
        <family val="2"/>
      </rPr>
      <t>Closet Door Replacement Set:</t>
    </r>
    <r>
      <rPr>
        <sz val="18"/>
        <color rgb="FF00B050"/>
        <rFont val="Calibri"/>
        <family val="2"/>
      </rPr>
      <t xml:space="preserve"> Remove and dispose of the damaged frosted glass sliding closet door. \ Furnish and install a new Eclipse 1-Lite White Aluminum Frame Mystique Glass Interior Sliding Closet Door Set. \ Door set dimensions: approximately 84 in. x 81 in. \ Secure and adjust the doors and verify proper operation.</t>
    </r>
  </si>
  <si>
    <t>Estimate 17260</t>
  </si>
  <si>
    <t>Waiting material's availability by Bc Warehouse</t>
  </si>
  <si>
    <t>Garage 1st Floor</t>
  </si>
  <si>
    <t>Estimate 17041</t>
  </si>
  <si>
    <t xml:space="preserve">Occupied </t>
  </si>
  <si>
    <t>Close an opening in the closet ceiling—approximately L4'ft x W 2'ft -repair two spots that require scraping, spackling, and painting H2'ft x 4 'ft on the wall outside the bathroom -Repair one spot that require scraping, spackling, and painting on the wall next to the balcony door leading to the terrace H2'ft x L4'ft</t>
  </si>
  <si>
    <t>Left side bedroom bathroom tile floor to be demoed, sub floor fixed, install new tiles, and grout area is 9ft x 6ft. at 9am Bc to provide all materials and labor needed to complete the job. For access, please call Christian 201-705-0879 or Alex 201-713-8719</t>
  </si>
  <si>
    <t>Note: we only provide the easy sand 20, property provides all materials and paint.</t>
  </si>
  <si>
    <t>Remove base board and Cut drywall 1’x4’ in kitchen area. - Install new drywall and insulation. - Tape, spackle, sand, prime, and paint repaired area.at  9:00 am   For access call Raul:+1 (551) 556-8864</t>
  </si>
  <si>
    <t>Reglaze 09/02</t>
  </si>
  <si>
    <t>1 tub reglaze</t>
  </si>
  <si>
    <t>The Station at Netherwood
1014 South Ave, Plainfield, NJ 07062</t>
  </si>
  <si>
    <t>Paint unit at 8:00am Note: Property will provide the paint.</t>
  </si>
  <si>
    <t>Paint unit and cleaning at 8:0am Note: Property will provide the paint.</t>
  </si>
  <si>
    <t>Kitchen countertop reduction</t>
  </si>
  <si>
    <t>Estimate 17218</t>
  </si>
  <si>
    <t>1 handyman work for 15 days Assist the property with handyman tasks - work order / turns Sunday 08/16/26 through Thursday 08/20/26 -  Sunday 08/23/26 through Thursday 08/27/26 Sunday 08/30/26 through Thursday 09/03/26 from 9am to 5:30pm Note: send Michael Garcia</t>
  </si>
  <si>
    <t xml:space="preserve">Sanai pliability Mayco Garcia </t>
  </si>
  <si>
    <t>Estimate 17232</t>
  </si>
  <si>
    <t>Until Thu 09/03</t>
  </si>
  <si>
    <t>Estimate 16927</t>
  </si>
  <si>
    <t xml:space="preserve">Bathroom: Disconnect plumbing lines Remove and set aside vanity top Remove and discard bathroom vanity only. / purchase and install new vanity  and reinstall vanity top and all plumbing lines. / We must match the color of the vanity / Our warehouse team has the sample Size of the vanity 42-5/8in Long  21in deep 31-1/2in High </t>
  </si>
  <si>
    <t xml:space="preserve"> For invoicing purposes, the price of the vanity is $1,090.00.</t>
  </si>
  <si>
    <t>PH38</t>
  </si>
  <si>
    <t>Door and shelving Installation: Remove and demo the existing pocket door, including the frame. \ Perform all necessary repairs required to install a Buildcare-provided 36" x 80" metal frame. \ Install the property-provided door. \ Install Buildcare-provided door hardware. \ Paint the wall, door, and frame using property-provided paint. \ Install the Buildcare-provided closet shelving system that was previously removed by the client.</t>
  </si>
  <si>
    <t>Alluda Anibal Yojero / Misael Yojero</t>
  </si>
  <si>
    <t>Estimate 15942</t>
  </si>
  <si>
    <t>4 Handys quoted</t>
  </si>
  <si>
    <t>214 E Fort Lee Rd, Bogota, NJ 07603</t>
  </si>
  <si>
    <t>E&amp;P Mechanical corp Cassio</t>
  </si>
  <si>
    <t>Estimate 17169</t>
  </si>
  <si>
    <t>Occuped</t>
  </si>
  <si>
    <r>
      <t>Warranty job:</t>
    </r>
    <r>
      <rPr>
        <sz val="18"/>
        <color rgb="FF00B050"/>
        <rFont val="Calibri"/>
        <family val="2"/>
      </rPr>
      <t xml:space="preserve"> Bathtub reglaze IN THE MORNING </t>
    </r>
    <r>
      <rPr>
        <b/>
        <sz val="18"/>
        <color rgb="FF00B050"/>
        <rFont val="Calibri"/>
        <family val="2"/>
      </rPr>
      <t>NOTE:</t>
    </r>
    <r>
      <rPr>
        <sz val="18"/>
        <color rgb="FF00B050"/>
        <rFont val="Calibri"/>
        <family val="2"/>
      </rPr>
      <t xml:space="preserve"> This unit is occupied, technician must contact super upon arrival</t>
    </r>
  </si>
  <si>
    <t>3BDR</t>
  </si>
  <si>
    <t>PH 11</t>
  </si>
  <si>
    <t>Excellent Carpet</t>
  </si>
  <si>
    <t>Carpet shampoo carpet to remove stains AFTER 2:00 PM</t>
  </si>
  <si>
    <t>YL Cleaning</t>
  </si>
  <si>
    <t>Estimate 17238</t>
  </si>
  <si>
    <t xml:space="preserve">5 hadymen quoted </t>
  </si>
  <si>
    <t xml:space="preserve"> bathtubs reglaze for Tuesday afternoon </t>
  </si>
  <si>
    <t xml:space="preserve">Regular Cleaning at 8:00am </t>
  </si>
  <si>
    <t>1 handyman for 2 days  make ready - Monday and Tuesday 08/31-09/01</t>
  </si>
  <si>
    <t>Preform exterior window seal to Bedroom windows at 9:00am  For access, please call Brian 347-235-9152 or Camilio 917-615-6183</t>
  </si>
  <si>
    <t xml:space="preserve">2 bathtubs reglaze afternoon </t>
  </si>
  <si>
    <t xml:space="preserve"> Regular Cleaning at 8:00am </t>
  </si>
  <si>
    <t>Town house 31</t>
  </si>
  <si>
    <t>M&amp;J Flooring</t>
  </si>
  <si>
    <t>Clean 09/01</t>
  </si>
  <si>
    <t>Follow up paint</t>
  </si>
  <si>
    <t>Sub-floor repair and carpet padding</t>
  </si>
  <si>
    <r>
      <t xml:space="preserve">1 Daily painter for 8hrs shift to assist the property with painter tasks at 8:00 am. </t>
    </r>
    <r>
      <rPr>
        <b/>
        <sz val="18"/>
        <color rgb="FF00B050"/>
        <rFont val="Calibri"/>
        <family val="2"/>
      </rPr>
      <t xml:space="preserve">NOTE: </t>
    </r>
    <r>
      <rPr>
        <sz val="18"/>
        <color rgb="FF00B050"/>
        <rFont val="Calibri"/>
        <family val="2"/>
      </rPr>
      <t>Property provides all / For access call Alvin:+1 (201) 892-9447</t>
    </r>
  </si>
  <si>
    <t>Estimate 17348</t>
  </si>
  <si>
    <t>Clean 09/02</t>
  </si>
  <si>
    <t>84 Ocean Ave Deal, NJ 07723</t>
  </si>
  <si>
    <t>Basement</t>
  </si>
  <si>
    <t>email</t>
  </si>
  <si>
    <t>Estimate 17359</t>
  </si>
  <si>
    <t>No Charge / Courtesy job for Axel - CLEANING SAME DAY</t>
  </si>
  <si>
    <t xml:space="preserve">No Charge / Courtesy job for Axel </t>
  </si>
  <si>
    <t>WTN 85887899</t>
  </si>
  <si>
    <t>1102W</t>
  </si>
  <si>
    <t>Estimate 17364</t>
  </si>
  <si>
    <t>Drywall Repair:  -Install new drywall to seal demo areas  located on bathroom ceiling and closet wall. -Tape, spackle, sand, and prime newly installed drywall. -Perform plaster repairs to one scratch  located on closet wall (right side) -Paint repaired ceiling areas using paint, matching property specs. at 11AM as per tenant's request. </t>
  </si>
  <si>
    <t>Estimate 17363</t>
  </si>
  <si>
    <t>SG 310</t>
  </si>
  <si>
    <t>Mechanical room 
1sf floor hallway</t>
  </si>
  <si>
    <t>Unit Cleaning  at 8:00 am</t>
  </si>
  <si>
    <t>WTN 86530768</t>
  </si>
  <si>
    <t xml:space="preserve"> Great Jobs Alexander Donato / Juan Vega / Jose Bautista </t>
  </si>
  <si>
    <t xml:space="preserve">1 (One) handyman to work Mondays to Fridays assigned from 8:00 AM to 5:00 PM, including a one-hour lunch break, to assist the Maintenance Supervisor with various task begining Tuesday 07/21 until Wednesday 09/30. </t>
  </si>
  <si>
    <t>Great Jobs Gabriel Saviex</t>
  </si>
  <si>
    <t>Until Wednesday 09/30</t>
  </si>
  <si>
    <t>Provide two (3) Daily handymen to assist the supervisor with internal tasks to start  Monday 08/31/2026 to Friday 09/04/2026 Note: Please report to Mr. Andre upon arrival at the property +1 (267) 473-9010</t>
  </si>
  <si>
    <t xml:space="preserve">M&amp;J Flooring </t>
  </si>
  <si>
    <t>Estimate 17308</t>
  </si>
  <si>
    <t>Continue Wood Floor Repair AT 11:00 AM: Remove and discard damaged flooring located in walk-in closet (4 ft x 9 ft) \ Prep and perform minor subfloor repairs \ Install 36 sq ft of new, property-provided flooring \ BC to provide adhesive.</t>
  </si>
  <si>
    <t>HG Services</t>
  </si>
  <si>
    <t>Phone Call</t>
  </si>
  <si>
    <t>BC Services</t>
  </si>
  <si>
    <t>Repair bathroom ceiling from opening made by others at 9am The building will provide the paint. Bc to provide all materials and labor needed to complete the job.  For access, please call Christian 201-705-0879 or Alex 201-713-8719</t>
  </si>
  <si>
    <t>1 Daily Handyman to work with the maintenance staff 8hrs shift to cover multiple properties under the instructions of the service general manager Upon Arrival Call Orville (646) 984-3306 from 9:00am to 5:00pm Monday to Friday until further notice Starting Tuesday 02/26/2025</t>
  </si>
  <si>
    <t xml:space="preserve">Cuxil Group Eduardo Garcia </t>
  </si>
  <si>
    <t>until further notice</t>
  </si>
  <si>
    <t>1 Daily handyman for 8hrs shift to assist the property with internal tasks from  Monday to  Friday until further notice NOTE: Please Report to Christina 973-776-4602</t>
  </si>
  <si>
    <t>Cuxil Group Marcos Garcia</t>
  </si>
  <si>
    <t>1 Daily Handyman Service: Provide a full-time daily handyman to assist the property with make-ready orders from 8:00 am to 4:30 pm. 5 Days per week Monday to Friday Starting Monday 08/03/26 to Friday 10/16/2026</t>
  </si>
  <si>
    <t>Atlas Alexis Gomez</t>
  </si>
  <si>
    <t>5 days per week Until 10/16</t>
  </si>
  <si>
    <t>Garage
2nd floor</t>
  </si>
  <si>
    <t xml:space="preserve">1 handyman for 10 days Assist the property with bathroom vanities repair from Monday 08/24/26 through Friday 08/28/26  - Monday 08/31/26 through Friday 09/04/26 at 8:30am Note: property to provide all materials and supervision  Note: send David Pineda  Must contact Karan upon arrival </t>
  </si>
  <si>
    <t>Until Fri 09/04</t>
  </si>
  <si>
    <t>1 handyman for 15 days Assist the property with handyman task  work orders / make ready from Tuesday 08/18/26 through Saturday 08/22/26,  Tuesday 08/25/26 through Saturday 08/29/26 , Tuesday 09/01/26 through Saturday 09/05/26 from 10am to 6:30pm</t>
  </si>
  <si>
    <t xml:space="preserve">Sanai Pliability Wilber Ramirez </t>
  </si>
  <si>
    <t>Estimate 17233</t>
  </si>
  <si>
    <t xml:space="preserve">1 handyman for 20 days Job: assist the property with handyman work work orders / make ready Schedule from Tuesday 08/25/26 through Saturday 08/29/26 Monday 08/31/26 through Friday 09/04/26 Tuesday 09/08/26 through Saturday 09/12/26 Monday 09/14/26 through Friday 09/18/26 at 8am Note: send Geovanny Saldivar Note: handyman will not work Monday 09/07/26 due to Labor Day holiday </t>
  </si>
  <si>
    <t xml:space="preserve">Cuxil Group Giovanny Saldivar </t>
  </si>
  <si>
    <t>Until Fri 09/18</t>
  </si>
  <si>
    <t xml:space="preserve">1 handyman for 20 days Job: assist the property with handyman work work orders / make ready Schedule from Tuesday 08/25/26 through Saturday 08/29/26 Monday 08/31/26 through Friday 09/04/26 Tuesday 09/08/26 through Saturday 09/12/26 Monday 09/14/26 through Friday 09/18/26 at 8am Note: send Oscar Monasterio Note: handyman will not work Monday 09/07/26 due to Labor Day holiday </t>
  </si>
  <si>
    <t xml:space="preserve">Cuxil Group Oscar Monasterio </t>
  </si>
  <si>
    <t>1 Daily Handyman 8hrs shift Description of duties: Technician will be assisting with "Make Ready" turnovers, light spackle, trash removal, light plumbing, and general preparation upgrading bathroom vanity/top, cleaning of the entire unit including windows and appliances / 5 days per week  Monday through Friday, 9 AM – 5 PM, lunch from 12:00 PM – 1:00 PM / Start date: Monday, March 16, 2026, at 9 am  / UNTIL FURTHER NOTICE</t>
  </si>
  <si>
    <t>Alluda Emanuel Ruiz</t>
  </si>
  <si>
    <t>1 Daily Handyman to assist with apartment turnovers 5 days per week Monday through Friday, 8:30 AM to 4:40 PM  Starting Tuesday 06/23/26 Until Further Notice</t>
  </si>
  <si>
    <t>Woods Solutions Marlon Argueta</t>
  </si>
  <si>
    <t>One daily Handyman 8hrs shift from 8:30 to 5pm 5 (five) days per week Monday to Friday Until further Notice</t>
  </si>
  <si>
    <t>Alluda Bernardo Arcos</t>
  </si>
  <si>
    <t xml:space="preserve">Alluda Marcelo Guzman </t>
  </si>
  <si>
    <t>Price based on Estimate 16359</t>
  </si>
  <si>
    <t>One (1) daily handyman from Monday to Friday to assist the maintenance team • Work hours: 8:30 AM to 5:00 PM, including a one-hour lunch break Note: Until further notice.</t>
  </si>
  <si>
    <t>DVM Carlos Ruiz </t>
  </si>
  <si>
    <t>Until further notice</t>
  </si>
  <si>
    <t>(2) Two Daily Handyman 8hrs shift Description of duties: The technician will be assisting with apartment turns, including drywall repairs, painting, trash removal, light plumbing, and general preparation of units to get them ready for incoming residents / Point of contacts: Maintenance Manager – Anthony DeJesus (610-483-9932) / 5 days per week  Monday through Friday, 7:30 AM – 3:30 PM, with a lunch break from 12:00 PM – 1:00 PM / start date: Monday, April 20th, 2026, at 7:30 AM / UNTIL FURTHER NOTICE</t>
  </si>
  <si>
    <t xml:space="preserve">Emac Solutions Guillermo / Ronald </t>
  </si>
  <si>
    <t>Price based on Estimate 15327</t>
  </si>
  <si>
    <t>(1) One Daily Handyman 8hrs shift Description of duties: The technician will be assisting with apartment turns, including drywall repairs, painting, trash removal, light plumbing, and general preparation of units to get them ready for incoming residents / Point of contacts: Maintenance 412-925-7049 - Margee cell phone (property manager) 484-387-9319 / 5 days per week  Monday through Friday, 7:30 AM – 3:30 PM, with a lunch break from 12:00 PM – 1:00 PM / start date: Monday, March 16, 2026, at 7:30 AM / UNTIL FURTHER NOTICE</t>
  </si>
  <si>
    <t xml:space="preserve">Emac Solutions Luis </t>
  </si>
  <si>
    <t>Price based on Estimate 15049</t>
  </si>
  <si>
    <t>14A</t>
  </si>
  <si>
    <t>Estimate 16258</t>
  </si>
  <si>
    <t>This project is for capital projects and will be paid under the construction budget not the property</t>
  </si>
  <si>
    <t>Post Construction cleaning at 8:00am</t>
  </si>
  <si>
    <t>Estimate 17370</t>
  </si>
  <si>
    <t xml:space="preserve">Bathtub reglaze at 8:00am </t>
  </si>
  <si>
    <t>6-5 Vestibule Staircase Landing</t>
  </si>
  <si>
    <t>Estimate 16319</t>
  </si>
  <si>
    <t>7 handys quoted</t>
  </si>
  <si>
    <t xml:space="preserve">Countertop Polishing: Provide the necessary labor, materials, and equipment to perform countertop  polishing in bathroom, reducing the appearance of stains and scratches. </t>
  </si>
  <si>
    <t>Estimate 17330</t>
  </si>
  <si>
    <t xml:space="preserve">JP Kitchen </t>
  </si>
  <si>
    <t>Balcony Paint: Prep all peeling/damaged areas by scraping and grinding with a concrete grinding disc as needed to remove loose coating and level the surface. -Apply Sherwin Williams ArmorSeal 8100 Epoxy Floor Coating with anti aggregate in color battleship gray Size of the balcony 5ft wide x 14ft long</t>
  </si>
  <si>
    <t>Estimate 17328</t>
  </si>
  <si>
    <t xml:space="preserve">ON HOLD M&amp;J Flooring ask to Casey </t>
  </si>
  <si>
    <t xml:space="preserve">Regular cleaning at 8:00am </t>
  </si>
  <si>
    <t xml:space="preserve">Sanai Pliability Delfino Cuxil </t>
  </si>
  <si>
    <t>Extended until Monday 08/31</t>
  </si>
  <si>
    <t>1 handyman for 5 days Assist the property with handyman tasks work orders / make ready
Tuesday 09/01/26 through Saturday 09/05/26from 12pm through 8:30pm Note: Send Marvin Perez</t>
  </si>
  <si>
    <t xml:space="preserve">Alluda Marvin Perez </t>
  </si>
  <si>
    <t>Estimate 16631</t>
  </si>
  <si>
    <t xml:space="preserve"> HG Services </t>
  </si>
  <si>
    <t xml:space="preserve">2 Daily handymen for Monday 08/31 and Tuesday 09/01. For further information contact Jarvis. </t>
  </si>
  <si>
    <t>Tub glaze and tiles as well for the whole bathroom to be reglazed At 9:00am This is an older unit, the tiles I believe have been glazed before but now are peeling.</t>
  </si>
  <si>
    <t xml:space="preserve">Occupeid </t>
  </si>
  <si>
    <t>job placed on hold due to wrong measurments or wrong vanity</t>
  </si>
  <si>
    <t>Woods Solution Roger Saravia / Orlin Peluka</t>
  </si>
  <si>
    <t>Hallways</t>
  </si>
  <si>
    <t>Estimate 17304</t>
  </si>
  <si>
    <t>Provide (2) full-time painters for (2) day to assist the property with painter's tasks Monday and Tuesday. 08/31/26-09/01/26</t>
  </si>
  <si>
    <t>Until Tues 09/01</t>
  </si>
  <si>
    <t>BC Warehouse / BC Runner</t>
  </si>
  <si>
    <t>DVM Oscar Ordon</t>
  </si>
  <si>
    <t>Service Buildcare's lift and paint it</t>
  </si>
  <si>
    <t>BC Services no charge</t>
  </si>
  <si>
    <t>Mechanical Room</t>
  </si>
  <si>
    <t>Estimate 17137</t>
  </si>
  <si>
    <t>HG Services 1 Runner</t>
  </si>
  <si>
    <t xml:space="preserve">1 Daily Handyman To assist the property supervisor with internal tasks Note:  please report to Mr. Jeiel Upon arriving at the property to complete this work 267 887 3950 /  Monday 08/31/2026 8:00AM to 5:00PM </t>
  </si>
  <si>
    <t>13-305</t>
  </si>
  <si>
    <t>Paint living room ceiling and walls Note: Paint will be provided by the property. Please contact Nick upon arrival at (862) 431-9718.</t>
  </si>
  <si>
    <t>reglaze same day</t>
  </si>
  <si>
    <t>Bathtub reglaze after 4pm</t>
  </si>
  <si>
    <t>Townhouse 22</t>
  </si>
  <si>
    <t>Exterior service:  Repair the roof leak on the shingle roof to prevent future water infiltration.Note: BuildCare will provide all labor and materials.</t>
  </si>
  <si>
    <t>MVC Cleaning</t>
  </si>
  <si>
    <t>1 handyman make ready at 8:00am Note: The reglaze is scheduled in the late afternoon</t>
  </si>
  <si>
    <t>2 Bathtubs reglaze after 3:30pm</t>
  </si>
  <si>
    <t>Storage Room</t>
  </si>
  <si>
    <t>Estimate 16991</t>
  </si>
  <si>
    <t>Estimate 17249</t>
  </si>
  <si>
    <t>Unit Cleaning After 1:00pm Note; The unit will be painted in the morning</t>
  </si>
  <si>
    <r>
      <t xml:space="preserve">1 Daily Handyman service everyday Until </t>
    </r>
    <r>
      <rPr>
        <b/>
        <sz val="18"/>
        <rFont val="Calibri"/>
        <family val="2"/>
      </rPr>
      <t>Monday 08/31</t>
    </r>
    <r>
      <rPr>
        <sz val="18"/>
        <rFont val="Calibri"/>
        <family val="2"/>
      </rPr>
      <t xml:space="preserve"> Please Report to Nate (201) 466-8357</t>
    </r>
  </si>
  <si>
    <t>Medical Office Suite #106</t>
  </si>
  <si>
    <t>Atlas Jesus Alvarado</t>
  </si>
  <si>
    <t>Estimate 17172</t>
  </si>
  <si>
    <r>
      <rPr>
        <b/>
        <sz val="18"/>
        <rFont val="Calibri"/>
        <family val="2"/>
      </rPr>
      <t>Continue</t>
    </r>
    <r>
      <rPr>
        <sz val="18"/>
        <rFont val="Calibri"/>
        <family val="2"/>
      </rPr>
      <t xml:space="preserve"> Full laundry build-up: Metal framing</t>
    </r>
  </si>
  <si>
    <t>Estimate 17368</t>
  </si>
  <si>
    <t>Estimate 17170</t>
  </si>
  <si>
    <r>
      <t xml:space="preserve">Paint unit at 8:00 am </t>
    </r>
    <r>
      <rPr>
        <b/>
        <sz val="18"/>
        <rFont val="Calibri"/>
        <family val="2"/>
      </rPr>
      <t>NOTE:</t>
    </r>
    <r>
      <rPr>
        <sz val="18"/>
        <rFont val="Calibri"/>
        <family val="2"/>
      </rPr>
      <t xml:space="preserve"> Property will provide the paint. / Please call Ossie at +1 (201) 832-9496 upon arrival.</t>
    </r>
  </si>
  <si>
    <t>Atlas Armando Gaona</t>
  </si>
  <si>
    <t>Harrison Yards 1 (One)
600 Frank E Rodgers Blvd. Harrison, NJ 07029</t>
  </si>
  <si>
    <t>??</t>
  </si>
  <si>
    <t>Cuxil Group electricity</t>
  </si>
  <si>
    <t xml:space="preserve">Vinyl floor repairs In the late afternoon More info Junior </t>
  </si>
  <si>
    <t>JYL Latino Cleaning</t>
  </si>
  <si>
    <t>Unique Cleaning</t>
  </si>
  <si>
    <t>Alluda Edgar Cespedes / Emanuel Correa</t>
  </si>
  <si>
    <t>Alluda Juan Munoz</t>
  </si>
  <si>
    <t>Alluda Juan Jose Montoya</t>
  </si>
  <si>
    <t>DVM Juan Mendoza / Marvin Cumes</t>
  </si>
  <si>
    <t>Alluda Alejandro Torres</t>
  </si>
  <si>
    <t>3 handys quoted</t>
  </si>
  <si>
    <t>Atlas Elder Velasquez</t>
  </si>
  <si>
    <t>Paint unit and Unit cleaning at 8:00am  Note: Property will provide the paint.</t>
  </si>
  <si>
    <t>Atlas Douglas Espinal</t>
  </si>
  <si>
    <t>Atlas Javier Santiago</t>
  </si>
  <si>
    <t>Alluda Horacio Lopez</t>
  </si>
  <si>
    <t xml:space="preserve">Alluda Arturo Lopez </t>
  </si>
  <si>
    <t>Alluda Fabian Munoz</t>
  </si>
  <si>
    <t>DVM Ignacio Luc</t>
  </si>
  <si>
    <t>DVM Celestino Luc</t>
  </si>
  <si>
    <t xml:space="preserve">Paint unit and Unit cleaning at 8:00am </t>
  </si>
  <si>
    <r>
      <t xml:space="preserve">CREWS CONFIRMED BY THE ON CALL:  </t>
    </r>
    <r>
      <rPr>
        <sz val="20"/>
        <rFont val="Calibri (Body)"/>
      </rPr>
      <t>????</t>
    </r>
  </si>
  <si>
    <r>
      <rPr>
        <b/>
        <sz val="18"/>
        <rFont val="Calibri"/>
        <family val="2"/>
      </rPr>
      <t>Continue</t>
    </r>
    <r>
      <rPr>
        <sz val="18"/>
        <rFont val="Calibri"/>
        <family val="2"/>
      </rPr>
      <t xml:space="preserve"> Repair openings that were made by other after suffering leak damage -Repairs will be in the coat closet, laundry closet, living room, hallway, bedroom, and bathroom walls. In the bathroom we will have to redo the bathroom tiles area is approximately 8x10 tiles will have to be removed, and sub floor repaired before installing new tiles at 9:00am The building will provide paint Bc to provide all other materials and labor needed to complete the job. For access, please call Christian 201-705-0879 or Alex 201-713-8719</t>
    </r>
  </si>
  <si>
    <r>
      <t xml:space="preserve">Bathtub reglaze </t>
    </r>
    <r>
      <rPr>
        <b/>
        <sz val="18"/>
        <rFont val="Calibri"/>
        <family val="2"/>
      </rPr>
      <t>NOTE:</t>
    </r>
    <r>
      <rPr>
        <sz val="18"/>
        <rFont val="Calibri"/>
        <family val="2"/>
      </rPr>
      <t xml:space="preserve"> Please be on tie since this unit is occupied / For access, please call Christian 201-705-0879 or Alex 201-713-8719</t>
    </r>
  </si>
  <si>
    <r>
      <rPr>
        <b/>
        <sz val="18"/>
        <rFont val="Calibri"/>
        <family val="2"/>
      </rPr>
      <t>Continue</t>
    </r>
    <r>
      <rPr>
        <sz val="18"/>
        <rFont val="Calibri"/>
        <family val="2"/>
      </rPr>
      <t xml:space="preserve"> Basement Clean Up &amp; Vent Installation: Clean the basement area, remove all debris, and seal accessible openings with concrete to help prevent rodent intrusion \ Furnish and install an exhaust vent/fan to improve ventilation and reduce odors at 9:00am </t>
    </r>
  </si>
  <si>
    <r>
      <t xml:space="preserve">Paint unit and Unit cleaning at 8:00am </t>
    </r>
    <r>
      <rPr>
        <b/>
        <sz val="18"/>
        <rFont val="Calibri"/>
        <family val="2"/>
      </rPr>
      <t>NOTE:</t>
    </r>
    <r>
      <rPr>
        <sz val="18"/>
        <rFont val="Calibri"/>
        <family val="2"/>
      </rPr>
      <t xml:space="preserve"> Move-ins 09/03</t>
    </r>
  </si>
  <si>
    <r>
      <rPr>
        <b/>
        <sz val="18"/>
        <rFont val="Calibri"/>
        <family val="2"/>
      </rPr>
      <t>Drywall Repairs:</t>
    </r>
    <r>
      <rPr>
        <sz val="18"/>
        <rFont val="Calibri"/>
        <family val="2"/>
      </rPr>
      <t xml:space="preserve"> Repair the damaged drywall at the bedroom soffit, approximately 2 ft x 9 ft \ Provide and install the necessary framing support \ Install approximately 1 linear ft of 1x2 lumber at the wall as needed for proper drywall support \ Provide and install missing drywall in the hallway in the following approximate areas: 2 ft x 5 ft and 2 ft x 4 ft \ Tape, apply joint compound, and finish all drywall seams and repaired areas \ Sand all repaired surfaces to achieve a smooth and even finish \ Prime all repaired areas and leave them ready for paint.</t>
    </r>
  </si>
  <si>
    <r>
      <t xml:space="preserve">Unit cleaning at 8:00am </t>
    </r>
    <r>
      <rPr>
        <b/>
        <sz val="18"/>
        <rFont val="Calibri"/>
        <family val="2"/>
      </rPr>
      <t>NOTE:</t>
    </r>
    <r>
      <rPr>
        <sz val="18"/>
        <rFont val="Calibri"/>
        <family val="2"/>
      </rPr>
      <t xml:space="preserve"> For access, please call Andrew 347-912-2434</t>
    </r>
  </si>
  <si>
    <r>
      <t xml:space="preserve">Touch-up cleaning at 8:00am </t>
    </r>
    <r>
      <rPr>
        <b/>
        <sz val="18"/>
        <rFont val="Calibri"/>
        <family val="2"/>
      </rPr>
      <t>NOTE:</t>
    </r>
    <r>
      <rPr>
        <sz val="18"/>
        <rFont val="Calibri"/>
        <family val="2"/>
      </rPr>
      <t xml:space="preserve"> For access, please call Andrew 347-912-2434</t>
    </r>
  </si>
  <si>
    <r>
      <rPr>
        <b/>
        <sz val="18"/>
        <rFont val="Calibri"/>
        <family val="2"/>
      </rPr>
      <t>Exterior Window Sealing:</t>
    </r>
    <r>
      <rPr>
        <sz val="18"/>
        <rFont val="Calibri"/>
        <family val="2"/>
      </rPr>
      <t xml:space="preserve"> Inspect the bedroom window to identify potential water-entry points. \ Remove any loose or deteriorated sealant around the window. \ Clean and prepare the affected areas, then apply exterior waterproof sealant as needed around the window frame and building façade to prevent future water intrusion. \ Test the repaired areas for proper sealing.</t>
    </r>
  </si>
  <si>
    <r>
      <rPr>
        <b/>
        <sz val="18"/>
        <rFont val="Calibri"/>
        <family val="2"/>
      </rPr>
      <t xml:space="preserve">Continue </t>
    </r>
    <r>
      <rPr>
        <sz val="18"/>
        <rFont val="Calibri"/>
        <family val="2"/>
      </rPr>
      <t xml:space="preserve">Laundry room build-up </t>
    </r>
    <r>
      <rPr>
        <b/>
        <sz val="18"/>
        <rFont val="Calibri"/>
        <family val="2"/>
      </rPr>
      <t>ONLY</t>
    </r>
  </si>
  <si>
    <r>
      <rPr>
        <b/>
        <sz val="18"/>
        <rFont val="Calibri"/>
        <family val="2"/>
      </rPr>
      <t>Walls Painting:</t>
    </r>
    <r>
      <rPr>
        <sz val="18"/>
        <rFont val="Calibri"/>
        <family val="2"/>
      </rPr>
      <t xml:space="preserve"> Remove and discard 2 signs from walls \ Perform minor scraping of existing peeling paint \ Apply two (2) coats of paint using Iron Mountain by Benjamin Moore in semi-gloss \ Size of the walls: 8 ft x 9 ft high \ 9 ft x 9 ft high \ 8 ft x 9 ft high \ Top: 9 ft x 4 ft.</t>
    </r>
  </si>
  <si>
    <r>
      <rPr>
        <b/>
        <sz val="18"/>
        <rFont val="Calibri"/>
        <family val="2"/>
      </rPr>
      <t xml:space="preserve">Glass Window Replacement: </t>
    </r>
    <r>
      <rPr>
        <sz val="18"/>
        <rFont val="Calibri"/>
        <family val="2"/>
      </rPr>
      <t>Seal the window opening with plywood as needed while repairs are being performed Note: To Work with Pereira Glass (Joshua)</t>
    </r>
  </si>
  <si>
    <r>
      <rPr>
        <b/>
        <sz val="18"/>
        <rFont val="Calibri"/>
        <family val="2"/>
      </rPr>
      <t xml:space="preserve">Purchase and Delivery of Materials </t>
    </r>
    <r>
      <rPr>
        <sz val="18"/>
        <rFont val="Calibri"/>
        <family val="2"/>
      </rPr>
      <t xml:space="preserve"> - 5 gallons of paint for elevator doors (BM Raccoon Fur 2126-20 in semigloss) - 5 gallons of paint for walls (BM  Cement Grey 2112-60 in pearl finish) Benjamin Moore  ULTRA SPEC T500  - 2 boxes of plastic for carpet- 6 disposable paint trays - 6 disposable paint brushes - 20 wet paint signs</t>
    </r>
  </si>
  <si>
    <r>
      <rPr>
        <b/>
        <sz val="18"/>
        <rFont val="Calibri"/>
        <family val="2"/>
      </rPr>
      <t>Glass Window Replacement:</t>
    </r>
    <r>
      <rPr>
        <sz val="18"/>
        <rFont val="Calibri"/>
        <family val="2"/>
      </rPr>
      <t xml:space="preserve"> Remove one living room window and transport it to the shop for replacement of the broken glass. The window glass size is 23-7/8” wide x 24-7/8” high. \ Seal the window opening with plywood as needed while repairs are being performed. \ Reinstall the window with the new glass and verify proper fit and operation.</t>
    </r>
  </si>
  <si>
    <r>
      <rPr>
        <b/>
        <sz val="18"/>
        <rFont val="Calibri"/>
        <family val="2"/>
      </rPr>
      <t xml:space="preserve">Antenna Repair: </t>
    </r>
    <r>
      <rPr>
        <sz val="18"/>
        <rFont val="Calibri"/>
        <family val="2"/>
      </rPr>
      <t>Remove existing antena including metal base -Purchase and install 2 new metal bases Size 14” wide x 24” long -Install the 2 existing antena metal pipes to new metal base -Paint with dtm paint similar color as existing one.</t>
    </r>
  </si>
  <si>
    <r>
      <t xml:space="preserve">Unit cleaning at 8:00 am </t>
    </r>
    <r>
      <rPr>
        <b/>
        <sz val="18"/>
        <rFont val="Calibri"/>
        <family val="2"/>
      </rPr>
      <t>NOTE:</t>
    </r>
    <r>
      <rPr>
        <sz val="18"/>
        <rFont val="Calibri"/>
        <family val="2"/>
      </rPr>
      <t xml:space="preserve"> Please call Ossie at +1 (201) 832-9496 upon arrival.</t>
    </r>
  </si>
  <si>
    <r>
      <t xml:space="preserve">Ceiling repair and paint </t>
    </r>
    <r>
      <rPr>
        <b/>
        <sz val="18"/>
        <rFont val="Calibri"/>
        <family val="2"/>
      </rPr>
      <t>Paint specs:</t>
    </r>
    <r>
      <rPr>
        <sz val="18"/>
        <rFont val="Calibri"/>
        <family val="2"/>
      </rPr>
      <t xml:space="preserve"> White paint flat pro mar 200 </t>
    </r>
    <r>
      <rPr>
        <b/>
        <sz val="18"/>
        <rFont val="Calibri"/>
        <family val="2"/>
      </rPr>
      <t>NOTE:</t>
    </r>
    <r>
      <rPr>
        <sz val="18"/>
        <rFont val="Calibri"/>
        <family val="2"/>
      </rPr>
      <t xml:space="preserve"> ** Use a lot of protection, trap floors so nothing gets on the floor, use scaffold / Send one tech with a helper to protect everything.**</t>
    </r>
  </si>
  <si>
    <r>
      <rPr>
        <b/>
        <sz val="18"/>
        <rFont val="Calibri"/>
        <family val="2"/>
      </rPr>
      <t>Continue Emergency:</t>
    </r>
    <r>
      <rPr>
        <sz val="18"/>
        <rFont val="Calibri"/>
        <family val="2"/>
      </rPr>
      <t xml:space="preserve"> Drywall repairs at 8:00 am</t>
    </r>
  </si>
  <si>
    <r>
      <rPr>
        <b/>
        <sz val="18"/>
        <rFont val="Calibri"/>
        <family val="2"/>
      </rPr>
      <t>Continue</t>
    </r>
    <r>
      <rPr>
        <sz val="18"/>
        <rFont val="Calibri"/>
        <family val="2"/>
      </rPr>
      <t xml:space="preserve"> mold treatment: Demo and discard damaged baseboard, Plywood and drywall. Perform antimicrobial agent and encapsulate interior frame. Purchase and Install new plywood, drywall, and baseboard. Tape, spackle, sand, primer, and paint repaired areas. Purchase and install new baseboard as needed.</t>
    </r>
  </si>
  <si>
    <r>
      <t xml:space="preserve">Unit cleaning AFTER 2:00 PM </t>
    </r>
    <r>
      <rPr>
        <b/>
        <sz val="18"/>
        <rFont val="Calibri"/>
        <family val="2"/>
      </rPr>
      <t>NOTE:</t>
    </r>
    <r>
      <rPr>
        <sz val="18"/>
        <rFont val="Calibri"/>
        <family val="2"/>
      </rPr>
      <t xml:space="preserve"> same-day paint</t>
    </r>
  </si>
  <si>
    <r>
      <t xml:space="preserve">Replace damaged carpet padding (approximately 4' x 6') </t>
    </r>
    <r>
      <rPr>
        <b/>
        <sz val="18"/>
        <rFont val="Calibri"/>
        <family val="2"/>
      </rPr>
      <t>IN THE MORNING</t>
    </r>
  </si>
  <si>
    <r>
      <rPr>
        <b/>
        <sz val="18"/>
        <rFont val="Calibri"/>
        <family val="2"/>
      </rPr>
      <t xml:space="preserve">Continue </t>
    </r>
    <r>
      <rPr>
        <sz val="18"/>
        <rFont val="Calibri"/>
        <family val="2"/>
      </rPr>
      <t>Repair all walls /  Paint the entire commercial space Color change  at 8:30am NOTE: **The reception area, the room with the file cabinet, will not be painted.** / Please contact super Eduardo for access: 551-260-0514</t>
    </r>
  </si>
  <si>
    <t xml:space="preserve">Until futher notice </t>
  </si>
  <si>
    <t xml:space="preserve">2 Daily handymen Monday to Friday at 8:00am Until futher notice </t>
  </si>
  <si>
    <t xml:space="preserve">Unique Cleaning </t>
  </si>
  <si>
    <t>Unit cleaning at 8:00am</t>
  </si>
  <si>
    <t>Cancelled</t>
  </si>
  <si>
    <t>AJ Canas Solutions Carlos 
/ Alberto</t>
  </si>
  <si>
    <t>No Charge / Courtesy job for Axel -  FLOORS - CLEANING</t>
  </si>
  <si>
    <t xml:space="preserve">AJ Canas Solutions William Diaz </t>
  </si>
  <si>
    <t>AJ Canas Solutions Ricardo 
/ Willian Alvarez</t>
  </si>
  <si>
    <t xml:space="preserve">AJ Canas Solutions javier </t>
  </si>
  <si>
    <t>AJ Canas Solutions Vinicio</t>
  </si>
  <si>
    <t>The tenat did not move out</t>
  </si>
  <si>
    <r>
      <t xml:space="preserve">Paint unit and Unit cleaning at 8:00am The building will provide the paint. For access, please contact Rob 732-570-9820 / </t>
    </r>
    <r>
      <rPr>
        <b/>
        <sz val="18"/>
        <rFont val="Calibri"/>
        <family val="2"/>
      </rPr>
      <t>Last Minute Request Job Assigned by Carlos</t>
    </r>
  </si>
  <si>
    <t>Paint unit and cleaning at 8:00 am</t>
  </si>
  <si>
    <t>Paint WTN 86508201</t>
  </si>
  <si>
    <t>Courtesy Job / No Charge - This job must be detailed since is the owner of paramount management / Roberto will be informing to which job from paramaount the costs will be added</t>
  </si>
  <si>
    <t>3107 </t>
  </si>
  <si>
    <t>WTN 86388866</t>
  </si>
  <si>
    <t>Paint unit and Same-day cleaning at 8:00 am</t>
  </si>
  <si>
    <t>WTN 86388686</t>
  </si>
  <si>
    <t>Clean 09/08</t>
  </si>
  <si>
    <t>Material's available / Waiting for client's confirmation</t>
  </si>
  <si>
    <t>Clean 09/03</t>
  </si>
  <si>
    <t>WTN Pending</t>
  </si>
  <si>
    <t>Same-day clean</t>
  </si>
  <si>
    <t>Vanity countertop reglaze at 8:00 am</t>
  </si>
  <si>
    <t>Paint unit and Unit cleaning at 8:00 am</t>
  </si>
  <si>
    <t>Entrance Door Purchase and delivery: Custom sized metal solid core wood door. 83in x 36 in door -Paint newly matching property specs. / THIS DOOR IS NEEDED TO REPLACED A DOOR USED BY BC from client BACK ON 03/09/2026</t>
  </si>
  <si>
    <t xml:space="preserve">Estimate 15140
Invoice 135884 </t>
  </si>
  <si>
    <t>Job Invoiced already /  THIS DOOR IS NEEDED TO REPLACED A DOOR USED BY BC BACK ON MARCH 03/09/2026</t>
  </si>
  <si>
    <t>Shower door replacement For access, please call Steve (646) 299-5888 or Jeffery 929-218-9732</t>
  </si>
  <si>
    <t>Waiting Materials ETA 08/31</t>
  </si>
  <si>
    <r>
      <t xml:space="preserve">Readjust the shower head pipe to prevent movement \ Demolish and open the wall behind the pipe to avoid damaging the existing tiles \ Readjust and secure the pipe \ Seal, plaster, sand, and paint the previously opened area. </t>
    </r>
    <r>
      <rPr>
        <b/>
        <sz val="18"/>
        <color rgb="FF00B050"/>
        <rFont val="Calibri (Body)"/>
      </rPr>
      <t>NOTE:</t>
    </r>
    <r>
      <rPr>
        <sz val="18"/>
        <color rgb="FF00B050"/>
        <rFont val="Calibri (Body)"/>
      </rPr>
      <t xml:space="preserve"> The property will provide the paint, and Build Care will provide all remaining materials. A video has been attached for reference.</t>
    </r>
  </si>
  <si>
    <t>cancelled onsite Tuesday 07/28 Waiting new date by Sebastian Lopez and client</t>
  </si>
  <si>
    <r>
      <rPr>
        <b/>
        <sz val="18"/>
        <color rgb="FF00B050"/>
        <rFont val="Calibri"/>
        <family val="2"/>
      </rPr>
      <t>Continue</t>
    </r>
    <r>
      <rPr>
        <sz val="18"/>
        <color rgb="FF00B050"/>
        <rFont val="Calibri"/>
        <family val="2"/>
      </rPr>
      <t xml:space="preserve"> Basement Clean Up &amp; Vent Installation: Clean the basement area, remove all debris, and seal accessible openings with concrete to help prevent rodent intrusion \ Furnish and install an exhaust vent/fan to improve ventilation and reduce odors at 9:00am </t>
    </r>
  </si>
  <si>
    <t>Job Placed on hold / Waiting new date by Sebastian &amp; Roberto</t>
  </si>
  <si>
    <t>Package Room</t>
  </si>
  <si>
    <r>
      <t xml:space="preserve">Shelving System Construction: </t>
    </r>
    <r>
      <rPr>
        <b/>
        <sz val="18"/>
        <color rgb="FF00B050"/>
        <rFont val="Calibri"/>
        <family val="2"/>
      </rPr>
      <t xml:space="preserve">Room A </t>
    </r>
    <r>
      <rPr>
        <sz val="18"/>
        <color rgb="FF00B050"/>
        <rFont val="Calibri"/>
        <family val="2"/>
      </rPr>
      <t>-Construct three (3) continuous rows of white wooden shelving. -Each shelf shall be approximately 90 linear feet in length and 12 inches deep. -Shelves shall be installed with 3 feet of vertical spacing between each shelf. /</t>
    </r>
    <r>
      <rPr>
        <b/>
        <sz val="18"/>
        <color rgb="FF00B050"/>
        <rFont val="Calibri"/>
        <family val="2"/>
      </rPr>
      <t xml:space="preserve"> Room B </t>
    </r>
    <r>
      <rPr>
        <sz val="18"/>
        <color rgb="FF00B050"/>
        <rFont val="Calibri"/>
        <family val="2"/>
      </rPr>
      <t>-Construct one (1) continuous row of white wooden shelving. -55 linear feet in length 24 inches deep -Installed at approximately 5 feet above the finished floor -This shelving system will be used for oversized package storage. -Secure all shelving systems to the wall framing with appropriate fasteners to ensure structural stability. -Sand and prepare all wood surfaces as required. -Apply one (1) coat of primer and one (1) coat of white semi-gloss paint to all newly constructed shelving.</t>
    </r>
  </si>
  <si>
    <t>Waiting materials from BC Shop</t>
  </si>
  <si>
    <t>Estimate 16842</t>
  </si>
  <si>
    <t>10 Handys quoted</t>
  </si>
  <si>
    <t>36th Floor- Staircase A</t>
  </si>
  <si>
    <r>
      <rPr>
        <b/>
        <sz val="18"/>
        <color rgb="FF00B050"/>
        <rFont val="Calibri"/>
        <family val="2"/>
      </rPr>
      <t xml:space="preserve">Staircase Removal and Install: </t>
    </r>
    <r>
      <rPr>
        <sz val="18"/>
        <color rgb="FF00B050"/>
        <rFont val="Calibri"/>
        <family val="2"/>
      </rPr>
      <t xml:space="preserve"> remove and save two sections of metal staircase handles to allow plumbers to relocate a new boiler machine from service area to boiler room -Remove and save handrails. -Reinstall them as per original layout  once job is completed -Apply black DTM paint to areas as needed.</t>
    </r>
  </si>
  <si>
    <t>Waiting date by Tony or Jhonatan</t>
  </si>
  <si>
    <t>Estimate 16746</t>
  </si>
  <si>
    <t>HG Services project</t>
  </si>
  <si>
    <r>
      <rPr>
        <b/>
        <sz val="18"/>
        <color rgb="FF00B050"/>
        <rFont val="Calibri"/>
        <family val="2"/>
      </rPr>
      <t xml:space="preserve">Bike Rack Installation: </t>
    </r>
    <r>
      <rPr>
        <sz val="18"/>
        <color rgb="FF00B050"/>
        <rFont val="Calibri"/>
        <family val="2"/>
      </rPr>
      <t>Provide the necessary labor, materials, and equipment to install one (1) Single Source Supply Outdoor Bike Rack Steel Bicycle Parking Stand in designated location.  Model No.: BR22 Size: Customized Material: Steel/stainless steel</t>
    </r>
  </si>
  <si>
    <t>Waiting Materials from BC Shop ETA is 8 weeks the order was placed on 08/25 Aprox 2nd Week of October</t>
  </si>
  <si>
    <t>Estimate 17071</t>
  </si>
  <si>
    <t>Estimate 17073</t>
  </si>
  <si>
    <t>Estimate 17074</t>
  </si>
  <si>
    <t>Gym</t>
  </si>
  <si>
    <r>
      <rPr>
        <b/>
        <sz val="18"/>
        <color rgb="FF00B050"/>
        <rFont val="Calibri"/>
        <family val="2"/>
      </rPr>
      <t xml:space="preserve">AC Sleeve Replacement: </t>
    </r>
    <r>
      <rPr>
        <sz val="18"/>
        <color rgb="FF00B050"/>
        <rFont val="Calibri"/>
        <family val="2"/>
      </rPr>
      <t xml:space="preserve">Remove existing AC unit and sleeve. -Reinforce existing frame for new sleeve and PTAC installation. -Install new  PTAC and sleeve following original set up and specs. -Perform drywall and insulation repairs as needed upon PTAC and sleeve installation. -Tape, spackle, sand and prime all repaired areas.  -Apply one (1) coat of paint to repaired areas once PTAC sleeve and dry wall repairs are completed. Note: *BuildCare to provide PTAC Sleeve </t>
    </r>
  </si>
  <si>
    <t>Estimate 17165</t>
  </si>
  <si>
    <t>Bad Job reported DVM Eddy: The job did not meet the standards and will need to be fixed and to be installed in the right way / DVM Will be providing the tiles and purchasing the tiles UPDATE:  ​We initially went in to replace just 6 tiles. However, once we removed them, the handyman noticed that the surrounding tiles were loose and not properly secured. ​To make sure it was done right, we ended up removing 55 tiles in total. We scraped the old adhesive, put down new mortar, reinstalled all the pieces, applied grout, and cleaned everything up.</t>
  </si>
  <si>
    <t>Continuation on Hold by property and Daniel / DVM Angel Davila</t>
  </si>
  <si>
    <t xml:space="preserve">Bad Job / No Charge </t>
  </si>
  <si>
    <t>Unit 6-6 (2nd Floor Office #2)</t>
  </si>
  <si>
    <t>Estimate 16323</t>
  </si>
  <si>
    <t>15 handys quoted</t>
  </si>
  <si>
    <t>411 - Balcony</t>
  </si>
  <si>
    <r>
      <t>Balcony Waterproofing Repair:</t>
    </r>
    <r>
      <rPr>
        <sz val="18"/>
        <color rgb="FF00B050"/>
        <rFont val="Calibri"/>
        <family val="2"/>
      </rPr>
      <t xml:space="preserve"> Prepare and clean the existing balcony surface.\ Apply an exterior-grade patching/leveling compound to low areas to create a proper pitch toward the existing drain and prevent water pooling.\ Apply an epoxy coating to the balcony floor.\ Apply waterproof sealant around the entire perimeter of the balcony.\ Ensure the existing drain remains clear and functional.</t>
    </r>
  </si>
  <si>
    <r>
      <rPr>
        <sz val="18"/>
        <color rgb="FF7030A0"/>
        <rFont val="Calibri"/>
        <family val="2"/>
      </rPr>
      <t xml:space="preserve">Waiting for property's confirmation. </t>
    </r>
    <r>
      <rPr>
        <sz val="18"/>
        <color rgb="FF00B050"/>
        <rFont val="Calibri"/>
        <family val="2"/>
      </rPr>
      <t>MVC Cleaning</t>
    </r>
  </si>
  <si>
    <t>Estimate 17241</t>
  </si>
  <si>
    <t xml:space="preserve">Bathroom Disconnect plumbing lines Remove and set aside vanity top Remove and discard bathroom vanity only 
purchase and install new vanity  and reinstall vanity top and all plumbing lines we must to match the color of the vanity Our warehouse team has the sample Size of the vanity 42-5/8in Long  21in deep 31-1/2in High </t>
  </si>
  <si>
    <t>Waiting date from BC Shop</t>
  </si>
  <si>
    <t>H834</t>
  </si>
  <si>
    <r>
      <rPr>
        <b/>
        <sz val="18"/>
        <color rgb="FF00B050"/>
        <rFont val="Calibri"/>
        <family val="2"/>
      </rPr>
      <t xml:space="preserve">Continue Floor Replacement: </t>
    </r>
    <r>
      <rPr>
        <sz val="18"/>
        <color rgb="FF00B050"/>
        <rFont val="Calibri"/>
        <family val="2"/>
      </rPr>
      <t>Demo and discard 300 sqft of floors. -Demo and discard baseboards  -Prep and perform minor subfloor repairs prior to new floor installation.  -Install 300 sqft of property provided floors  -Provide and install a 7" inch custom baseboards -Buildcare to provide labor and rest of materials for installation  -Buildcare to property discard debris in property dumpster.</t>
    </r>
  </si>
  <si>
    <t xml:space="preserve">On Hold waiting installation date with Jack O connor and Josue </t>
  </si>
  <si>
    <t>Estimate 15394</t>
  </si>
  <si>
    <r>
      <rPr>
        <b/>
        <sz val="18"/>
        <color rgb="FF00B050"/>
        <rFont val="Calibri"/>
        <family val="2"/>
      </rPr>
      <t xml:space="preserve">Continue Rehab Unit After Fire: </t>
    </r>
    <r>
      <rPr>
        <sz val="18"/>
        <color rgb="FF00B050"/>
        <rFont val="Calibri"/>
        <family val="2"/>
      </rPr>
      <t>Remove and discard upper/lower cabinets, counter top &amp; backsplash removal, track lights removed, sink and disposal disconnected -Install upper/lower cabinets, counter top &amp; backsplash installed, track lights installed, sink installed with faucet provided by property  - Remove and discard Appliances (Washer and Dryer , stove, fridge, dishwasher)  - Install property provided Appliances (Washer and Dryer, stove, fridge, dishwasher)  - Replace fire affected property provided blinds - Paint unit , perform repairs, one coat of primer, one coat of paint adding scent. -Buildcare to property discard debris in property dumpster.</t>
    </r>
  </si>
  <si>
    <t>Follow up floors
DVM</t>
  </si>
  <si>
    <r>
      <rPr>
        <b/>
        <sz val="18"/>
        <color rgb="FF00B050"/>
        <rFont val="Calibri"/>
        <family val="2"/>
      </rPr>
      <t xml:space="preserve">HVAC Duct Cleaning: </t>
    </r>
    <r>
      <rPr>
        <sz val="18"/>
        <color rgb="FF00B050"/>
        <rFont val="Calibri"/>
        <family val="2"/>
      </rPr>
      <t xml:space="preserve">  -Remove and set aside existing vents covers for future reinstallation. -Perform thorough cleaning of HVAC vent ducts leaving them free of lint, dust and other debris trying to get rid off  unpleasant odors as much as possible. -Reinstall previously removed vents covers. </t>
    </r>
  </si>
  <si>
    <t xml:space="preserve">Follow up reparirs / paint
MVC Cleaning </t>
  </si>
  <si>
    <t>Provide the necessary labor to clean unit including interior of windows.</t>
  </si>
  <si>
    <t>Follow up repair 
Cleaning services</t>
  </si>
  <si>
    <t>GYM</t>
  </si>
  <si>
    <r>
      <rPr>
        <b/>
        <sz val="18"/>
        <color rgb="FF00B050"/>
        <rFont val="Calibri"/>
        <family val="2"/>
      </rPr>
      <t>Light Fixture Driver Replacement:</t>
    </r>
    <r>
      <rPr>
        <sz val="18"/>
        <color rgb="FF00B050"/>
        <rFont val="Calibri"/>
        <family val="2"/>
      </rPr>
      <t xml:space="preserve"> Provide electrical service to remove and replace the existing driver for one (1) 4-foot light fixture located in the gym. -BuildCare will provide, assemble, and dismantle the necessary scaffolding to safely access the high-ceiling fixture. -Install the new driver and reconnect all electrical components. -Re-energize the electrical circuit and test the light fixture to verify proper operation.</t>
    </r>
  </si>
  <si>
    <t>OSGC already has the materials / This Job needs to be scheduled along with Estimate 16439 when it gets approved to use the same Scaffold / IT WILL BE HAPPENING AROUND NOVEMBER</t>
  </si>
  <si>
    <t>Estimate 16495</t>
  </si>
  <si>
    <t>OSGC electrical only / BC provides scaffolding and laborers using sources from Estimate 16439</t>
  </si>
  <si>
    <t>Hallway and Fitness Center</t>
  </si>
  <si>
    <r>
      <rPr>
        <b/>
        <sz val="18"/>
        <color rgb="FF00B050"/>
        <rFont val="Calibri"/>
        <family val="2"/>
      </rPr>
      <t>Hallway Painting:</t>
    </r>
    <r>
      <rPr>
        <sz val="18"/>
        <color rgb="FF00B050"/>
        <rFont val="Calibri"/>
        <family val="2"/>
      </rPr>
      <t xml:space="preserve"> Perform minor wall repairs as needed. -Paint hallway walls only. Property will provide all paint. -Exclusions: No doors, no ceilings, no trim. -5th Floor -4th Floor -3rd Floor - 2nd Floor -1st Floor - Lower Level /</t>
    </r>
    <r>
      <rPr>
        <b/>
        <sz val="18"/>
        <color rgb="FF00B050"/>
        <rFont val="Calibri"/>
        <family val="2"/>
      </rPr>
      <t xml:space="preserve"> Fitness Center Painting:</t>
    </r>
    <r>
      <rPr>
        <sz val="18"/>
        <color rgb="FF00B050"/>
        <rFont val="Calibri"/>
        <family val="2"/>
      </rPr>
      <t xml:space="preserve"> Paint walls in the fitness center with a ceiling height of approximately 20 feet. -Scaffolding will be required to complete the work safely.</t>
    </r>
  </si>
  <si>
    <r>
      <rPr>
        <sz val="18"/>
        <color rgb="FFFF0000"/>
        <rFont val="Calibri"/>
        <family val="2"/>
      </rPr>
      <t xml:space="preserve">JOB NOT APPROVED YET </t>
    </r>
    <r>
      <rPr>
        <sz val="18"/>
        <color rgb="FF7030A0"/>
        <rFont val="Calibri"/>
        <family val="2"/>
      </rPr>
      <t>Job Needs to be scheduled along with Estimate 16495</t>
    </r>
  </si>
  <si>
    <t>Estimate 16439</t>
  </si>
  <si>
    <t xml:space="preserve">G0505 </t>
  </si>
  <si>
    <r>
      <rPr>
        <b/>
        <sz val="18"/>
        <color rgb="FF00B050"/>
        <rFont val="Calibri"/>
        <family val="2"/>
      </rPr>
      <t>Continue</t>
    </r>
    <r>
      <rPr>
        <sz val="18"/>
        <color rgb="FF00B050"/>
        <rFont val="Calibri"/>
        <family val="2"/>
      </rPr>
      <t xml:space="preserve"> 2 panels of approximately 1 ft x 4 ft each \ 1 panel of approximately 1 ft x 3 ft. (materials provided by Property) at 8:30am On Time </t>
    </r>
    <r>
      <rPr>
        <b/>
        <sz val="18"/>
        <color rgb="FF00B050"/>
        <rFont val="Calibri"/>
        <family val="2"/>
      </rPr>
      <t>UPDATE:</t>
    </r>
    <r>
      <rPr>
        <sz val="18"/>
        <color rgb="FF00B050"/>
        <rFont val="Calibri"/>
        <family val="2"/>
      </rPr>
      <t xml:space="preserve"> The panels will be painted with epoxy paint prior to installation and will require drying time. Our technicians will do their best to install them today; however, installation will depend on the drying time of the paint provided by the property. </t>
    </r>
    <r>
      <rPr>
        <b/>
        <sz val="18"/>
        <color rgb="FF00B050"/>
        <rFont val="Calibri"/>
        <family val="2"/>
      </rPr>
      <t>UPDATE 2:</t>
    </r>
    <r>
      <rPr>
        <sz val="18"/>
        <color rgb="FF00B050"/>
        <rFont val="Calibri"/>
        <family val="2"/>
      </rPr>
      <t xml:space="preserve"> The installation of the panels cannot be carried out today. Since the applied paint took longer than expected to dry, the work will need to be rescheduled for a later date. The property will confirm the new date before the appointment is scheduled. \ The installation will proceed once the surface is fully prepared and ready.</t>
    </r>
  </si>
  <si>
    <t>Placed on hold by the property / Waiting for continuation date</t>
  </si>
  <si>
    <t>Job started 08/06</t>
  </si>
  <si>
    <r>
      <t xml:space="preserve">Ceiling Drywall repair 2ft The drywall will be replaced due to water damage. </t>
    </r>
    <r>
      <rPr>
        <b/>
        <sz val="18"/>
        <color rgb="FF00B050"/>
        <rFont val="Calibri"/>
        <family val="2"/>
      </rPr>
      <t>/ Last minute requqest assigned by Josue</t>
    </r>
    <r>
      <rPr>
        <sz val="18"/>
        <color rgb="FF00B050"/>
        <rFont val="Calibri"/>
        <family val="2"/>
      </rPr>
      <t xml:space="preserve"> </t>
    </r>
    <r>
      <rPr>
        <b/>
        <sz val="18"/>
        <color rgb="FF00B050"/>
        <rFont val="Calibri"/>
        <family val="2"/>
      </rPr>
      <t>UPDATE:</t>
    </r>
    <r>
      <rPr>
        <sz val="18"/>
        <color rgb="FF00B050"/>
        <rFont val="Calibri"/>
        <family val="2"/>
      </rPr>
      <t xml:space="preserve"> Leaking was found. Opening left open. while the handyman was painting the repaired area, a leak started coming from the ceiling; the property will repair this next week and let us know when we can reschedule the work.</t>
    </r>
  </si>
  <si>
    <t>E319</t>
  </si>
  <si>
    <t>Mold remediation: Washer/Dryer Area Only at 9:00am</t>
  </si>
  <si>
    <t>confirm. With Jarvis or via email with Molly or Josue THEY ARE REQUEST MOLD CERTIFICATES BEFORE SCHEDULING</t>
  </si>
  <si>
    <t>1023 N Orianna</t>
  </si>
  <si>
    <t>Mold remediation: 3rd Floor Bedrooms and Bathroom at 9:00am</t>
  </si>
  <si>
    <t>1030-1002</t>
  </si>
  <si>
    <t>Mold remediation: Ceiling Area at 9:00am</t>
  </si>
  <si>
    <t>Materials' ETA 09/09</t>
  </si>
  <si>
    <r>
      <t>DVM</t>
    </r>
    <r>
      <rPr>
        <sz val="18"/>
        <color rgb="FFFF0000"/>
        <rFont val="Calibri"/>
        <family val="2"/>
      </rPr>
      <t xml:space="preserve"> Angel Davila </t>
    </r>
    <r>
      <rPr>
        <sz val="18"/>
        <rFont val="Calibri"/>
        <family val="2"/>
      </rPr>
      <t xml:space="preserve">/ Marcelo Lopez </t>
    </r>
  </si>
  <si>
    <t>Angel Davila never arrived on this day he called out sick</t>
  </si>
  <si>
    <r>
      <t xml:space="preserve">REHAB: </t>
    </r>
    <r>
      <rPr>
        <b/>
        <sz val="18"/>
        <rFont val="Calibri"/>
        <family val="2"/>
      </rPr>
      <t>Flooring services:</t>
    </r>
    <r>
      <rPr>
        <sz val="18"/>
        <rFont val="Calibri"/>
        <family val="2"/>
      </rPr>
      <t xml:space="preserve"> Floring techs to install new floor and shoe molding. Handy/painters/flooring must work together / </t>
    </r>
    <r>
      <rPr>
        <b/>
        <sz val="18"/>
        <rFont val="Calibri"/>
        <family val="2"/>
      </rPr>
      <t>VCT JOB:</t>
    </r>
    <r>
      <rPr>
        <sz val="18"/>
        <rFont val="Calibri"/>
        <family val="2"/>
      </rPr>
      <t xml:space="preserve"> Install VCT tile in master bedroom closet. Monday since unit must be ready for moving Tuesday please /</t>
    </r>
    <r>
      <rPr>
        <sz val="18"/>
        <color rgb="FFFF0000"/>
        <rFont val="Calibri"/>
        <family val="2"/>
      </rPr>
      <t xml:space="preserve"> </t>
    </r>
    <r>
      <rPr>
        <b/>
        <sz val="18"/>
        <color rgb="FFFF0000"/>
        <rFont val="Calibri"/>
        <family val="2"/>
      </rPr>
      <t>Touch Paint Service:</t>
    </r>
    <r>
      <rPr>
        <sz val="18"/>
        <color rgb="FFFF0000"/>
        <rFont val="Calibri"/>
        <family val="2"/>
      </rPr>
      <t xml:space="preserve"> Please perform all the necessary touch paint in walls, trims and shoe molding after the flooring jobs. THE TOUCH UP PAINT WAS CANCELLED DUE TO THE UNIT IS NOT PAINTED YET</t>
    </r>
  </si>
  <si>
    <t>Estimate 17380</t>
  </si>
  <si>
    <t>Estimate 17381</t>
  </si>
  <si>
    <t xml:space="preserve">1 handyman for 1 day Assist the property with handyman tasks  work orders / make ready at 8:00am 
 Property will provide all materials and supervision  Note: Send Enrique Cumez </t>
  </si>
  <si>
    <t xml:space="preserve">Paint unit and Cleaning at 8:00am </t>
  </si>
  <si>
    <t xml:space="preserve">Bathtub reglaze- located on the right side of the unit. </t>
  </si>
  <si>
    <t>p105</t>
  </si>
  <si>
    <t xml:space="preserve">post renovation cleanings at 8:00am </t>
  </si>
  <si>
    <t>1 Handy Quoted / Cleaning same day</t>
  </si>
  <si>
    <t>Seal around the exterior window frame and building façade to prevent future leaks.
Note: BC will provide all labor and materials.</t>
  </si>
  <si>
    <t>On Hold</t>
  </si>
  <si>
    <t>this job must be placed on hold until further notice. Please do not proceed with any scheduling or work activities related to this unit until additional instructions are provided.</t>
  </si>
  <si>
    <t>helping organize the paint shop in the brownstone as labor (8/31/26); a padlock is going to be installed</t>
  </si>
  <si>
    <t xml:space="preserve">Alluda Carlos marin </t>
  </si>
  <si>
    <t>Estimate 17382</t>
  </si>
  <si>
    <t xml:space="preserve">Sanai Pliability Eddy Cumes / Alexander Polanco </t>
  </si>
  <si>
    <t xml:space="preserve">Cuxil Group Ottoniel Gonzales </t>
  </si>
  <si>
    <t xml:space="preserve">Cuxil Group David Pineda / Sanai Pliability Luis Garcia </t>
  </si>
  <si>
    <r>
      <rPr>
        <b/>
        <sz val="18"/>
        <color rgb="FFFF0000"/>
        <rFont val="Calibri"/>
        <family val="2"/>
      </rPr>
      <t>Continue</t>
    </r>
    <r>
      <rPr>
        <sz val="18"/>
        <color rgb="FFFF0000"/>
        <rFont val="Calibri"/>
        <family val="2"/>
      </rPr>
      <t xml:space="preserve"> Renovation: Popcorn ceiling removal / renovation Bathroom / install kitchen backsplash / Paint entire unit incluiding ceiling </t>
    </r>
  </si>
  <si>
    <r>
      <rPr>
        <b/>
        <sz val="18"/>
        <color rgb="FFFF0000"/>
        <rFont val="Calibri"/>
        <family val="2"/>
      </rPr>
      <t>Continue</t>
    </r>
    <r>
      <rPr>
        <sz val="18"/>
        <color rgb="FFFF0000"/>
        <rFont val="Calibri"/>
        <family val="2"/>
      </rPr>
      <t xml:space="preserve"> Full Laundry build-up: Framing</t>
    </r>
  </si>
  <si>
    <t xml:space="preserve">Continue After Flooring </t>
  </si>
  <si>
    <t xml:space="preserve">Cuxil Group / Sanai Piability Extra de: Jairo Cuxil </t>
  </si>
  <si>
    <t xml:space="preserve">Sanai Pliability Lorenzo Vaquiax </t>
  </si>
  <si>
    <t xml:space="preserve">Sanai Pliability Sergio Chex </t>
  </si>
  <si>
    <t xml:space="preserve">Cuxil Group Juan Garcia </t>
  </si>
  <si>
    <t>Cuxil Group Edgar Lool 	 / Sanai Pliability Santiago Chanchavac</t>
  </si>
  <si>
    <t xml:space="preserve">Cuxil Group Edgar Cuxil / Sanai Pliability Jairo Cuxil </t>
  </si>
  <si>
    <t xml:space="preserve">Sanai Pliability  Elmer Morales </t>
  </si>
  <si>
    <t xml:space="preserve">Cuxil Group Yovanny Olgadez 	
/ Sanai Pliability Josue Olgadez </t>
  </si>
  <si>
    <t xml:space="preserve">Cuxil Group Demetrio Semeya </t>
  </si>
  <si>
    <t>Paint done</t>
  </si>
  <si>
    <t xml:space="preserve">Continue </t>
  </si>
  <si>
    <t>Rescheduled Thursday 09/03</t>
  </si>
  <si>
    <t>Done</t>
  </si>
  <si>
    <t>Continue</t>
  </si>
  <si>
    <t>Provide a technician with a van to work at the warehouse, Monday to Saturday  until further notice</t>
  </si>
  <si>
    <t>BC Services  until further notice</t>
  </si>
  <si>
    <t>DVM Joseb Ortiz </t>
  </si>
  <si>
    <t>DVM  Denis pinto </t>
  </si>
  <si>
    <t xml:space="preserve">DVM Mario Ruiz / Rodolfo melo </t>
  </si>
  <si>
    <t xml:space="preserve">DVM Mario Ruiz /
 Rodolfo melo </t>
  </si>
  <si>
    <t xml:space="preserve">Countertop reglaze </t>
  </si>
  <si>
    <t>3 BDR</t>
  </si>
  <si>
    <t>Bathtub Reglazein the  afternoon</t>
  </si>
  <si>
    <t xml:space="preserve">Studio </t>
  </si>
  <si>
    <t xml:space="preserve">Unit Cleaning at 8:00 am </t>
  </si>
  <si>
    <t xml:space="preserve">DVM Angel Davila </t>
  </si>
  <si>
    <t>No Charge / Courtesy job for Christian Glaser</t>
  </si>
  <si>
    <t xml:space="preserve">Atlas Javier Santiago </t>
  </si>
  <si>
    <t xml:space="preserve">DVM Marvin Cumes </t>
  </si>
  <si>
    <t xml:space="preserve">Same-day clean - rescheduled by Carlos </t>
  </si>
  <si>
    <t xml:space="preserve">rescheduled by Carlos </t>
  </si>
  <si>
    <t>Alluda Fabian Muñoz</t>
  </si>
  <si>
    <t>Approved 2 hrs weach handy for complete job  - Carpet padding 
Carpet shampoo</t>
  </si>
  <si>
    <t xml:space="preserve">Continue After Electrical and Plumber </t>
  </si>
  <si>
    <t>Waiting the Door from BC Warehouse ETA 10/26/2026</t>
  </si>
  <si>
    <t xml:space="preserve">rescheduled starting Tuesday </t>
  </si>
  <si>
    <r>
      <rPr>
        <b/>
        <sz val="18"/>
        <color rgb="FFFF0000"/>
        <rFont val="Calibri"/>
        <family val="2"/>
      </rPr>
      <t>Continue</t>
    </r>
    <r>
      <rPr>
        <sz val="18"/>
        <color rgb="FFFF0000"/>
        <rFont val="Calibri"/>
        <family val="2"/>
      </rPr>
      <t xml:space="preserve"> Repair: Install new property provided ptac unit -Build drain line for back of the ptac unit, to allow water to travel away from the wall -Replace approximately 10 gfci outlets and 4 light switches (Property to provide materials) -Install new property provided outlet and switch covers -Install property provided appliances, toilet, and bathtub on wooden dollies -Paint exterior wall of the training room using white semigloss paint Wall: 35ft long x 8ft high -Purchase and install a tv mounting bracket for a 40” tv -Install a 40” property provided tv. -Build two dollies for washer/dryer machines 26”x24” with plywood and 4 wheels each.  -Build drainage with pvc pipes for training purposes for - showerpan - toilet - vanity sink - install copper including pipes for hot and cold water for training purposes only Note: all the pipe installations will not be connected to any water or drainage lines Notes: *Property to provide appliances, electrical outlets, switches, and covers *Debris to be disposed of in property provided dumpster. </t>
    </r>
  </si>
  <si>
    <t xml:space="preserve"> Sanai Pliability Wilber Ramirez </t>
  </si>
  <si>
    <t>1 handyman for 10 days Assist the property with bathroom vanities repair from Monday 08/24/26 through Friday 08/28/26  - Monday 08/31/26 through Friday 09/04/26 at 8:30am Note: property to provide all materials and supervision  Note: send David Pineda  Must contact Karan upon arrival UPDATE: Tuesday 09/01 to Saturday 09/05</t>
  </si>
  <si>
    <t>reschedule next day</t>
  </si>
  <si>
    <t>DVM Juan Mendoza</t>
  </si>
  <si>
    <t xml:space="preserve">Felix R santos </t>
  </si>
  <si>
    <r>
      <t xml:space="preserve">CREW MEMBERS OFF/VACATIONS: </t>
    </r>
    <r>
      <rPr>
        <sz val="20"/>
        <rFont val="Calibri"/>
        <family val="2"/>
        <scheme val="minor"/>
      </rPr>
      <t>Alluda Companies Agustin Lopez</t>
    </r>
    <r>
      <rPr>
        <b/>
        <sz val="20"/>
        <rFont val="Calibri"/>
        <family val="2"/>
        <scheme val="minor"/>
      </rPr>
      <t xml:space="preserve"> /</t>
    </r>
    <r>
      <rPr>
        <sz val="20"/>
        <rFont val="Calibri"/>
        <family val="2"/>
        <scheme val="minor"/>
      </rPr>
      <t xml:space="preserve"> DVM Angel Davila</t>
    </r>
  </si>
  <si>
    <r>
      <rPr>
        <sz val="18"/>
        <rFont val="Calibri"/>
        <family val="2"/>
      </rPr>
      <t xml:space="preserve">Unit Cleaning after repair / </t>
    </r>
    <r>
      <rPr>
        <b/>
        <sz val="18"/>
        <rFont val="Calibri"/>
        <family val="2"/>
      </rPr>
      <t>Last minute assigned by Carlos</t>
    </r>
  </si>
  <si>
    <t>Atlas Moises Rivas / Jesua Macilla</t>
  </si>
  <si>
    <t>Estimate 17374</t>
  </si>
  <si>
    <r>
      <rPr>
        <b/>
        <sz val="18"/>
        <rFont val="Calibri"/>
        <family val="2"/>
      </rPr>
      <t>Bathroom Ceramic Tile Repair:</t>
    </r>
    <r>
      <rPr>
        <sz val="18"/>
        <rFont val="Calibri"/>
        <family val="2"/>
      </rPr>
      <t xml:space="preserve"> Demo and discard (5) damaged ceramic tiles located on the bathroom floor.\ Prep and perform minor subfloor repairs prior to new ceramic tile installation.\ Provide and install (5) new 13 in. x 13 in. ceramic tiles.\ Apply grout to newly installed tiles. /</t>
    </r>
    <r>
      <rPr>
        <b/>
        <sz val="18"/>
        <rFont val="Calibri"/>
        <family val="2"/>
      </rPr>
      <t xml:space="preserve"> Last minute request assigned by Casey</t>
    </r>
  </si>
  <si>
    <t>Alluda Carlos Marin</t>
  </si>
  <si>
    <t>1 Laborer to help The BC Warehouse difrector organizing mutiple items Arrive at 9:00am</t>
  </si>
  <si>
    <t>5D</t>
  </si>
  <si>
    <t>Repair opening made by others and install missing parquet NOTE: BC to provide plastic drop, spackle, rosin paper, wall paint, blue tape, metal for framing, drywall, primer grip, sanding sponge, floor trim and other materials and labor needed to complete the job. / For access, please call Steve (646) 299-5888 or Jeffery 929-218-9732</t>
  </si>
  <si>
    <t>Waiting Materials from BC Shop ETA 09/07</t>
  </si>
  <si>
    <t>Estimate 17386</t>
  </si>
  <si>
    <t>One bathtub reglaze</t>
  </si>
  <si>
    <t xml:space="preserve">Regular Cleaning IN THE MORNING </t>
  </si>
  <si>
    <t>Estimate 17385</t>
  </si>
  <si>
    <r>
      <t>Countertop Reglaze </t>
    </r>
    <r>
      <rPr>
        <b/>
        <sz val="18"/>
        <color rgb="FF00B050"/>
        <rFont val="Calibri"/>
        <family val="2"/>
      </rPr>
      <t>IN THE LATE AFTERNOON</t>
    </r>
  </si>
  <si>
    <r>
      <t xml:space="preserve">Thermofoil Removal and Reglaze Kitchen; one drawer, three doors </t>
    </r>
    <r>
      <rPr>
        <b/>
        <sz val="18"/>
        <color rgb="FF00B050"/>
        <rFont val="Calibri"/>
        <family val="2"/>
      </rPr>
      <t>IN THE LATE AFTERNOON</t>
    </r>
  </si>
  <si>
    <r>
      <t xml:space="preserve">Make opening in guest bedroom 3x3 to reinstall loose Hvac vent, close opening, spackle, sand and paint </t>
    </r>
    <r>
      <rPr>
        <b/>
        <sz val="18"/>
        <rFont val="Calibri"/>
        <family val="2"/>
      </rPr>
      <t>NOTE:</t>
    </r>
    <r>
      <rPr>
        <sz val="18"/>
        <rFont val="Calibri"/>
        <family val="2"/>
      </rPr>
      <t xml:space="preserve"> Bc to provide  carpet film, plastic drop, spackle, mesh tape, trash bags, sanding sponge, blue tape and all other materials and labor needed to complete the job. / For access, please call Christian 201-705-0879 or Alex 201-713-8719 </t>
    </r>
    <r>
      <rPr>
        <b/>
        <sz val="18"/>
        <rFont val="Calibri"/>
        <family val="2"/>
      </rPr>
      <t>update the scope of work. Two more openings of 2x4 were required to see where ducts weren't connected. After the ducts were taped with duct tape, there still wasn't air flow. The building asked to please just temporarily close openings so they can do their own investigation tomorrow to see where the problem is. Once they determine and fix it, they will let us know so we can close all openings properly.</t>
    </r>
  </si>
  <si>
    <t>Regular Cleaning</t>
  </si>
  <si>
    <t xml:space="preserve">Inspect and Repair Water leak that might be coming from the skylight -  Bc to provide all materials and labor needed to complete the job.  For access, please call Christian 201-705-0879 or Alex 201-713-8719 Last minute request </t>
  </si>
  <si>
    <t>5th floor hallway near unit 527</t>
  </si>
  <si>
    <t>Drywall Demo+Repairs: Demo drywall on ceiling to allow plumbing work.\ Size of the opening: 8 ft x 4 ft and 2 ft x 8 ft.\ Remove and save an existing door access panel.\ Once plumbing repairs are completed by others, install new drywall to seal the demo area.\ Tape, spackle, sand, and prime newly installed drywall.\ Paint repaired ceiling areas using flat white paint.\ Use property-provided paint to perform touch-up painting on walls as needed.</t>
  </si>
  <si>
    <t>Estimate 17317</t>
  </si>
  <si>
    <t xml:space="preserve"> We will return 09/02 in the afternoon to begin sealing demo areas once their plumber has completed their work. </t>
  </si>
  <si>
    <t>Kitchen cabinet reglaze boxes only - 1 bathtubs reglaze</t>
  </si>
  <si>
    <t>Regular cleaning at 8:00 am</t>
  </si>
  <si>
    <t>1 Bathtub reglaze and 1 Shower pan reglaze</t>
  </si>
  <si>
    <t>PH 20</t>
  </si>
  <si>
    <t>Floor repairs at 8:00 am</t>
  </si>
  <si>
    <t>1 Daily handymen for Monday to Friday Working hours: 8:00 AM to 5:00 PM, including a one-hour lunch break • Assisting the Maintenance Team</t>
  </si>
  <si>
    <t xml:space="preserve">Wood Solutions Raul Raudales </t>
  </si>
  <si>
    <t xml:space="preserve">Cuxil Group / Sanai Plaibility </t>
  </si>
  <si>
    <t>Estimate 17336</t>
  </si>
  <si>
    <t xml:space="preserve">AC Sleeve Replacement at 9:00am </t>
  </si>
  <si>
    <t>Extendent unit Thursday 09/03</t>
  </si>
  <si>
    <t>1 Handyman for two (2) days (Thursday 08/27 AND Monday 08/31) to assist property with work orders. NOTE: For access and information call George: (862)240-6384 Add Tuesday 09/01 to Thursday 09/03</t>
  </si>
  <si>
    <t>Townhouse 30</t>
  </si>
  <si>
    <t>Paint Unit (change color in dining room and loft also baseboard an doors will be panted in semigloss)</t>
  </si>
  <si>
    <t>Carpet replacement</t>
  </si>
  <si>
    <t>Paint Unit (Remove and re-install cover plates / Protect all floors/carpets) at 9:00am Note: BC provides the paint, Call Enrique for access: +1 (646) 984-3300</t>
  </si>
  <si>
    <t>Carpet / Clean</t>
  </si>
  <si>
    <t>22-466</t>
  </si>
  <si>
    <t>22-120</t>
  </si>
  <si>
    <t>Clean</t>
  </si>
  <si>
    <t>Carpet Replacement at 9:00am Note: Unit is painted already. Call Enrique for access: +1 (646) 984-3300</t>
  </si>
  <si>
    <t>Paint unit at 8:00am  Note: The property has provided the paint.</t>
  </si>
  <si>
    <t xml:space="preserve">Atlas Douglas Espinal -  Jesus Alvarado </t>
  </si>
  <si>
    <t>Alluda Agustin Lopez</t>
  </si>
  <si>
    <r>
      <t xml:space="preserve">Install R-19 insulation (approximately 3' x 10') \ Seal opening with 5/8" drywall \ Paint entire wall at 8:00 am NOTE: Carpet padding and shampoo same day. / The property will provide the paint. BuildCare will provide all other materials required to complete the repairs. </t>
    </r>
    <r>
      <rPr>
        <b/>
        <sz val="18"/>
        <rFont val="Calibri"/>
        <family val="2"/>
      </rPr>
      <t>ADD: This is going to be added to the original job: repairing the wall, gluing the tiles, and applying grout. </t>
    </r>
    <r>
      <rPr>
        <sz val="18"/>
        <rFont val="Calibri"/>
        <family val="2"/>
      </rPr>
      <t xml:space="preserve"> </t>
    </r>
    <r>
      <rPr>
        <b/>
        <sz val="18"/>
        <rFont val="Calibri"/>
        <family val="2"/>
      </rPr>
      <t>UPDATE:</t>
    </r>
    <r>
      <rPr>
        <sz val="18"/>
        <rFont val="Calibri"/>
        <family val="2"/>
      </rPr>
      <t xml:space="preserve"> An extra </t>
    </r>
    <r>
      <rPr>
        <b/>
        <sz val="18"/>
        <rFont val="Calibri"/>
        <family val="2"/>
      </rPr>
      <t>2 hours of overtime has been approved</t>
    </r>
    <r>
      <rPr>
        <sz val="18"/>
        <rFont val="Calibri"/>
        <family val="2"/>
      </rPr>
      <t xml:space="preserve"> for the workers, considering that they entered the unit at 11 AM, per management's orders.</t>
    </r>
  </si>
  <si>
    <t>property visit for the proposal at 11:30 AM, (supervisor area)</t>
  </si>
  <si>
    <t>Unit cleaning in the morning</t>
  </si>
  <si>
    <t>2 bathtub reglaze</t>
  </si>
  <si>
    <t xml:space="preserve">Daily Painter at 8am please report to Jonathan 862-387-9993 </t>
  </si>
  <si>
    <t xml:space="preserve">WTN Pending </t>
  </si>
  <si>
    <t xml:space="preserve"> Continue Full Renovation: Popcorn ceiling removal / renovation Bathroom / install kitchen backsplash / Paint entire unit incluiding ceiling </t>
  </si>
  <si>
    <t>BC Supervisor</t>
  </si>
  <si>
    <t xml:space="preserve">JYL Cleaning </t>
  </si>
  <si>
    <t xml:space="preserve">Paint the entire unit including the front door </t>
  </si>
  <si>
    <t>HR painters</t>
  </si>
  <si>
    <r>
      <rPr>
        <b/>
        <sz val="18"/>
        <rFont val="Calibri"/>
        <family val="2"/>
      </rPr>
      <t xml:space="preserve">Continue </t>
    </r>
    <r>
      <rPr>
        <sz val="18"/>
        <rFont val="Calibri"/>
        <family val="2"/>
      </rPr>
      <t>demolish the kitchen countertops on the 1st floor the top row above the ones demolished by mistake including the soffit.</t>
    </r>
  </si>
  <si>
    <r>
      <t xml:space="preserve">Paint unit and Cleaning same day at 8:00 am </t>
    </r>
    <r>
      <rPr>
        <b/>
        <sz val="18"/>
        <rFont val="Calibri"/>
        <family val="2"/>
      </rPr>
      <t>NOTE:</t>
    </r>
    <r>
      <rPr>
        <sz val="18"/>
        <rFont val="Calibri"/>
        <family val="2"/>
      </rPr>
      <t xml:space="preserve"> The building will provide the Paint For access, Please call Colin 1(973) 255-8682 or Eli 917-442-0088</t>
    </r>
  </si>
  <si>
    <r>
      <t xml:space="preserve">Paint unit at 8:00 am </t>
    </r>
    <r>
      <rPr>
        <b/>
        <sz val="18"/>
        <rFont val="Calibri"/>
        <family val="2"/>
      </rPr>
      <t xml:space="preserve">NOTE: </t>
    </r>
    <r>
      <rPr>
        <sz val="18"/>
        <rFont val="Calibri"/>
        <family val="2"/>
      </rPr>
      <t>For access, please call Jonathan 862-387-9993 or Danny 646-508-3402</t>
    </r>
  </si>
  <si>
    <r>
      <t xml:space="preserve">Replace cracked floating sink </t>
    </r>
    <r>
      <rPr>
        <b/>
        <sz val="18"/>
        <rFont val="Calibri"/>
        <family val="2"/>
      </rPr>
      <t>NOTE:</t>
    </r>
    <r>
      <rPr>
        <sz val="18"/>
        <rFont val="Calibri"/>
        <family val="2"/>
      </rPr>
      <t xml:space="preserve"> For access, please call Colin 973-255-8682or Eli at 1 (917) 442-0088</t>
    </r>
  </si>
  <si>
    <r>
      <rPr>
        <b/>
        <sz val="18"/>
        <rFont val="Calibri"/>
        <family val="2"/>
      </rPr>
      <t>Continue Drywall Repairs:</t>
    </r>
    <r>
      <rPr>
        <sz val="18"/>
        <rFont val="Calibri"/>
        <family val="2"/>
      </rPr>
      <t xml:space="preserve"> Repair the damaged drywall at the bedroom soffit, approximately 2 ft x 9 ft \ Provide and install the necessary framing support \ Install approximately 1 linear ft of 1x2 lumber at the wall as needed for proper drywall support \ Provide and install missing drywall in the hallway in the following approximate areas: 2 ft x 5 ft and 2 ft x 4 ft \ Tape, apply joint compound, and finish all drywall seams and repaired areas \ Sand all repaired surfaces to achieve a smooth and even finish \ Prime all repaired areas and leave them ready for paint.</t>
    </r>
  </si>
  <si>
    <r>
      <t xml:space="preserve">Unit cleaning AFTER 2:00 PM </t>
    </r>
    <r>
      <rPr>
        <b/>
        <sz val="18"/>
        <rFont val="Calibri"/>
        <family val="2"/>
      </rPr>
      <t>NOTE:</t>
    </r>
    <r>
      <rPr>
        <sz val="18"/>
        <rFont val="Calibri"/>
        <family val="2"/>
      </rPr>
      <t xml:space="preserve"> Same-day paint</t>
    </r>
  </si>
  <si>
    <r>
      <t xml:space="preserve">Unit Cleaning AFTER 2:00 PM </t>
    </r>
    <r>
      <rPr>
        <b/>
        <sz val="18"/>
        <rFont val="Calibri"/>
        <family val="2"/>
      </rPr>
      <t>NOTE:</t>
    </r>
    <r>
      <rPr>
        <sz val="18"/>
        <rFont val="Calibri"/>
        <family val="2"/>
      </rPr>
      <t xml:space="preserve"> same-day paint / For access, Please call Colin 1(973) 255-8682 or Eli 917-442-0088</t>
    </r>
  </si>
  <si>
    <r>
      <t xml:space="preserve">Guest bathtub reglaze </t>
    </r>
    <r>
      <rPr>
        <b/>
        <sz val="18"/>
        <rFont val="Calibri"/>
        <family val="2"/>
      </rPr>
      <t>NOTE:</t>
    </r>
    <r>
      <rPr>
        <sz val="18"/>
        <rFont val="Calibri"/>
        <family val="2"/>
      </rPr>
      <t xml:space="preserve"> Please be on tie since this unit is occupied / For access, please call Christian 201-705-0879 or Alex 201-713-8719</t>
    </r>
  </si>
  <si>
    <r>
      <rPr>
        <b/>
        <sz val="18"/>
        <rFont val="Calibri"/>
        <family val="2"/>
      </rPr>
      <t>Continue</t>
    </r>
    <r>
      <rPr>
        <sz val="18"/>
        <rFont val="Calibri"/>
        <family val="2"/>
      </rPr>
      <t xml:space="preserve"> Full laundry room build-up: Framing</t>
    </r>
  </si>
  <si>
    <r>
      <rPr>
        <b/>
        <sz val="18"/>
        <rFont val="Calibri"/>
        <family val="2"/>
      </rPr>
      <t>Continue</t>
    </r>
    <r>
      <rPr>
        <sz val="18"/>
        <rFont val="Calibri"/>
        <family val="2"/>
      </rPr>
      <t xml:space="preserve"> Laundry Room Construction framing and demo work</t>
    </r>
  </si>
  <si>
    <r>
      <rPr>
        <b/>
        <sz val="18"/>
        <rFont val="Calibri"/>
        <family val="2"/>
      </rPr>
      <t xml:space="preserve">Kitchen Countertop Reduction:  </t>
    </r>
    <r>
      <rPr>
        <sz val="18"/>
        <rFont val="Calibri"/>
        <family val="2"/>
      </rPr>
      <t xml:space="preserve">-Demo and discard existing kitchen countertops and stone backsplash.  -Demo and discard existing drywall to make surfaces level.  Area to be Demoed: *17" wide x 79" long x 4" high  -Provide and install metal corner bead. -Perform drywall repairs as needed. -Tape, spackle, sand and prime all repaired areas.  -Apply (1) coat of paint to repair area, matching property specs. at 8:00am </t>
    </r>
  </si>
  <si>
    <r>
      <rPr>
        <b/>
        <sz val="18"/>
        <rFont val="Calibri"/>
        <family val="2"/>
      </rPr>
      <t>Kahrs Floor Repair</t>
    </r>
    <r>
      <rPr>
        <sz val="18"/>
        <rFont val="Calibri"/>
        <family val="2"/>
      </rPr>
      <t xml:space="preserve">:  -Demo and discard karhs floor in 2 areas of the apartment guest bedroom master bedroom near closet total size of repairs 48sqft -Prep and perform minor subfloor repairs prior to new floor installation. -Provide and install 48 sqft new KahrsFloor in mentioned area
</t>
    </r>
    <r>
      <rPr>
        <b/>
        <sz val="18"/>
        <rFont val="Calibri"/>
        <family val="2"/>
      </rPr>
      <t xml:space="preserve">Kahrs Floor Refinish: </t>
    </r>
    <r>
      <rPr>
        <sz val="18"/>
        <rFont val="Calibri"/>
        <family val="2"/>
      </rPr>
      <t xml:space="preserve">-Sand 954 sqft existing Kahrs flooring located in throughout unit. -Smooth out any scratches left after sanding process to ensure a more even  final appearance. -Clean up the dust by vacuuming entire  area. -Apply one (1) coat of clear coat to area.at 8:00am </t>
    </r>
  </si>
  <si>
    <r>
      <t xml:space="preserve">Regular cleaning </t>
    </r>
    <r>
      <rPr>
        <b/>
        <sz val="18"/>
        <rFont val="Calibri"/>
        <family val="2"/>
      </rPr>
      <t>IN THE MORNING</t>
    </r>
  </si>
  <si>
    <r>
      <t xml:space="preserve">Bathtub Reglaze / Shower pan Reglaze </t>
    </r>
    <r>
      <rPr>
        <b/>
        <sz val="18"/>
        <rFont val="Calibri"/>
        <family val="2"/>
      </rPr>
      <t>IN THE AFTERNOON</t>
    </r>
  </si>
  <si>
    <r>
      <rPr>
        <b/>
        <sz val="18"/>
        <rFont val="Calibri"/>
        <family val="2"/>
      </rPr>
      <t xml:space="preserve">Trash Chute Hardware Replacement: </t>
    </r>
    <r>
      <rPr>
        <sz val="18"/>
        <rFont val="Calibri"/>
        <family val="2"/>
      </rPr>
      <t xml:space="preserve">Repair two (2) existing trash chute doors. -Furnish and install one (1) new heavy-duty T-handle with compatible door latch.   -Furnish and replace two (2) hydraulic door closers.  -Remove and dispose of existing hardware as required.  -Adjust and test all installed hardware to ensure proper operation and secure door closure. </t>
    </r>
  </si>
  <si>
    <r>
      <rPr>
        <b/>
        <sz val="18"/>
        <rFont val="Calibri"/>
        <family val="2"/>
      </rPr>
      <t>Continue</t>
    </r>
    <r>
      <rPr>
        <sz val="18"/>
        <rFont val="Calibri"/>
        <family val="2"/>
      </rPr>
      <t xml:space="preserve"> Ceiling repair and paint </t>
    </r>
    <r>
      <rPr>
        <b/>
        <sz val="18"/>
        <rFont val="Calibri"/>
        <family val="2"/>
      </rPr>
      <t>Paint specs:</t>
    </r>
    <r>
      <rPr>
        <sz val="18"/>
        <rFont val="Calibri"/>
        <family val="2"/>
      </rPr>
      <t xml:space="preserve"> White paint flat pro mar 200 </t>
    </r>
    <r>
      <rPr>
        <b/>
        <sz val="18"/>
        <rFont val="Calibri"/>
        <family val="2"/>
      </rPr>
      <t>NOTE:</t>
    </r>
    <r>
      <rPr>
        <sz val="18"/>
        <rFont val="Calibri"/>
        <family val="2"/>
      </rPr>
      <t xml:space="preserve"> ** Use a lot of protection, trap floors so nothing gets on the floor, use scaffold / Send one tech with a helper to protect everything.**</t>
    </r>
  </si>
  <si>
    <r>
      <rPr>
        <b/>
        <sz val="18"/>
        <rFont val="Calibri"/>
        <family val="2"/>
      </rPr>
      <t xml:space="preserve">Continue </t>
    </r>
    <r>
      <rPr>
        <sz val="18"/>
        <rFont val="Calibri"/>
        <family val="2"/>
      </rPr>
      <t>REHAB: Pintar entrada - Paredes y epoxy - Baño silicona - Persiana baño -  Tornillos shower -  Closet handdle’s - Molding -  Piso -  Covers -  Cambiar switches por cuadrado - Poner saddles -  Pintar unidad completa - Minor reparaciones en la unidad  - p oner toda la basura en bolsas -  Limpiar unidad</t>
    </r>
  </si>
  <si>
    <r>
      <rPr>
        <b/>
        <sz val="18"/>
        <rFont val="Calibri"/>
        <family val="2"/>
      </rPr>
      <t>Kitchen</t>
    </r>
    <r>
      <rPr>
        <sz val="18"/>
        <rFont val="Calibri"/>
        <family val="2"/>
      </rPr>
      <t xml:space="preserve"> - </t>
    </r>
    <r>
      <rPr>
        <b/>
        <sz val="18"/>
        <rFont val="Calibri"/>
        <family val="2"/>
      </rPr>
      <t>Countertop Removal and Reinstallation</t>
    </r>
    <r>
      <rPr>
        <sz val="18"/>
        <rFont val="Calibri"/>
        <family val="2"/>
      </rPr>
      <t xml:space="preserve">: -Provide all necessary labor, materials, and equipment to perform the work.  - Remove and reinstall the bottom kitchen cabinets, kick plates, fillers, and countertop as required. -Disconnect and reconnect plumbing lines as necessary.  -Property will provide the new cabinets, fillers, and kick plates. - Ensure all cabinets, fillers, kick plates, countertop, and plumbing connections are properly reinstalled and secured.
</t>
    </r>
    <r>
      <rPr>
        <b/>
        <sz val="18"/>
        <rFont val="Calibri"/>
        <family val="2"/>
      </rPr>
      <t xml:space="preserve">Guest Bathroom - Cabinet Side Panel and Kick plate Installation:  </t>
    </r>
    <r>
      <rPr>
        <sz val="18"/>
        <rFont val="Calibri"/>
        <family val="2"/>
      </rPr>
      <t>-Provide all necessary labor and equipment to perform the work. - Install cabinet side panel provided by the property - Install one (1) kick plate measuring 50” W x 4” H x 3/4” thick, provided by the property Notes: -Property to provide the cabinet side panel and kick plate. at 8:00am</t>
    </r>
  </si>
  <si>
    <r>
      <rPr>
        <b/>
        <sz val="18"/>
        <rFont val="Calibri"/>
        <family val="2"/>
      </rPr>
      <t>Showerpan Reglaze + Surrounding walls</t>
    </r>
    <r>
      <rPr>
        <sz val="18"/>
        <rFont val="Calibri"/>
        <family val="2"/>
      </rPr>
      <t>: Perform a thorough cleaning of the shower pan surfaces to remove soap scum, mineral deposits, and oils \ Repair all visible chips and cracks \ Apply primer and reglaze the shower pan and shower walls \ Apply an acrylic topcoat, then buff and polish.</t>
    </r>
  </si>
  <si>
    <t xml:space="preserve">Alluda Juan Lopez </t>
  </si>
  <si>
    <t>This unit was supposed to be cleaned on Saturday but it was painted by Mistake due an error form BC Schedule Department</t>
  </si>
  <si>
    <r>
      <t xml:space="preserve">Unit Cleaning: use lots of good odor to mitigate the smoke odor </t>
    </r>
    <r>
      <rPr>
        <b/>
        <sz val="18"/>
        <rFont val="Calibri"/>
        <family val="2"/>
      </rPr>
      <t xml:space="preserve">at 7:00am ON TIME DO NOT ARRIVE LATE the new tenants move in at 9 </t>
    </r>
  </si>
  <si>
    <r>
      <t>DVM</t>
    </r>
    <r>
      <rPr>
        <sz val="18"/>
        <color rgb="FFFF0000"/>
        <rFont val="Calibri"/>
        <family val="2"/>
      </rPr>
      <t xml:space="preserve"> </t>
    </r>
    <r>
      <rPr>
        <sz val="18"/>
        <rFont val="Calibri"/>
        <family val="2"/>
      </rPr>
      <t xml:space="preserve">Marcelo Lopez </t>
    </r>
  </si>
  <si>
    <t xml:space="preserve">DVM Oscar Ordon / Tomas Avila </t>
  </si>
  <si>
    <t>VYV Apartments North
474 Warren St, Jersey City, NJ 07302.</t>
  </si>
  <si>
    <t>VYV Apartments North and South
474 Warren St, Jersey City, NJ 07302.</t>
  </si>
  <si>
    <t>VYV Apartments South 
474 Warren St, Jersey City, NJ 07302.</t>
  </si>
  <si>
    <t>New management</t>
  </si>
  <si>
    <r>
      <rPr>
        <b/>
        <sz val="18"/>
        <rFont val="Calibri"/>
        <family val="2"/>
      </rPr>
      <t>Continue</t>
    </r>
    <r>
      <rPr>
        <sz val="18"/>
        <rFont val="Calibri"/>
        <family val="2"/>
      </rPr>
      <t xml:space="preserve"> Door and shelving Installation: Remove and demo the existing pocket door, including the frame. \ Perform all necessary repairs required to install a Buildcare-provided 36" x 80" metal frame. \ Install the property-provided door. \ Install Buildcare-provided door hardware. \ Paint the wall, door, and frame using property-provided paint. \ Install the Buildcare-provided closet shelving system that was previously removed by the client.</t>
    </r>
  </si>
  <si>
    <r>
      <rPr>
        <b/>
        <sz val="18"/>
        <rFont val="Calibri"/>
        <family val="2"/>
      </rPr>
      <t xml:space="preserve">Continue </t>
    </r>
    <r>
      <rPr>
        <sz val="18"/>
        <rFont val="Calibri"/>
        <family val="2"/>
      </rPr>
      <t>Left side bedroom bathroom tile floor to be demoed, sub floor fixed, install new tiles, and grout area is 9ft x 6ft. at 9am Bc to provide all materials and labor needed to complete the job. For access, please call Christian 201-705-0879 or Alex 201-713-8719</t>
    </r>
  </si>
  <si>
    <t>1 Runner 8hrs shift to help the entire moving all materials using BC's Car for 5 days from Monday 08/31 to Friday 09/04 Note: If Saturday 09/05 is needed must need to be confirmed with Jennifer Murphy</t>
  </si>
  <si>
    <r>
      <t xml:space="preserve">BC Services / Until Friday 09/0 </t>
    </r>
    <r>
      <rPr>
        <b/>
        <sz val="18"/>
        <rFont val="Calibri"/>
        <family val="2"/>
      </rPr>
      <t>ASK IF SATURDAY 09/05 IS NEEDED</t>
    </r>
  </si>
  <si>
    <t>41-313</t>
  </si>
  <si>
    <t>Email Pending by Jarvis</t>
  </si>
  <si>
    <r>
      <t>Unit cleaning at 8:00am /</t>
    </r>
    <r>
      <rPr>
        <b/>
        <sz val="18"/>
        <rFont val="Calibri"/>
        <family val="2"/>
        <scheme val="minor"/>
      </rPr>
      <t xml:space="preserve"> Last minute Request Job Assigned by Jarvis</t>
    </r>
  </si>
  <si>
    <t>Job placed on hold waiting new date to continue</t>
  </si>
  <si>
    <t>rescheduled next day</t>
  </si>
  <si>
    <r>
      <t xml:space="preserve">Replace damaged carpet padding (approximately 4' x 6') </t>
    </r>
    <r>
      <rPr>
        <b/>
        <sz val="18"/>
        <color rgb="FFFF0000"/>
        <rFont val="Calibri"/>
        <family val="2"/>
      </rPr>
      <t>IN THE MORNING</t>
    </r>
  </si>
  <si>
    <t>Paint unit and cleaning at 8:00am Note: The property will provide the paint.</t>
  </si>
  <si>
    <t>Paint unit and cleaning at 8:00amNote: The property will provide the paint.</t>
  </si>
  <si>
    <t>Cancelled no longer needed the lceaning was made by the tenant since they moved in on 08/28</t>
  </si>
  <si>
    <t>Technician was onsite to assist pereira glass but no plywood installation was needed.</t>
  </si>
  <si>
    <r>
      <rPr>
        <b/>
        <sz val="18"/>
        <rFont val="Calibri"/>
        <family val="2"/>
      </rPr>
      <t>Unit Cleaning</t>
    </r>
    <r>
      <rPr>
        <sz val="18"/>
        <rFont val="Calibri"/>
        <family val="2"/>
      </rPr>
      <t xml:space="preserve"> and </t>
    </r>
    <r>
      <rPr>
        <b/>
        <sz val="18"/>
        <rFont val="Calibri"/>
        <family val="2"/>
      </rPr>
      <t>Carpet Shampoo cleaning</t>
    </r>
    <r>
      <rPr>
        <sz val="18"/>
        <rFont val="Calibri"/>
        <family val="2"/>
      </rPr>
      <t xml:space="preserve"> at 8:00am Note: carpet shampoo was given in the bedroom and living room.</t>
    </r>
  </si>
  <si>
    <t>Regular cleaning at 8:00 am / Last minute request assigned by Casey</t>
  </si>
  <si>
    <r>
      <t>Regular cleaning at 8:00 am /</t>
    </r>
    <r>
      <rPr>
        <b/>
        <sz val="18"/>
        <rFont val="Calibri"/>
        <family val="2"/>
      </rPr>
      <t xml:space="preserve"> Last minute request assigned by Casey</t>
    </r>
  </si>
  <si>
    <t>34-615</t>
  </si>
  <si>
    <t>The tenant did not provide access and the job was placed on hold</t>
  </si>
  <si>
    <t>JOB ON HOLD DUE TO NO ACCESS / ask Jhonatan when to reschedule but needs to be coordinated with JP Kitchen as well</t>
  </si>
  <si>
    <t>JOB ON HOLD DUE TO NO ACCESS / ask Jhonatan when to reschedule but needs to be coordinated with EMAC Solutions</t>
  </si>
  <si>
    <t>AJ Canas Solutions Willian Alvarez  / Marlon</t>
  </si>
  <si>
    <t>WTN 85884977</t>
  </si>
  <si>
    <t>AJ Canas Solutions William dias.</t>
  </si>
  <si>
    <t>Paint unit (color change) at 8:00 am</t>
  </si>
  <si>
    <t>AJ Canas Solutions Javier</t>
  </si>
  <si>
    <t>AJ Canas Solutions Ricardo  / Carlos</t>
  </si>
  <si>
    <t>AJ Canas Solutions Alberto</t>
  </si>
  <si>
    <t>3102 </t>
  </si>
  <si>
    <t>Paint unit at 8:00am</t>
  </si>
  <si>
    <t xml:space="preserve">1 handyman for 1 day make ready at 8:00am </t>
  </si>
  <si>
    <t>MGMT Office</t>
  </si>
  <si>
    <t xml:space="preserve">Offices Cleaning follow scope of work sent via email every Wednesday after 5PM and every Saturday during the day until further notice. </t>
  </si>
  <si>
    <t>Multi- Purpose Room</t>
  </si>
  <si>
    <t xml:space="preserve">Unit cleaning at 8:00am </t>
  </si>
  <si>
    <t xml:space="preserve">Remove silicone from both bathrooms and apply new silicone also treat mildew and fungus. At 9:00am </t>
  </si>
  <si>
    <t>Building 141
Unit 201</t>
  </si>
  <si>
    <t xml:space="preserve">Paint unit and cleaning at 8:00am </t>
  </si>
  <si>
    <t>Emai;</t>
  </si>
  <si>
    <t>Town house 8</t>
  </si>
  <si>
    <t>PO-1536801</t>
  </si>
  <si>
    <t>PO-1536830</t>
  </si>
  <si>
    <t xml:space="preserve">BAD JOB PERFORMANCE: make all necessary corrections at 8:00am </t>
  </si>
  <si>
    <t>3111 </t>
  </si>
  <si>
    <t xml:space="preserve"> </t>
  </si>
  <si>
    <r>
      <t>BC MEMBERS OFF/VACATIONS:</t>
    </r>
    <r>
      <rPr>
        <sz val="20"/>
        <rFont val="Calibri"/>
        <family val="2"/>
        <scheme val="minor"/>
      </rPr>
      <t xml:space="preserve"> Alejandro Lopez - Schedule Dept.</t>
    </r>
  </si>
  <si>
    <t>Paint unit at 8:00 am For access call Alvin:+1 (201) 892-9447</t>
  </si>
  <si>
    <t>212W</t>
  </si>
  <si>
    <t>Until further notice - Handyman was reported Sick</t>
  </si>
  <si>
    <t>Cleaning 09/05</t>
  </si>
  <si>
    <t xml:space="preserve">Paint the entire unit includes the front door Last minute request - Assigned by Josue </t>
  </si>
  <si>
    <t xml:space="preserve">Paint touch-up  Last minute request - Assigned by Josue </t>
  </si>
  <si>
    <t>Clean 09/04</t>
  </si>
  <si>
    <r>
      <t xml:space="preserve">Second Request: </t>
    </r>
    <r>
      <rPr>
        <b/>
        <sz val="18"/>
        <rFont val="Calibri"/>
        <family val="2"/>
        <scheme val="minor"/>
      </rPr>
      <t>Paint Uni</t>
    </r>
    <r>
      <rPr>
        <sz val="18"/>
        <rFont val="Calibri"/>
        <family val="2"/>
        <scheme val="minor"/>
      </rPr>
      <t xml:space="preserve">t (apply scent, including all ceilings; cover carpets and floors) and </t>
    </r>
    <r>
      <rPr>
        <b/>
        <sz val="18"/>
        <rFont val="Calibri"/>
        <family val="2"/>
        <scheme val="minor"/>
      </rPr>
      <t>Unit Cleaning</t>
    </r>
    <r>
      <rPr>
        <sz val="18"/>
        <rFont val="Calibri"/>
        <family val="2"/>
        <scheme val="minor"/>
      </rPr>
      <t xml:space="preserve"> at 8:00am</t>
    </r>
  </si>
  <si>
    <t>Replace damage windowsill in living room last minute request - Assigned by Carlos 
**Note** unit is already clean please be careful and clean up after repair
The building will provide the paint For access, please call Mike: 1 (845) 542-9676 or Gus 347-583-7765</t>
  </si>
  <si>
    <t xml:space="preserve">Bathroom repair for next day </t>
  </si>
  <si>
    <t>WTN - 86562883</t>
  </si>
  <si>
    <t>2BDR Duplex</t>
  </si>
  <si>
    <t>Tub reglaze AFTER 2:00 PM</t>
  </si>
  <si>
    <t>Great job Services Cleaning</t>
  </si>
  <si>
    <r>
      <t xml:space="preserve">Unit cleaning at 8:00 am </t>
    </r>
    <r>
      <rPr>
        <b/>
        <sz val="18"/>
        <rFont val="Calibri"/>
        <family val="2"/>
      </rPr>
      <t>NOTE:</t>
    </r>
    <r>
      <rPr>
        <sz val="18"/>
        <rFont val="Calibri"/>
        <family val="2"/>
      </rPr>
      <t xml:space="preserve"> These request started Monday 08/31 and must be done by Thursday 09/03 </t>
    </r>
    <r>
      <rPr>
        <b/>
        <sz val="18"/>
        <rFont val="Calibri"/>
        <family val="2"/>
      </rPr>
      <t>/ Last minute request assigned by Jarvis</t>
    </r>
  </si>
  <si>
    <t>BC-2101</t>
  </si>
  <si>
    <t>CC-0002</t>
  </si>
  <si>
    <t>Make ready at 8:00 am</t>
  </si>
  <si>
    <t>Make ready
Cleaning</t>
  </si>
  <si>
    <t>Cleaning</t>
  </si>
  <si>
    <t>Follow up make ready</t>
  </si>
  <si>
    <t>2PP-2205</t>
  </si>
  <si>
    <t>4PP-2405</t>
  </si>
  <si>
    <t>WTN  86559619</t>
  </si>
  <si>
    <r>
      <t xml:space="preserve">Paint unit at 8:00 am </t>
    </r>
    <r>
      <rPr>
        <b/>
        <sz val="18"/>
        <color rgb="FF00B050"/>
        <rFont val="Calibri"/>
        <family val="2"/>
      </rPr>
      <t>NOTE:</t>
    </r>
    <r>
      <rPr>
        <sz val="18"/>
        <color rgb="FF00B050"/>
        <rFont val="Calibri"/>
        <family val="2"/>
      </rPr>
      <t xml:space="preserve"> Start bathrooms first</t>
    </r>
  </si>
  <si>
    <t>1BDR + Den</t>
  </si>
  <si>
    <t>Extended until Sunday 09/06</t>
  </si>
  <si>
    <t>SG 505</t>
  </si>
  <si>
    <t>one (1) handyman tomorrow 09/02/26 for make ready 
Please send Lorenz</t>
  </si>
  <si>
    <t xml:space="preserve">Bathtub reglaze in the afternoon </t>
  </si>
  <si>
    <t>1 Tub reglaze</t>
  </si>
  <si>
    <t>2707 &amp; 2609</t>
  </si>
  <si>
    <t>Reglaze Master bathroom shower and sink. - Reglaze one sink on guess bathroom  at 10:00 am (on time please)
Tenant has the info we will be there between 9 and noon. For access call Angel:+1 (973) 388-4298</t>
  </si>
  <si>
    <t>Popcorn ceiling removal / renovation Bathroom / install kitchen backsplash / Paint entire unit incluiding ceiling </t>
  </si>
  <si>
    <t>Rnovation kitchen cabinet reglaze</t>
  </si>
  <si>
    <t>Livana Fair Lawn, 
17-00 Pollitt Dr, Fair Lawn, NJ 07410</t>
  </si>
  <si>
    <t>Estimate 17393</t>
  </si>
  <si>
    <t>PO-1543976</t>
  </si>
  <si>
    <t>Estimate 17401</t>
  </si>
  <si>
    <t xml:space="preserve">Shower pan Reglaze at 8:00am </t>
  </si>
  <si>
    <t>Estimate 17392</t>
  </si>
  <si>
    <t>Make opening in bedroom ceiling to try to determine where leak is coming from once repaired, close opening, plaster, sand and paint ceiling at  9am The building will provide the paint Bc to provide all other materials and labor needed to complete the job.   For access, please call Christian 201-705-0879 or Alex 201-713-8719</t>
  </si>
  <si>
    <t>Make ready 09/04</t>
  </si>
  <si>
    <r>
      <t xml:space="preserve">Make ready at 8:00 am </t>
    </r>
    <r>
      <rPr>
        <b/>
        <sz val="18"/>
        <color rgb="FF00B050"/>
        <rFont val="Calibri"/>
        <family val="2"/>
      </rPr>
      <t>NOTE:</t>
    </r>
    <r>
      <rPr>
        <sz val="18"/>
        <color rgb="FF00B050"/>
        <rFont val="Calibri"/>
        <family val="2"/>
      </rPr>
      <t xml:space="preserve"> For access call Willie:+1 (386) 518-9413</t>
    </r>
  </si>
  <si>
    <r>
      <t xml:space="preserve">Unit cleaning at 8:00 am </t>
    </r>
    <r>
      <rPr>
        <b/>
        <sz val="18"/>
        <color rgb="FF00B050"/>
        <rFont val="Calibri"/>
        <family val="2"/>
      </rPr>
      <t>NOTE:</t>
    </r>
    <r>
      <rPr>
        <sz val="18"/>
        <color rgb="FF00B050"/>
        <rFont val="Calibri"/>
        <family val="2"/>
      </rPr>
      <t xml:space="preserve"> For access call Willie:+1 (386) 518-9413</t>
    </r>
  </si>
  <si>
    <t xml:space="preserve">Pending 1 coat of floor paint </t>
  </si>
  <si>
    <t>Garage</t>
  </si>
  <si>
    <t>1 Laborer to assist the property organize storage room</t>
  </si>
  <si>
    <r>
      <rPr>
        <b/>
        <sz val="18"/>
        <rFont val="Calibri"/>
        <family val="2"/>
      </rPr>
      <t xml:space="preserve">Floor Repair and Refinish: </t>
    </r>
    <r>
      <rPr>
        <sz val="18"/>
        <rFont val="Calibri"/>
        <family val="2"/>
      </rPr>
      <t>-Replace water damaged floor located in: kitchen- 8ft x 18ft  -Sand approximately 730 square feet of  existing flooring in:  - entrance hallway - entire living room and kitchen - entire left side bedroom including closet - right side bedroom in front of closet -Smooth out any scratches left after sanding process to ensure a more even  final appearance. -Apply one (1) coat of stain to area, match</t>
    </r>
  </si>
  <si>
    <t>Estimate 17397</t>
  </si>
  <si>
    <r>
      <t xml:space="preserve">Regular cleaning </t>
    </r>
    <r>
      <rPr>
        <b/>
        <sz val="18"/>
        <rFont val="Calibri"/>
        <family val="2"/>
      </rPr>
      <t>at 8:00 am ON TIME</t>
    </r>
  </si>
  <si>
    <r>
      <t xml:space="preserve">2 Bathtub reglazes </t>
    </r>
    <r>
      <rPr>
        <b/>
        <sz val="18"/>
        <rFont val="Calibri"/>
        <family val="2"/>
      </rPr>
      <t>IN THE AFTERNOON</t>
    </r>
  </si>
  <si>
    <t>Estimate 17396</t>
  </si>
  <si>
    <t>Estimate 17402</t>
  </si>
  <si>
    <t>Estimate 17394</t>
  </si>
  <si>
    <t xml:space="preserve">Paint unit at 8:00am </t>
  </si>
  <si>
    <t xml:space="preserve">Paint unit ( Paint kitchen and livinroom ceiling) at 8:00am </t>
  </si>
  <si>
    <t>Lobby Entrance</t>
  </si>
  <si>
    <t xml:space="preserve">HG Services </t>
  </si>
  <si>
    <r>
      <rPr>
        <b/>
        <sz val="18"/>
        <color rgb="FFFF0000"/>
        <rFont val="Calibri"/>
        <family val="2"/>
      </rPr>
      <t xml:space="preserve">Carpet Replacement: </t>
    </r>
    <r>
      <rPr>
        <sz val="18"/>
        <color rgb="FFFF0000"/>
        <rFont val="Calibri"/>
        <family val="2"/>
      </rPr>
      <t xml:space="preserve">Remove and dispose of the existing commercial carpet at the side entrance of the leasing office. -Furnish and install new commercial_x0002_grade carpet in a similar blue color. -Installation areas are approximately: * 17’ x 5’ 85 SF * 12’ x 6’ 72 SF -Install new tack strips and transition strips as required for a complete installation. Secure and finish all edges to ensure a clean, professional appearance. at 9:00am 
</t>
    </r>
  </si>
  <si>
    <t xml:space="preserve">(1) bathtub reglaze in the afternoon </t>
  </si>
  <si>
    <t>Deep Cleaning (Must be done in the morning; reglaze in the afternoon  )</t>
  </si>
  <si>
    <t>Cancelled Materials were not available / Rescheduled for Thursday 09/03</t>
  </si>
  <si>
    <t xml:space="preserve">Cuxil group Demetrio Semeya </t>
  </si>
  <si>
    <t>Paint unit at 8:00 am NOTE: For access call Gio:+1 (862) 832-7993</t>
  </si>
  <si>
    <t xml:space="preserve">DVM Josep Ortiz </t>
  </si>
  <si>
    <t>DVM Sebastian Peña</t>
  </si>
  <si>
    <t>DVM Mario Ruiz /
 Rodolfo Melo</t>
  </si>
  <si>
    <t>SG 205</t>
  </si>
  <si>
    <t>Replace kitchen transition molding. at 9:00am 
Build care provides the molding.</t>
  </si>
  <si>
    <t>Estimate 17407</t>
  </si>
  <si>
    <t xml:space="preserve">Cuxil Group Electrical </t>
  </si>
  <si>
    <t>One (1) handyman to install washer/dryer Please send Enrique</t>
  </si>
  <si>
    <t xml:space="preserve">Full laundry room build up - electrical work </t>
  </si>
  <si>
    <t>PO749336</t>
  </si>
  <si>
    <t xml:space="preserve">E&amp;P Mechanical Corp Cassio </t>
  </si>
  <si>
    <r>
      <rPr>
        <b/>
        <sz val="18"/>
        <color rgb="FF00B050"/>
        <rFont val="Calibri (Body)"/>
      </rPr>
      <t xml:space="preserve">Continue </t>
    </r>
    <r>
      <rPr>
        <sz val="18"/>
        <color rgb="FF00B050"/>
        <rFont val="Calibri (Body)"/>
      </rPr>
      <t>2 handy for punch list  Saturday 9/5/2026 8:30am. Christian will provide the list</t>
    </r>
  </si>
  <si>
    <t>PH27</t>
  </si>
  <si>
    <t>88-111</t>
  </si>
  <si>
    <t xml:space="preserve">Unit Cleaning after repair after 2pm </t>
  </si>
  <si>
    <t>Completed</t>
  </si>
  <si>
    <t>This job was added when working in unit 6104</t>
  </si>
  <si>
    <r>
      <t xml:space="preserve">Exterior repairs / </t>
    </r>
    <r>
      <rPr>
        <b/>
        <sz val="18"/>
        <rFont val="Calibri"/>
        <family val="2"/>
      </rPr>
      <t xml:space="preserve">Last minute request job assigned by Jarvis Onsite </t>
    </r>
  </si>
  <si>
    <t xml:space="preserve">Cuxil Group Edgar cuxil </t>
  </si>
  <si>
    <t>Repair the affected vinyl pieces in living room / Two (2) sunken/indented spots located on two individual vinyl planks.</t>
  </si>
  <si>
    <t>Provide (2) full-time painters for (3) days to assist the property with painter's tasks.Wednesday 09/02/26 through Friday 09/04/26</t>
  </si>
  <si>
    <t xml:space="preserve">Rescheduled Friday </t>
  </si>
  <si>
    <t>Continue Drywall Demo+Repairs: Demo drywall on ceiling to allow plumbing work.\ Size of the opening: 8 ft x 4 ft and 2 ft x 8 ft.\ Remove and save an existing door access panel.\ Once plumbing repairs are completed by others, install new drywall to seal the demo area.\ Tape, spackle, sand, and prime newly installed drywall.\ Paint repaired ceiling areas using flat white paint.\ Use property-provided paint to perform touch-up painting on walls as needed.</t>
  </si>
  <si>
    <t xml:space="preserve">Full laundry room build up - Metal framing </t>
  </si>
  <si>
    <t xml:space="preserve">Atlas Douglas Espinal </t>
  </si>
  <si>
    <t>Clean 09/05</t>
  </si>
  <si>
    <t xml:space="preserve">Atlas Way  Cleaning </t>
  </si>
  <si>
    <t xml:space="preserve">Atlas Elder Velasquez </t>
  </si>
  <si>
    <t xml:space="preserve">Alluda Anibal Yojero </t>
  </si>
  <si>
    <t>Alluda Misal Yojero</t>
  </si>
  <si>
    <t xml:space="preserve">DVM Marvin Cumes / Celestino Luc </t>
  </si>
  <si>
    <t>DVM Angel Davila</t>
  </si>
  <si>
    <t xml:space="preserve">Alluda Agustin Lopez </t>
  </si>
  <si>
    <t xml:space="preserve">DVM Ignacio Luc </t>
  </si>
  <si>
    <t xml:space="preserve">Alluda Horacio Lopez </t>
  </si>
  <si>
    <t>Reglaze bathtub at  9am Please be on time Note** please have tech remove all paper and tape after glaze is completed For access, please call Carlos 201-725-6086 or Manny 732-318-9169</t>
  </si>
  <si>
    <t>PH35</t>
  </si>
  <si>
    <t>Kitchen Drain Repair: Replace 3-inch tee with a 2-inch tee laundry P-trap connection for the kitchen drain as required. -Repair and patch approximately a 2'x2' section of drywall and plaster following completion of the plumbing repairs before 12:00pm</t>
  </si>
  <si>
    <t>Estimate 17404</t>
  </si>
  <si>
    <t>Price base on Estimate 16922</t>
  </si>
  <si>
    <t xml:space="preserve">Cacnelled </t>
  </si>
  <si>
    <t xml:space="preserve">Property need change molding </t>
  </si>
  <si>
    <t xml:space="preserve">DVM Marcelo Lopez </t>
  </si>
  <si>
    <t xml:space="preserve">DVM Tomas Avila </t>
  </si>
  <si>
    <t xml:space="preserve">Alluda Juan Jose Montoya </t>
  </si>
  <si>
    <t>Alluda Juan Muñoz</t>
  </si>
  <si>
    <t xml:space="preserve">DVM Oscar Ordon </t>
  </si>
  <si>
    <r>
      <t xml:space="preserve">Living room: Close opening in ceiling (12" x 8").\ HVAC - island wall: Close opening (2" x 8").\ Install insulation.\ Install new molding, including shoe molding.\ Spackle, sand, and paint. </t>
    </r>
    <r>
      <rPr>
        <b/>
        <sz val="18"/>
        <color rgb="FF00B050"/>
        <rFont val="Calibri"/>
        <family val="2"/>
      </rPr>
      <t>NOTE:</t>
    </r>
    <r>
      <rPr>
        <sz val="18"/>
        <color rgb="FF00B050"/>
        <rFont val="Calibri"/>
        <family val="2"/>
      </rPr>
      <t xml:space="preserve"> The property will provide the paint. Buildcare will provide labor and all other materials.</t>
    </r>
  </si>
  <si>
    <r>
      <t xml:space="preserve">Island wall: Close opening (2" x 8").\ Install insulation.\ Install new molding, including shoe molding.\ Spackle, sand, and paint. </t>
    </r>
    <r>
      <rPr>
        <b/>
        <sz val="18"/>
        <color rgb="FF00B050"/>
        <rFont val="Calibri"/>
        <family val="2"/>
      </rPr>
      <t>NOTE:</t>
    </r>
    <r>
      <rPr>
        <sz val="18"/>
        <color rgb="FF00B050"/>
        <rFont val="Calibri"/>
        <family val="2"/>
      </rPr>
      <t xml:space="preserve"> The property will provide the paint. Buildcare will provide labor and all other materials.</t>
    </r>
  </si>
  <si>
    <t>Paint unit and cleaning at 8:00am  The building will provide the paint Please call Kyle for access (551) 208-2742</t>
  </si>
  <si>
    <t xml:space="preserve">1 Daily handyman at 8am please report to Jonathan 862-387-9993 </t>
  </si>
  <si>
    <t>DVM Dennis Pinto / Josep Ortiz</t>
  </si>
  <si>
    <t xml:space="preserve">Atlas Jesus Alvarado </t>
  </si>
  <si>
    <r>
      <rPr>
        <b/>
        <sz val="18"/>
        <rFont val="Calibri (Body)"/>
      </rPr>
      <t>Continue</t>
    </r>
    <r>
      <rPr>
        <sz val="18"/>
        <rFont val="Calibri (Body)"/>
      </rPr>
      <t xml:space="preserve"> Repair openings that were made by other after suffering leak damage -Repairs will be in the coat closet, laundry closet, living room, hallway, bedroom, and bathroom walls. In the bathroom we will have to redo the bathroom tiles area is approximately 8x10 tiles will have to be removed, and sub floor repaired before installing new tiles at 9:00am The building will provide paint Bc to provide all other materials and labor needed to complete the job. For access, please call Christian 201-705-0879 or Alex 201-713-8719</t>
    </r>
  </si>
  <si>
    <r>
      <rPr>
        <b/>
        <sz val="18"/>
        <rFont val="Calibri (Body)"/>
      </rPr>
      <t xml:space="preserve">Continue </t>
    </r>
    <r>
      <rPr>
        <sz val="18"/>
        <rFont val="Calibri (Body)"/>
      </rPr>
      <t>Left side bedroom bathroom tile floor to be demoed, sub floor fixed, install new tiles, and grout area is 9ft x 6ft. at 9am Bc to provide all materials and labor needed to complete the job. For access, please call Christian 201-705-0879 or Alex 201-713-8719</t>
    </r>
  </si>
  <si>
    <r>
      <rPr>
        <b/>
        <sz val="18"/>
        <rFont val="Calibri"/>
        <family val="2"/>
      </rPr>
      <t>Continue</t>
    </r>
    <r>
      <rPr>
        <sz val="18"/>
        <rFont val="Calibri"/>
        <family val="2"/>
      </rPr>
      <t xml:space="preserve"> Make opening in guest bedroom 3x3 to reinstall loose Hvac vent, close opening, spackle, sand and paint NOTE: Bc to provide  carpet film, plastic drop, spackle, mesh tape, trash bags, sanding sponge, blue tape and all other materials and labor needed to complete the job. / For access, please call Christian 201-705-0879 or Alex 201-713-8719 update the scope of work. Two more openings of 2x4 were required to see where ducts weren't connected. After the ducts were taped with duct tape, there still wasn't air flow. The building asked to please just temporarily close openings so they can do their own investigation tomorrow to see where the problem is. Once they determine and fix it, they will let us know so we can close all openings properly.</t>
    </r>
  </si>
  <si>
    <r>
      <rPr>
        <b/>
        <sz val="18"/>
        <rFont val="Calibri (Body)"/>
      </rPr>
      <t xml:space="preserve">Continue </t>
    </r>
    <r>
      <rPr>
        <sz val="18"/>
        <rFont val="Calibri (Body)"/>
      </rPr>
      <t>2  techs  to install drywall. Spackle and sand</t>
    </r>
  </si>
  <si>
    <r>
      <t xml:space="preserve">Replace the kitchen kick plate  - 5"x16' - 1/8" thickness  - Build care provides the new kick plate 
</t>
    </r>
    <r>
      <rPr>
        <b/>
        <sz val="18"/>
        <rFont val="Calibri"/>
        <family val="2"/>
      </rPr>
      <t xml:space="preserve">Hallway vinyl floor replacement  </t>
    </r>
    <r>
      <rPr>
        <sz val="18"/>
        <rFont val="Calibri"/>
        <family val="2"/>
      </rPr>
      <t>1 board replacement  Build care provides the new vinyl floor.at  9:00 am
For access call Emilio:+1 (917) 971-4114</t>
    </r>
  </si>
  <si>
    <r>
      <rPr>
        <b/>
        <sz val="18"/>
        <rFont val="Calibri (Body)"/>
      </rPr>
      <t>Unit Cleaning</t>
    </r>
    <r>
      <rPr>
        <sz val="18"/>
        <rFont val="Calibri (Body)"/>
      </rPr>
      <t xml:space="preserve"> at 8:00am</t>
    </r>
  </si>
  <si>
    <r>
      <t xml:space="preserve">1 Daily Handyman service from Wednesday 09/02/2026 trough Sunday </t>
    </r>
    <r>
      <rPr>
        <b/>
        <sz val="18"/>
        <rFont val="Calibri"/>
        <family val="2"/>
      </rPr>
      <t>09/06/2026</t>
    </r>
    <r>
      <rPr>
        <sz val="18"/>
        <rFont val="Calibri"/>
        <family val="2"/>
      </rPr>
      <t xml:space="preserve"> Please Report to Nate (201) 466-8357</t>
    </r>
  </si>
  <si>
    <r>
      <rPr>
        <b/>
        <sz val="18"/>
        <rFont val="Calibri"/>
        <family val="2"/>
      </rPr>
      <t xml:space="preserve"> Continue</t>
    </r>
    <r>
      <rPr>
        <sz val="18"/>
        <rFont val="Calibri"/>
        <family val="2"/>
      </rPr>
      <t xml:space="preserve"> Renovation: Popcorn ceiling removal / renovation Bathroom / install kitchen backsplash / Paint unit</t>
    </r>
  </si>
  <si>
    <r>
      <rPr>
        <b/>
        <sz val="18"/>
        <rFont val="Calibri"/>
        <family val="2"/>
      </rPr>
      <t>Bathroom Ceramic Tile Repair:</t>
    </r>
    <r>
      <rPr>
        <sz val="18"/>
        <rFont val="Calibri"/>
        <family val="2"/>
      </rPr>
      <t xml:space="preserve"> Install new moisture resistant drywall to seal existing demo area. \ Install property provided tiles to repair area. \ Apply grout to newly installed tiles, matching property specs.</t>
    </r>
  </si>
  <si>
    <r>
      <t xml:space="preserve">AC Sleeve Replacement: </t>
    </r>
    <r>
      <rPr>
        <sz val="18"/>
        <rFont val="Calibri"/>
        <family val="2"/>
      </rPr>
      <t xml:space="preserve">Remove existing AC unit and sleeve. -Reinforce existing frame for new sleeve and PTAC installation. -Install new PTAC and sleeve following original set up and specs. -Perform drywall and insulation repairs as  needed upon PTAC and sleeve installation. -Tape, spackle, sand and prime all repaired areas. -Apply one (1) coat of paint to repaired areas once PTAC sleeve and dry wall repairs are completed. at 9:00am 
</t>
    </r>
  </si>
  <si>
    <r>
      <rPr>
        <b/>
        <sz val="18"/>
        <rFont val="Calibri"/>
        <family val="2"/>
      </rPr>
      <t xml:space="preserve">Living room Kahrs Floor Repair: </t>
    </r>
    <r>
      <rPr>
        <sz val="18"/>
        <rFont val="Calibri"/>
        <family val="2"/>
      </rPr>
      <t>Demo and discard damaged/scratched kahrs flooring located living room. -Prep and perform minor subfloor repairs.  -Provide and install 72 sqft aprox of new Karhs Floor in mentioned area.</t>
    </r>
  </si>
  <si>
    <r>
      <rPr>
        <b/>
        <sz val="18"/>
        <rFont val="Calibri"/>
        <family val="2"/>
      </rPr>
      <t>Parquet Floor Repair:</t>
    </r>
    <r>
      <rPr>
        <sz val="18"/>
        <rFont val="Calibri"/>
        <family val="2"/>
      </rPr>
      <t xml:space="preserve"> Remove and discard 25 sqft of damaged parquet flooring located in front of the bathroom.\ Prep and perform minor subfloor repairs prior to the new floor installation.\ Provide and install 25 sqft of new parquet flooring in the mentioned area.</t>
    </r>
  </si>
  <si>
    <r>
      <t>Kahrs Floor Repair:</t>
    </r>
    <r>
      <rPr>
        <sz val="18"/>
        <rFont val="Calibri"/>
        <family val="2"/>
      </rPr>
      <t xml:space="preserve"> Demo and discard damaged Kahrs floor located in the living room, approximately 25 sq. ft. \ Prepare and perform minor subfloor repairs prior to new floor installation. \ Provide and install 25 sq. ft. of new Kahrs flooring in the mentioned area.</t>
    </r>
  </si>
  <si>
    <r>
      <rPr>
        <b/>
        <sz val="18"/>
        <rFont val="Calibri"/>
        <family val="2"/>
      </rPr>
      <t>Bathroom Repair &amp; treatment:</t>
    </r>
    <r>
      <rPr>
        <sz val="18"/>
        <rFont val="Calibri"/>
        <family val="2"/>
      </rPr>
      <t xml:space="preserve"> Remove and discard the damaged drywall and visible organic growth \ Treat and encapsulate the exposed interior framing \ Install new drywall to close and restore the affected wall area \ Spackle and sand the repaired area \ Paint the repaired area to match the existing finish.</t>
    </r>
  </si>
  <si>
    <r>
      <rPr>
        <b/>
        <sz val="18"/>
        <rFont val="Calibri"/>
        <family val="2"/>
      </rPr>
      <t>Sub floor repairs:</t>
    </r>
    <r>
      <rPr>
        <sz val="18"/>
        <rFont val="Calibri"/>
        <family val="2"/>
      </rPr>
      <t xml:space="preserve"> Replace the scratched plank and repair the underlying subfloor in the living room</t>
    </r>
  </si>
  <si>
    <r>
      <t xml:space="preserve">Perform a final </t>
    </r>
    <r>
      <rPr>
        <b/>
        <sz val="18"/>
        <rFont val="Calibri"/>
        <family val="2"/>
      </rPr>
      <t>cleaning</t>
    </r>
    <r>
      <rPr>
        <sz val="18"/>
        <rFont val="Calibri"/>
        <family val="2"/>
      </rPr>
      <t xml:space="preserve"> of the bathroom upon completion. at 2:00pm </t>
    </r>
  </si>
  <si>
    <r>
      <t xml:space="preserve">Paint unit at 8:00 am </t>
    </r>
    <r>
      <rPr>
        <b/>
        <sz val="18"/>
        <rFont val="Calibri"/>
        <family val="2"/>
      </rPr>
      <t>NOTE:</t>
    </r>
    <r>
      <rPr>
        <sz val="18"/>
        <rFont val="Calibri"/>
        <family val="2"/>
      </rPr>
      <t xml:space="preserve"> The property will provide the paint.</t>
    </r>
  </si>
  <si>
    <r>
      <t xml:space="preserve">Scrape, apply Kilz primer, plaster, and paint three different sections of the ceiling. </t>
    </r>
    <r>
      <rPr>
        <b/>
        <sz val="18"/>
        <rFont val="Calibri"/>
        <family val="2"/>
      </rPr>
      <t>NOTE:</t>
    </r>
    <r>
      <rPr>
        <sz val="18"/>
        <rFont val="Calibri"/>
        <family val="2"/>
      </rPr>
      <t xml:space="preserve"> The property will provide the paint.\ BC will provide the scaffold and all other materials required for completion of the work.\ Pictures are attached for reference.</t>
    </r>
  </si>
  <si>
    <t>Make an opening on the panel so the heating system can let heat out between the doors. Create framing so panel can be secure from falling. at 8:00am BC to provide all materials and labor needed to complete the job Please call Kyle for access (551) 208-2742</t>
  </si>
  <si>
    <t>Repair bathroom ceiling where the opening was made by others at 8:00am Note** unit is already clean please be careful and clean up after repair  The building will provide the paint For access, please call Mike: 1 (845) 542-9676 or Gus 347-583-7765</t>
  </si>
  <si>
    <t xml:space="preserve">No Charge / Courtesy job for Axel -  FLOORS - CLEANING - Approved 1/2 shift extra by Roberto </t>
  </si>
  <si>
    <t xml:space="preserve">Sanai Pliability Elmer Morales / Delfino Cuxil </t>
  </si>
  <si>
    <t xml:space="preserve">Flooring not done yet / continue after floor </t>
  </si>
  <si>
    <t xml:space="preserve">Sanai Piability Lorenzo Vaquiax </t>
  </si>
  <si>
    <t xml:space="preserve">Cuxil Group David Pineda </t>
  </si>
  <si>
    <t>A309</t>
  </si>
  <si>
    <t xml:space="preserve">Cuxil Group Yovanny Olgadez / Sanai Piability Josue Olgadez
/ Sanai Pliability Josue Olgadez </t>
  </si>
  <si>
    <t xml:space="preserve">Cuxil group Extra de: Demetrio Semeya </t>
  </si>
  <si>
    <t xml:space="preserve">Cuxil group Extra de Edgar Cuxil </t>
  </si>
  <si>
    <t xml:space="preserve">Sanai Pliability Jairo Cuxil / Santiago Chanchavac </t>
  </si>
  <si>
    <t xml:space="preserve">Sanai Pliability Extra de: Jairo Cuxil / Santiago Chanchavac </t>
  </si>
  <si>
    <t>AJ Canas Solutions Ricardo 
Willian Alvares.</t>
  </si>
  <si>
    <t>DVM</t>
  </si>
  <si>
    <t>AJ Canas Solutions Vinicio 
 / Carlos</t>
  </si>
  <si>
    <t>AJ Canas Solutions  javier</t>
  </si>
  <si>
    <t>AJ Canas Solutions William Diaz</t>
  </si>
  <si>
    <t>Alluda Arturo Lopez</t>
  </si>
  <si>
    <t>Paint Unit and cleaning at 8:00am For Access, please call Orville 646-984-3306</t>
  </si>
  <si>
    <t>Repair openings made in living room, install drywall, spackle, add texture, and paint at 9am Building to provide Paint
For access, please call Carlos 201-725-6086 or Manny 732-318-9169</t>
  </si>
  <si>
    <t>Paint unit and cleaning at 8:00am For Access, please call Orville 646-984-3306</t>
  </si>
  <si>
    <t>Garage area
Spot 41 &amp; 25</t>
  </si>
  <si>
    <t>4L</t>
  </si>
  <si>
    <t>Concrete joint sealant</t>
  </si>
  <si>
    <t xml:space="preserve">DVM Tomás Ávila </t>
  </si>
  <si>
    <t>Clean 09/02 and 09/03</t>
  </si>
  <si>
    <t xml:space="preserve">WTN# 86629971 </t>
  </si>
  <si>
    <t>72-106</t>
  </si>
  <si>
    <t xml:space="preserve">2 windows - replace window ballast  Note: BC provides labor and materials </t>
  </si>
  <si>
    <t xml:space="preserve"> 1 window - replace window ballast Note: BC provides labor and materials </t>
  </si>
  <si>
    <t>2BDR loft</t>
  </si>
  <si>
    <t>painted on 08/18</t>
  </si>
  <si>
    <t>The cleaners are requesting approval for Deep Cleaning</t>
  </si>
  <si>
    <t xml:space="preserve">Until further notice </t>
  </si>
  <si>
    <t>Estimate 17398</t>
  </si>
  <si>
    <r>
      <rPr>
        <b/>
        <sz val="18"/>
        <rFont val="Calibri"/>
        <family val="2"/>
      </rPr>
      <t xml:space="preserve">P-trap Replacement: </t>
    </r>
    <r>
      <rPr>
        <sz val="18"/>
        <rFont val="Calibri"/>
        <family val="2"/>
      </rPr>
      <t xml:space="preserve">Provide certified plumber, necessary equipment, and materials to: -Remove and discard existing p-trap and connections -Purchase and install all PVC P-trap, fittings, washers, and associated connections up to the sink drain / </t>
    </r>
    <r>
      <rPr>
        <b/>
        <sz val="18"/>
        <rFont val="Calibri"/>
        <family val="2"/>
      </rPr>
      <t>Last minute request job assigned by Casey</t>
    </r>
  </si>
  <si>
    <t xml:space="preserve">Fence Repair: Secure the existing fence post as required. -Repair and weld the fence to the post, making necessary adjustments to ensure a secure installation. </t>
  </si>
  <si>
    <t>Estimate 16588</t>
  </si>
  <si>
    <t>1BDR+DEN</t>
  </si>
  <si>
    <t xml:space="preserve">Sanai Pliability Elmer Morales / Santiago Chanchavac </t>
  </si>
  <si>
    <t xml:space="preserve">Cuxil Group Edgar Lool  / Sanai Pliability Luis Garcia </t>
  </si>
  <si>
    <t xml:space="preserve">Sanai Piability Extras de Jairo Cuxil </t>
  </si>
  <si>
    <t xml:space="preserve">Cuxil group Extra de Demetrio Semeya </t>
  </si>
  <si>
    <t xml:space="preserve">Cuxil group Juan Garcia </t>
  </si>
  <si>
    <t xml:space="preserve">Sanai Plaibility Eddy Cumes </t>
  </si>
  <si>
    <t xml:space="preserve">Sanai Plaibility Extra de Jairo Cuxil </t>
  </si>
  <si>
    <t>Cuxil Group / Sanai Plaibility Extras</t>
  </si>
  <si>
    <t>1st floor hallway on the Bloomfield side</t>
  </si>
  <si>
    <t xml:space="preserve">Sanai Plaibility Lorenzo Vaquiax </t>
  </si>
  <si>
    <t>Unit not ready for Make ready yet</t>
  </si>
  <si>
    <t xml:space="preserve">Sanai Plaibility Extra de Eddy Cumes </t>
  </si>
  <si>
    <t xml:space="preserve">Sanai Plaibility Sergio Chex  </t>
  </si>
  <si>
    <t xml:space="preserve">Sanai Plaibility Alexander Polanco </t>
  </si>
  <si>
    <t xml:space="preserve">Cuxil Group Extra de Edgar Cuxil </t>
  </si>
  <si>
    <t xml:space="preserve">Sanai Plaibility Jairo Cuxil </t>
  </si>
  <si>
    <r>
      <t xml:space="preserve">Unit cleaning </t>
    </r>
    <r>
      <rPr>
        <b/>
        <sz val="24"/>
        <color rgb="FF00B050"/>
        <rFont val="Calibri"/>
        <family val="2"/>
      </rPr>
      <t xml:space="preserve">at 2:00 pm </t>
    </r>
    <r>
      <rPr>
        <b/>
        <sz val="18"/>
        <color rgb="FF00B050"/>
        <rFont val="Calibri"/>
        <family val="2"/>
      </rPr>
      <t>NOTE:</t>
    </r>
    <r>
      <rPr>
        <sz val="18"/>
        <color rgb="FF00B050"/>
        <rFont val="Calibri"/>
        <family val="2"/>
      </rPr>
      <t xml:space="preserve"> For access call Willie:+1 (386) 518-9413</t>
    </r>
  </si>
  <si>
    <t xml:space="preserve">Cuxil Group Yovanny Olgadez / Sanai Pliability Josue Olgadez </t>
  </si>
  <si>
    <t xml:space="preserve">Cuxil Group Edgar Cuxil </t>
  </si>
  <si>
    <r>
      <t xml:space="preserve">Unit Cleaning: Last minute request </t>
    </r>
    <r>
      <rPr>
        <b/>
        <sz val="18"/>
        <rFont val="Calibri"/>
        <family val="2"/>
      </rPr>
      <t xml:space="preserve">/ Assigend by Junior </t>
    </r>
  </si>
  <si>
    <t>2 Bathtub reglazes</t>
  </si>
  <si>
    <r>
      <t xml:space="preserve">Unit cleaning after 2:00 PM am </t>
    </r>
    <r>
      <rPr>
        <b/>
        <sz val="18"/>
        <color rgb="FF00B050"/>
        <rFont val="Calibri"/>
        <family val="2"/>
      </rPr>
      <t>ON TIME NOTE:</t>
    </r>
    <r>
      <rPr>
        <sz val="18"/>
        <color rgb="FF00B050"/>
        <rFont val="Calibri"/>
        <family val="2"/>
      </rPr>
      <t xml:space="preserve"> Same-day paint / For access call Jay:+1 (771) 216-6167</t>
    </r>
  </si>
  <si>
    <r>
      <t xml:space="preserve">Paint unit at 8:00 am </t>
    </r>
    <r>
      <rPr>
        <b/>
        <sz val="18"/>
        <color rgb="FF00B050"/>
        <rFont val="Calibri"/>
        <family val="2"/>
      </rPr>
      <t>ON TIME NOTE:</t>
    </r>
    <r>
      <rPr>
        <sz val="18"/>
        <color rgb="FF00B050"/>
        <rFont val="Calibri"/>
        <family val="2"/>
      </rPr>
      <t xml:space="preserve"> Same-day cleaning / For access call Jay:+1 (771) 216-6167</t>
    </r>
  </si>
  <si>
    <t>Estimate 17415</t>
  </si>
  <si>
    <r>
      <rPr>
        <b/>
        <sz val="18"/>
        <color rgb="FF00B050"/>
        <rFont val="Calibri"/>
        <family val="2"/>
      </rPr>
      <t>Kahrs Floor Refinish:</t>
    </r>
    <r>
      <rPr>
        <sz val="18"/>
        <color rgb="FF00B050"/>
        <rFont val="Calibri"/>
        <family val="2"/>
      </rPr>
      <t xml:space="preserve"> Sand down 350 sqft  kahrs flooring throughout unit. -Apply clear coat upon completion. </t>
    </r>
  </si>
  <si>
    <t xml:space="preserve">Bathtub Reglaze / Kitchen Cabinets Reglaze </t>
  </si>
  <si>
    <t>Paint and clean 09/04</t>
  </si>
  <si>
    <r>
      <t xml:space="preserve">Unit Cleaning at 8:00 am </t>
    </r>
    <r>
      <rPr>
        <b/>
        <sz val="18"/>
        <color rgb="FF00B050"/>
        <rFont val="Calibri"/>
        <family val="2"/>
      </rPr>
      <t>NOTE:</t>
    </r>
    <r>
      <rPr>
        <sz val="18"/>
        <color rgb="FF00B050"/>
        <rFont val="Calibri"/>
        <family val="2"/>
      </rPr>
      <t xml:space="preserve"> For access call Jay:+1 (771) 216-6167</t>
    </r>
  </si>
  <si>
    <t>Estimate 17070</t>
  </si>
  <si>
    <t>Estimate 17072</t>
  </si>
  <si>
    <t>1 bathtub reglaze</t>
  </si>
  <si>
    <t xml:space="preserve">1 bathtub reglaze- master bedroom </t>
  </si>
  <si>
    <t>Felix R santos</t>
  </si>
  <si>
    <t xml:space="preserve">Bad Job / No charge </t>
  </si>
  <si>
    <t>PO#569273</t>
  </si>
  <si>
    <t>Rescheduled for next day</t>
  </si>
  <si>
    <t>Continue after electricity and plumbing made by others</t>
  </si>
  <si>
    <t>Until Sat 09/05</t>
  </si>
  <si>
    <t>Unit Cleaning after repair after 2pm</t>
  </si>
  <si>
    <t>Paint Unit including the front door the property provides the paint at 8:00am Note: The property will provide the paint</t>
  </si>
  <si>
    <t>Engineered Flooring Replacement: Replace 8 to 10 planks Note: The property will provide the flooring BuildCare will provide all remaining materials required for completion.</t>
  </si>
  <si>
    <t>Engineered Flooring Replacement: Replace 6 to 8 planks Note: The property will provide the flooring BuildCare will provide all remaining materials required for completion.</t>
  </si>
  <si>
    <t>Buildings 1122, 1101 &amp; 1100</t>
  </si>
  <si>
    <t>Estimate 16069</t>
  </si>
  <si>
    <t>3 handys &amp; 11 Laborers Quoted</t>
  </si>
  <si>
    <t>Estimate 17132</t>
  </si>
  <si>
    <t>Door Replacement: Provide and install a solid-core, two-panel interior door. -Door size: 35 1/2” x 83” x 1 3/4”. -Remove and dispose of the existing door. -Reuse existing hardware. - Existing door frame to remain. -Paint the newly installed door.</t>
  </si>
  <si>
    <t>Waiting Materials from BC Shop</t>
  </si>
  <si>
    <t xml:space="preserve">Cuxil Group / Sanai liability </t>
  </si>
  <si>
    <t>Estimate 17420</t>
  </si>
  <si>
    <r>
      <rPr>
        <b/>
        <sz val="18"/>
        <color rgb="FF00B050"/>
        <rFont val="Calibri"/>
        <family val="2"/>
      </rPr>
      <t xml:space="preserve">Durato Floor Installation: </t>
    </r>
    <r>
      <rPr>
        <sz val="18"/>
        <color rgb="FF00B050"/>
        <rFont val="Calibri"/>
        <family val="2"/>
      </rPr>
      <t xml:space="preserve">Remove and discard existing baseboards. -Remove and discard 395 sqft existing parquet floor. -Prep and perform MINOR subfloor repairs prior to new floor installation. -Provide and install 395 sqft. new Durato Vinyl flooring. -Provide and install 112 lnft. new baseboard moldings. at 8:00am </t>
    </r>
  </si>
  <si>
    <r>
      <t xml:space="preserve">Shower Pan and Wall Panel Replacement: </t>
    </r>
    <r>
      <rPr>
        <sz val="18"/>
        <rFont val="Calibri"/>
        <family val="2"/>
      </rPr>
      <t xml:space="preserve"> - Prep and protect all work areas prior to beginning work. - Remove and replace the existing shower pan:     * 35” W x 48” L  - Remove and replace the existing shower wall panels:     * 2 panels: 36” W x 76” H each * 1 panel: 50” W x 76” H -Leave all work areas clean and clear upon completion. at 9:00am </t>
    </r>
    <r>
      <rPr>
        <b/>
        <sz val="18"/>
        <rFont val="Calibri"/>
        <family val="2"/>
      </rPr>
      <t>/ UPDATE MADE ONSITE:</t>
    </r>
    <r>
      <rPr>
        <sz val="18"/>
        <rFont val="Calibri"/>
        <family val="2"/>
      </rPr>
      <t xml:space="preserve">  new mold-resistant drywall must be installed, and the drain will be repositioned because the dimensions of the new shower pan differ from those of the one that was removed. The work cannot be completed today; it will continue tomorrow Thursday 09/022026</t>
    </r>
  </si>
  <si>
    <t>quote needs to be revised</t>
  </si>
  <si>
    <t>11F</t>
  </si>
  <si>
    <t>Balcony door threshold and kitchen transition strip repair replacement. 1 transition of 36" and 1 transition of 72".
at  9:00 am  For access call Felix:+1 (848) 242-6308 Note: Build care provides the new transitions.</t>
  </si>
  <si>
    <t>315 / 415 / 524</t>
  </si>
  <si>
    <t>Exterior Window Seal</t>
  </si>
  <si>
    <t>Repair and install new drywall in ceiling of opening made by others at 9amThe building will provide the paint Bc to provide all other materials and labor needed to complete the job. For access, please call Victor 732-850-2331</t>
  </si>
  <si>
    <t>Estimate 17422</t>
  </si>
  <si>
    <r>
      <t>Durato Floor Installation:</t>
    </r>
    <r>
      <rPr>
        <sz val="18"/>
        <color rgb="FF00B050"/>
        <rFont val="Calibri"/>
        <family val="2"/>
      </rPr>
      <t xml:space="preserve"> Remove and discard existing baseboard moldings. -Remove and discard existing Parquet  floor. -Prep and perform minor subfloor repairs prior to new floor installation. -Provide and install 381 sqft. new Durato Vinyl floor. -Provide and install 110 lnft. new baseboard moldings. at 8:00am </t>
    </r>
  </si>
  <si>
    <t>Continue Friday</t>
  </si>
  <si>
    <t>Unit cleaning at 8:00am For Access, please call Orville 646-984-3306</t>
  </si>
  <si>
    <t>Repair openings made by others at 9am For access, please call Steve (646) 299-5888 or Jeffery 929-218-9732</t>
  </si>
  <si>
    <t>Unit cleaning at 8:00 am  The building will provide the paint Please call Kyle for access (551) 208-2742</t>
  </si>
  <si>
    <t>Alluda Project</t>
  </si>
  <si>
    <r>
      <t>CREW MEMBERS OFF/VACATIONS:</t>
    </r>
    <r>
      <rPr>
        <sz val="20"/>
        <rFont val="Calibri"/>
        <family val="2"/>
        <scheme val="minor"/>
      </rPr>
      <t xml:space="preserve"> Alluda Juan Lopez</t>
    </r>
  </si>
  <si>
    <r>
      <t>Regular Cleaning /</t>
    </r>
    <r>
      <rPr>
        <b/>
        <sz val="18"/>
        <rFont val="Calibri"/>
        <family val="2"/>
      </rPr>
      <t xml:space="preserve"> Last minute request job assigned by Casey</t>
    </r>
  </si>
  <si>
    <t>Reglaze bathtub Note: please have tech remove tape and paper once reglaze is completed. For access, please call Brian 347-235-9152 or Camilio 917-615-6183</t>
  </si>
  <si>
    <r>
      <rPr>
        <b/>
        <sz val="18"/>
        <color rgb="FF00B050"/>
        <rFont val="Calibri"/>
        <family val="2"/>
      </rPr>
      <t xml:space="preserve">Handyman Services: </t>
    </r>
    <r>
      <rPr>
        <sz val="18"/>
        <color rgb="FF00B050"/>
        <rFont val="Calibri"/>
        <family val="2"/>
      </rPr>
      <t xml:space="preserve">Close opening.\ Install new drywall.\ Spackle, sand, and paint.\ Purchase and install new vanity and sink (including plumbing).\ Vanity dimensions: 31 1/2" x 17 3/8".\ Sink dimensions: 37" x 22".\ Total height: 3 ft. / </t>
    </r>
    <r>
      <rPr>
        <b/>
        <sz val="18"/>
        <color rgb="FF00B050"/>
        <rFont val="Calibri"/>
        <family val="2"/>
      </rPr>
      <t xml:space="preserve">Flooring Services: </t>
    </r>
    <r>
      <rPr>
        <sz val="18"/>
        <color rgb="FF00B050"/>
        <rFont val="Calibri"/>
        <family val="2"/>
      </rPr>
      <t xml:space="preserve">also proceed with the flooring repair. </t>
    </r>
    <r>
      <rPr>
        <b/>
        <sz val="18"/>
        <color rgb="FF00B050"/>
        <rFont val="Calibri"/>
        <family val="2"/>
      </rPr>
      <t>NOTE:</t>
    </r>
    <r>
      <rPr>
        <sz val="18"/>
        <color rgb="FF00B050"/>
        <rFont val="Calibri"/>
        <family val="2"/>
      </rPr>
      <t xml:space="preserve"> The property will provide the paint. Buildcare will handle labor and all other materials.</t>
    </r>
  </si>
  <si>
    <t xml:space="preserve">Confirm materials with shop before Scheduling / M&amp;J Flooring / M&amp;J Handyman </t>
  </si>
  <si>
    <t>This job finished on Tuesday 09/01</t>
  </si>
  <si>
    <t>NG 608</t>
  </si>
  <si>
    <t xml:space="preserve">Email pending Roberto </t>
  </si>
  <si>
    <t xml:space="preserve">Floor repair Last minute request - assigned by property </t>
  </si>
  <si>
    <r>
      <rPr>
        <b/>
        <sz val="18"/>
        <rFont val="Calibri"/>
        <family val="2"/>
      </rPr>
      <t xml:space="preserve">Continue Floor Repair and Refinish: </t>
    </r>
    <r>
      <rPr>
        <sz val="18"/>
        <rFont val="Calibri"/>
        <family val="2"/>
      </rPr>
      <t>-Replace water damaged floor located in: kitchen- 8ft x 18ft  -Sand approximately 730 square feet of  existing flooring in:  - entrance hallway - entire living room and kitchen - entire left side bedroom including closet - right side bedroom in front of closet -Smooth out any scratches left after sanding process to ensure a more even  final appearance. -Apply one (1) coat of stain to area, match Scope will be  UPDATED</t>
    </r>
  </si>
  <si>
    <t>Scope will be  UPDATED</t>
  </si>
  <si>
    <t xml:space="preserve">Atlas Elder Velasquez / Jesus Alvardo </t>
  </si>
  <si>
    <t>This job it was done on 09/01</t>
  </si>
  <si>
    <t>cancelled</t>
  </si>
  <si>
    <t>Alluda Edgar Cespedes</t>
  </si>
  <si>
    <t xml:space="preserve">Alluda Emanuel Correa / Juan Muñoz / Juan Jose Montoya </t>
  </si>
  <si>
    <t>DVM Oscar Ordon / Juan Mendoza</t>
  </si>
  <si>
    <t xml:space="preserve">DVM Ignacio Luc / Celestino Luc </t>
  </si>
  <si>
    <t xml:space="preserve">Alluda Horacio Lopez / Juan Lopez </t>
  </si>
  <si>
    <t xml:space="preserve">Excellent carpet </t>
  </si>
  <si>
    <r>
      <t xml:space="preserve"> Karhs floor repair near ac unit in living room -  Size of repair 48sqft at 9am</t>
    </r>
    <r>
      <rPr>
        <b/>
        <sz val="18"/>
        <rFont val="Calibri"/>
        <family val="2"/>
      </rPr>
      <t xml:space="preserve"> Scope will be UPDATED: </t>
    </r>
    <r>
      <rPr>
        <sz val="18"/>
        <rFont val="Calibri"/>
        <family val="2"/>
      </rPr>
      <t>Due to an active water leak, approximately 200 sqft. of Kahrs flooring was removed, and the subfloor was left exposed to dry.</t>
    </r>
  </si>
  <si>
    <t>Estimate pending</t>
  </si>
  <si>
    <t>Paint Unit and Unit Cleaning at 8:00am Note: The property will provide the paint. Please call Mr. Ossie at (201) 832-9496 upon arrival.</t>
  </si>
  <si>
    <t>1 Handymam for Make ready</t>
  </si>
  <si>
    <t>2 Handymem for Make ready</t>
  </si>
  <si>
    <t xml:space="preserve">1 handyman for continue make ready </t>
  </si>
  <si>
    <t>Please note only one handyman was sent today to this unit today due to our schedule being at capacity . </t>
  </si>
  <si>
    <t>NG 207</t>
  </si>
  <si>
    <t xml:space="preserve">Alluda Anibal Yojero / Misael Yojero </t>
  </si>
  <si>
    <t>Paint the entire unit at 8:00am Note: The property will provide the paint</t>
  </si>
  <si>
    <t>Paint the entire Unit ( Change paint color • One accent wall in the living room • One accent wall in the bedroom) at 8:00am Note: The property will provide the paint</t>
  </si>
  <si>
    <t xml:space="preserve">1 handymen work for 1 day -  make ready Note: send Lorenzo Vaquiax </t>
  </si>
  <si>
    <r>
      <rPr>
        <b/>
        <sz val="18"/>
        <rFont val="Calibri"/>
        <family val="2"/>
      </rPr>
      <t>Purchase and Install</t>
    </r>
    <r>
      <rPr>
        <sz val="18"/>
        <rFont val="Calibri"/>
        <family val="2"/>
      </rPr>
      <t xml:space="preserve">  24-inch grab bar by toilet wall in master bathroom </t>
    </r>
    <r>
      <rPr>
        <b/>
        <sz val="18"/>
        <rFont val="Calibri"/>
        <family val="2"/>
      </rPr>
      <t>NOTE:</t>
    </r>
    <r>
      <rPr>
        <sz val="18"/>
        <rFont val="Calibri"/>
        <family val="2"/>
      </rPr>
      <t xml:space="preserve"> Bc to provide 24-inch grab bar, plastic drop, rosin paper, blue tape, and trash bags. / For access, please call Christian 201-705-0879 or Alex 201-713-8719</t>
    </r>
  </si>
  <si>
    <r>
      <rPr>
        <b/>
        <sz val="18"/>
        <rFont val="Calibri"/>
        <family val="2"/>
      </rPr>
      <t>Purchase and install</t>
    </r>
    <r>
      <rPr>
        <sz val="18"/>
        <rFont val="Calibri"/>
        <family val="2"/>
      </rPr>
      <t xml:space="preserve"> fire dumper (requires scaffolding) Note: Send two (2) people to assemble the scaffolding and disassemble the bed; the bed must be reassembled after the work is finished at 9:00am </t>
    </r>
  </si>
  <si>
    <r>
      <rPr>
        <b/>
        <sz val="18"/>
        <rFont val="Calibri"/>
        <family val="2"/>
      </rPr>
      <t>Perfect Weather Solution</t>
    </r>
    <r>
      <rPr>
        <sz val="18"/>
        <rFont val="Calibri"/>
        <family val="2"/>
      </rPr>
      <t xml:space="preserve">s / </t>
    </r>
    <r>
      <rPr>
        <b/>
        <sz val="18"/>
        <rFont val="Calibri"/>
        <family val="2"/>
      </rPr>
      <t xml:space="preserve">Atlas </t>
    </r>
    <r>
      <rPr>
        <sz val="18"/>
        <rFont val="Calibri"/>
        <family val="2"/>
      </rPr>
      <t>2 Laborers with tools: Carlos Marin / Oscar Salazar</t>
    </r>
  </si>
  <si>
    <r>
      <t xml:space="preserve">Paint unit at 8:00 am </t>
    </r>
    <r>
      <rPr>
        <b/>
        <sz val="18"/>
        <rFont val="Calibri"/>
        <family val="2"/>
      </rPr>
      <t>NOTE:</t>
    </r>
    <r>
      <rPr>
        <sz val="18"/>
        <rFont val="Calibri"/>
        <family val="2"/>
      </rPr>
      <t xml:space="preserve"> For access call Willie:+1 (386) 518-9413</t>
    </r>
  </si>
  <si>
    <r>
      <t xml:space="preserve">Reglaze interior walls </t>
    </r>
    <r>
      <rPr>
        <b/>
        <sz val="22"/>
        <rFont val="Calibri"/>
        <family val="2"/>
      </rPr>
      <t>at 10:00 am (ON TIME PLEASE)</t>
    </r>
  </si>
  <si>
    <r>
      <t xml:space="preserve">2 bathtubs reglaze </t>
    </r>
    <r>
      <rPr>
        <b/>
        <sz val="22"/>
        <rFont val="Calibri"/>
        <family val="2"/>
      </rPr>
      <t xml:space="preserve">at  9am PLEASE BE ON TIME </t>
    </r>
    <r>
      <rPr>
        <sz val="18"/>
        <rFont val="Calibri"/>
        <family val="2"/>
      </rPr>
      <t>**Note** please have tech remove tape and paper reglaze is over For access, please call Carlos 201-725-6086 or Manny 732-318-9169</t>
    </r>
  </si>
  <si>
    <r>
      <t>kitchen countertops reglaze</t>
    </r>
    <r>
      <rPr>
        <b/>
        <sz val="20"/>
        <rFont val="Calibri"/>
        <family val="2"/>
      </rPr>
      <t xml:space="preserve"> </t>
    </r>
    <r>
      <rPr>
        <b/>
        <sz val="22"/>
        <rFont val="Calibri"/>
        <family val="2"/>
      </rPr>
      <t xml:space="preserve">at  9am PLEASE BE ON TIME </t>
    </r>
    <r>
      <rPr>
        <sz val="18"/>
        <rFont val="Calibri"/>
        <family val="2"/>
      </rPr>
      <t>**Note** please have tech remove tape and paper reglaze is over For access, please call Carlos 201-725-6086 or Manny 732-318-9169</t>
    </r>
  </si>
  <si>
    <r>
      <rPr>
        <b/>
        <sz val="18"/>
        <rFont val="Calibri"/>
        <family val="2"/>
      </rPr>
      <t>Continue</t>
    </r>
    <r>
      <rPr>
        <sz val="18"/>
        <rFont val="Calibri"/>
        <family val="2"/>
      </rPr>
      <t xml:space="preserve"> 1 Handymam for Make ready</t>
    </r>
  </si>
  <si>
    <r>
      <rPr>
        <b/>
        <sz val="18"/>
        <rFont val="Calibri"/>
        <family val="2"/>
      </rPr>
      <t xml:space="preserve"> Continue </t>
    </r>
    <r>
      <rPr>
        <sz val="18"/>
        <rFont val="Calibri"/>
        <family val="2"/>
      </rPr>
      <t>Karhs floor repair near ac unit in living room -  Size of repair 48sqft at 9am</t>
    </r>
    <r>
      <rPr>
        <b/>
        <sz val="18"/>
        <rFont val="Calibri"/>
        <family val="2"/>
      </rPr>
      <t xml:space="preserve"> Scope will be UPDATED: </t>
    </r>
    <r>
      <rPr>
        <sz val="18"/>
        <rFont val="Calibri"/>
        <family val="2"/>
      </rPr>
      <t>Due to an active water leak, approximately 200 sqft. of Kahrs flooring was removed, and the subfloor was left exposed to dry.</t>
    </r>
  </si>
  <si>
    <r>
      <rPr>
        <b/>
        <sz val="18"/>
        <rFont val="Calibri"/>
        <family val="2"/>
      </rPr>
      <t xml:space="preserve">Continue Floor Repair and Refinish: </t>
    </r>
    <r>
      <rPr>
        <sz val="18"/>
        <rFont val="Calibri"/>
        <family val="2"/>
      </rPr>
      <t>-Replace water damaged floor located in: kitchen- 8ft x 18ft  -Sand approximately 730 square feet of  existing flooring in:  - entrance hallway - entire living room and kitchen - entire left side bedroom including closet - right side bedroom in front of closet -Smooth out any scratches left after sanding process to ensure a more even  final appearance. -Apply one (1) coat of stain to area, match</t>
    </r>
  </si>
  <si>
    <r>
      <rPr>
        <b/>
        <sz val="18"/>
        <rFont val="Calibri"/>
        <family val="2"/>
      </rPr>
      <t xml:space="preserve">Durato Floor Installation: </t>
    </r>
    <r>
      <rPr>
        <sz val="18"/>
        <rFont val="Calibri"/>
        <family val="2"/>
      </rPr>
      <t xml:space="preserve">Remove and discard 195 lnft existing baseboard moldings. -Demo and discard 690 sqft damaged parquet flooring located throughout unit. -Prep and perform minor subfloor repairs prior to new floor installation. -Provide and install 690 sqft new Durato Flooring. -Provide and install 195 lnft new baseboard moldings. </t>
    </r>
  </si>
  <si>
    <r>
      <rPr>
        <b/>
        <sz val="18"/>
        <rFont val="Calibri"/>
        <family val="2"/>
      </rPr>
      <t>Rebuild:I</t>
    </r>
    <r>
      <rPr>
        <sz val="18"/>
        <rFont val="Calibri"/>
        <family val="2"/>
      </rPr>
      <t xml:space="preserve"> nstall new 2’ x 4’ suspended drop ceiling system in the designated areas. -Prep floor and perform minor subfloor repairs prior to new floor installation. - Supply and install new vinyl click flooring in the following areas: * Vestibule: 15’ x 14’ * Staircase Landing: approximately 4’ x 8’ and 4’ x 8’ -Prepare wall surfaces as needed. -Apply a primer sealer throughout the affected wall areas to help seal and neutralize smoke odors. -Apply two coats of white paint to all designated wall surfaces after primer application. - Supply and install new 4” black cove base along all walls in the vestibule and landing areas. -Remove all debris, materials, and equipment related to the work upon completion. The trim color for the vestibule will be Chantilly Lace.</t>
    </r>
  </si>
  <si>
    <r>
      <rPr>
        <b/>
        <sz val="18"/>
        <rFont val="Calibri"/>
        <family val="2"/>
      </rPr>
      <t xml:space="preserve">Rebuild: </t>
    </r>
    <r>
      <rPr>
        <sz val="18"/>
        <rFont val="Calibri"/>
        <family val="2"/>
      </rPr>
      <t>Furnish and install new 2’ x 4’ suspended drop ceiling system, approximately 1,205 sq. ft. -Furnish and install new 24” x 24” carpet tiles, approximately 650 sq. ft. - Prepare and paint all walls. Apply one coat of odor-blocking primer/sealer to neutralize smoke odors, followed by two coats of paint with deodorizing/scent additive. -Furnish and install new 4” black cove base on all walls. -Remove and dispose of all debris generated by this work Note: Property to advise on paint color. -Property to choose from carpet tiles provided.</t>
    </r>
  </si>
  <si>
    <r>
      <t>Clean the entire basement after repairs and paint</t>
    </r>
    <r>
      <rPr>
        <b/>
        <sz val="22"/>
        <rFont val="Calibri"/>
        <family val="2"/>
      </rPr>
      <t xml:space="preserve"> at 3:30pm ON TIME</t>
    </r>
  </si>
  <si>
    <r>
      <rPr>
        <b/>
        <sz val="18"/>
        <rFont val="Calibri"/>
        <family val="2"/>
      </rPr>
      <t xml:space="preserve">Continue </t>
    </r>
    <r>
      <rPr>
        <sz val="18"/>
        <rFont val="Calibri"/>
        <family val="2"/>
      </rPr>
      <t xml:space="preserve">Paint unit and Cleaning at 8:00am </t>
    </r>
  </si>
  <si>
    <r>
      <t xml:space="preserve">Reglaze Master bathroom shower and sink. - Reglaze one sink on guess bathroom  </t>
    </r>
    <r>
      <rPr>
        <b/>
        <sz val="22"/>
        <rFont val="Calibri"/>
        <family val="2"/>
      </rPr>
      <t>at 9:30 am (on time please)</t>
    </r>
    <r>
      <rPr>
        <sz val="18"/>
        <rFont val="Calibri"/>
        <family val="2"/>
      </rPr>
      <t xml:space="preserve">
Tenant has the info we will be there between 9 and noon. For access call Angel:+1 (973) 388-4298</t>
    </r>
  </si>
  <si>
    <r>
      <t xml:space="preserve">2 Bathtub reglazes </t>
    </r>
    <r>
      <rPr>
        <b/>
        <sz val="18"/>
        <rFont val="Calibri"/>
        <family val="2"/>
      </rPr>
      <t>NOTE:</t>
    </r>
    <r>
      <rPr>
        <sz val="18"/>
        <rFont val="Calibri"/>
        <family val="2"/>
      </rPr>
      <t xml:space="preserve"> For access call Jay:+1 (771) 216-6167</t>
    </r>
  </si>
  <si>
    <r>
      <t xml:space="preserve">1 Bathtub reglaze </t>
    </r>
    <r>
      <rPr>
        <b/>
        <sz val="18"/>
        <rFont val="Calibri"/>
        <family val="2"/>
      </rPr>
      <t>NOTE:</t>
    </r>
    <r>
      <rPr>
        <sz val="18"/>
        <rFont val="Calibri"/>
        <family val="2"/>
      </rPr>
      <t xml:space="preserve"> For access call Jay:+1 (771) 216-6167</t>
    </r>
  </si>
  <si>
    <r>
      <t xml:space="preserve">Replace 1 blind in the living room loft,  clean ceiling fan and perform duct and dry vent interior cleaning </t>
    </r>
    <r>
      <rPr>
        <b/>
        <sz val="22"/>
        <rFont val="Calibri"/>
        <family val="2"/>
      </rPr>
      <t xml:space="preserve">at  9:30 am on time please </t>
    </r>
    <r>
      <rPr>
        <sz val="18"/>
        <rFont val="Calibri"/>
        <family val="2"/>
      </rPr>
      <t>High walls scaffold needed and 2 guys for this. For access call Angel:+1 (973) 388-4298</t>
    </r>
  </si>
  <si>
    <t xml:space="preserve"> Regrout standing shower floor tiles Note: The property will provide the grout.</t>
  </si>
  <si>
    <r>
      <t>Replace carpet /</t>
    </r>
    <r>
      <rPr>
        <b/>
        <sz val="18"/>
        <rFont val="Calibri"/>
        <family val="2"/>
      </rPr>
      <t xml:space="preserve"> Last minute request job assigned by Jarvis</t>
    </r>
  </si>
  <si>
    <t>Job done 08/28/26</t>
  </si>
  <si>
    <t>Property Patio</t>
  </si>
  <si>
    <t>W1204</t>
  </si>
  <si>
    <t>Woods Solutions Francisco</t>
  </si>
  <si>
    <r>
      <rPr>
        <b/>
        <sz val="18"/>
        <rFont val="Calibri"/>
        <family val="2"/>
      </rPr>
      <t>HVAC SERVICE:</t>
    </r>
    <r>
      <rPr>
        <sz val="18"/>
        <rFont val="Calibri"/>
        <family val="2"/>
      </rPr>
      <t xml:space="preserve"> Issue: • The central A/C unit is not cooling properly. • Please inspect the system and identify the cause of the issue. Note: If a major repair is required, please provide an inspection report and submit an estimate to the property before proceeding with any additional work.</t>
    </r>
  </si>
  <si>
    <t>Paint Unit and Unit cleaning at 8:00am Note: Property will provide the paint.</t>
  </si>
  <si>
    <t>Paint Unit and Unit cleaning at 8:00am The building will provide the paint For access, please call Mike: 1 (845) 542-9676 or Gus 347-583-7765</t>
  </si>
  <si>
    <t>Reglaze 1 tub In the morning For access call Willie:+1 (386) 518-9413</t>
  </si>
  <si>
    <r>
      <rPr>
        <b/>
        <sz val="18"/>
        <color rgb="FF00B050"/>
        <rFont val="Calibri"/>
        <family val="2"/>
      </rPr>
      <t>Continue</t>
    </r>
    <r>
      <rPr>
        <sz val="18"/>
        <color rgb="FF00B050"/>
        <rFont val="Calibri"/>
        <family val="2"/>
      </rPr>
      <t xml:space="preserve"> Repair: Install new property provided ptac unit -Build drain line for back of the ptac unit, to allow water to travel away from the wall -Replace approximately 10 gfci outlets and 4 light switches (Property to provide materials) -Install new property provided outlet and switch covers -Install property provided appliances, toilet, and bathtub on wooden dollies -Paint exterior wall of the training room using white semigloss paint Wall: 35ft long x 8ft high -Purchase and install a tv mounting bracket for a 40” tv -Install a 40” property provided tv. -Build two dollies for washer/dryer machines 26”x24” with plywood and 4 wheels each.  -Build drainage with pvc pipes for training purposes for - showerpan - toilet - vanity sink - install copper including pipes for hot and cold water for training purposes only Note: all the pipe installations will not be connected to any water or drainage lines Notes: *Property to provide appliances, electrical outlets, switches, and covers *Debris to be disposed of in property provided dumpster. </t>
    </r>
  </si>
  <si>
    <r>
      <rPr>
        <b/>
        <sz val="18"/>
        <color rgb="FF00B050"/>
        <rFont val="Calibri"/>
        <family val="2"/>
      </rPr>
      <t xml:space="preserve">Continue </t>
    </r>
    <r>
      <rPr>
        <sz val="18"/>
        <color rgb="FF00B050"/>
        <rFont val="Calibri"/>
        <family val="2"/>
      </rPr>
      <t xml:space="preserve">Full laundry room build up - Metal framing </t>
    </r>
  </si>
  <si>
    <t>Follow up Electricity and plumbing made by others</t>
  </si>
  <si>
    <t xml:space="preserve">DVM Angel Davila / Tomas Avila  </t>
  </si>
  <si>
    <r>
      <t xml:space="preserve">Paint unit and cleaning </t>
    </r>
    <r>
      <rPr>
        <b/>
        <sz val="18"/>
        <color rgb="FF00B050"/>
        <rFont val="Calibri"/>
        <family val="2"/>
      </rPr>
      <t>Same day</t>
    </r>
    <r>
      <rPr>
        <sz val="18"/>
        <color rgb="FF00B050"/>
        <rFont val="Calibri"/>
        <family val="2"/>
      </rPr>
      <t xml:space="preserve"> start with kitchen and Bathroom at 8:00am  For access call Willie:+1 (386) 518-9413</t>
    </r>
  </si>
  <si>
    <r>
      <rPr>
        <b/>
        <sz val="18"/>
        <rFont val="Calibri (Body)"/>
      </rPr>
      <t xml:space="preserve">Continue </t>
    </r>
    <r>
      <rPr>
        <sz val="18"/>
        <rFont val="Calibri (Body)"/>
      </rPr>
      <t>Repair opening made by others and install missing parquet NOTE: BC to provide plastic drop, spackle, rosin paper, wall paint, blue tape, metal for framing, drywall, primer grip, sanding sponge, floor trim and other materials and labor needed to complete the job. / For access, please call Steve (646) 299-5888 or Jeffery 929-218-9732</t>
    </r>
  </si>
  <si>
    <r>
      <t xml:space="preserve">Continue </t>
    </r>
    <r>
      <rPr>
        <sz val="18"/>
        <color rgb="FF00B050"/>
        <rFont val="Calibri"/>
        <family val="2"/>
        <scheme val="minor"/>
      </rPr>
      <t xml:space="preserve"> install drywall. Spackle and sand and a tile Tech on Friday to do the bathroom tiles downstairs. Christian will provide new tiles, tile glue, and grout at 8:30 am. For access call Roberto</t>
    </r>
  </si>
  <si>
    <t xml:space="preserve">JYL Latino Cleaning </t>
  </si>
  <si>
    <t>Standing shower reglaze at 8:00am Note: We will be providing both labor and materials. Upon arrival, we will also ask the property management if they would like the wall tiles reglazed.</t>
  </si>
  <si>
    <t>HR Paint</t>
  </si>
  <si>
    <r>
      <t xml:space="preserve">Continue Shower Pan and Wall Panel Replacement: </t>
    </r>
    <r>
      <rPr>
        <sz val="18"/>
        <rFont val="Calibri"/>
        <family val="2"/>
      </rPr>
      <t xml:space="preserve"> - Prep and protect all work areas prior to beginning work. - Remove and replace the existing shower pan:     * 35” W x 48” L  - Remove and replace the existing shower wall panels:     * 2 panels: 36” W x 76” H each * 1 panel: 50” W x 76” H -Leave all work areas clean and clear upon completion. at 9:00am </t>
    </r>
    <r>
      <rPr>
        <b/>
        <sz val="18"/>
        <rFont val="Calibri"/>
        <family val="2"/>
      </rPr>
      <t>/ UPDATE MADE ONSITE:</t>
    </r>
    <r>
      <rPr>
        <sz val="18"/>
        <rFont val="Calibri"/>
        <family val="2"/>
      </rPr>
      <t xml:space="preserve">  new mold-resistant drywall must be installed, and the drain will be repositioned because the dimensions of the new shower pan differ from those of the one that was removed. The work cannot be completed today; it will continue tomorrow Thursday 09/022026</t>
    </r>
  </si>
  <si>
    <t>Clean same day</t>
  </si>
  <si>
    <r>
      <t>Carpet Replacement</t>
    </r>
    <r>
      <rPr>
        <b/>
        <sz val="18"/>
        <color rgb="FF00B050"/>
        <rFont val="Calibri"/>
        <family val="2"/>
      </rPr>
      <t xml:space="preserve"> at 9:00am ON TIME DO NOT ARRIVE LATE</t>
    </r>
    <r>
      <rPr>
        <sz val="18"/>
        <color rgb="FF00B050"/>
        <rFont val="Calibri"/>
        <family val="2"/>
      </rPr>
      <t xml:space="preserve"> Note: Unit is painted already. Call Enrique for access: +1 (646) 984-3300</t>
    </r>
  </si>
  <si>
    <r>
      <t xml:space="preserve">Unit Cleaning (detail cleaning) </t>
    </r>
    <r>
      <rPr>
        <b/>
        <sz val="18"/>
        <color rgb="FF00B050"/>
        <rFont val="Calibri"/>
        <family val="2"/>
      </rPr>
      <t>ARRIVE AT AFTER 1:30PM AFTER CARPET SERVICES</t>
    </r>
    <r>
      <rPr>
        <sz val="18"/>
        <color rgb="FF00B050"/>
        <rFont val="Calibri"/>
        <family val="2"/>
      </rPr>
      <t xml:space="preserve"> Call Enrique for access: +1 (646) 984-3300</t>
    </r>
  </si>
  <si>
    <t>P.O SEP 170</t>
  </si>
  <si>
    <t xml:space="preserve">Paint done </t>
  </si>
  <si>
    <t>rescheduled next day the tech did not arrive</t>
  </si>
  <si>
    <r>
      <rPr>
        <b/>
        <sz val="18"/>
        <color rgb="FF00B050"/>
        <rFont val="Calibri"/>
        <family val="2"/>
      </rPr>
      <t xml:space="preserve">Carpet Replacement: </t>
    </r>
    <r>
      <rPr>
        <sz val="18"/>
        <color rgb="FF00B050"/>
        <rFont val="Calibri"/>
        <family val="2"/>
      </rPr>
      <t xml:space="preserve">Remove and dispose of the existing commercial carpet at the side entrance of the leasing office. -Furnish and install new commercial_x0002_grade carpet in a similar blue color. -Installation areas are approximately: * 17’ x 5’ 85 SF * 12’ x 6’ 72 SF -Install new tack strips and transition strips as required for a complete installation. Secure and finish all edges to ensure a clean, professional appearance. at 9:00am 
</t>
    </r>
  </si>
  <si>
    <t xml:space="preserve">not move out </t>
  </si>
  <si>
    <r>
      <t xml:space="preserve">Floor repairs at 8:00 am </t>
    </r>
    <r>
      <rPr>
        <b/>
        <sz val="18"/>
        <color rgb="FF00B050"/>
        <rFont val="Calibri"/>
        <family val="2"/>
      </rPr>
      <t>NOTE:</t>
    </r>
    <r>
      <rPr>
        <sz val="18"/>
        <color rgb="FF00B050"/>
        <rFont val="Calibri"/>
        <family val="2"/>
      </rPr>
      <t xml:space="preserve"> For access, please contact Oliver 917-750-1194 or Joseph 929-271-7365</t>
    </r>
  </si>
  <si>
    <t>Cleaned on Monday 08/31/2026</t>
  </si>
  <si>
    <t>Cleaned on Tuesday 09/01/2026</t>
  </si>
  <si>
    <t>Cleaned  on Tuesday 09/01/2026</t>
  </si>
  <si>
    <t>Cleaned  on Wednesday 09/02/2026</t>
  </si>
  <si>
    <t>Cleaned on Wednesday 09/02/2026</t>
  </si>
  <si>
    <r>
      <t xml:space="preserve">Sheetrock replacement / </t>
    </r>
    <r>
      <rPr>
        <b/>
        <sz val="18"/>
        <rFont val="Calibri"/>
        <family val="2"/>
      </rPr>
      <t>Last Minute request assigned by Roberto</t>
    </r>
  </si>
  <si>
    <t>AJ Canas Solutions Carlos 
/ Willian Alvarez</t>
  </si>
  <si>
    <t>AJ Canas Solutions Marlon</t>
  </si>
  <si>
    <t>AJ Canas Solutions Ricardo</t>
  </si>
  <si>
    <t>PO#570304</t>
  </si>
  <si>
    <t>PO# 570299</t>
  </si>
  <si>
    <t>PO# once I receive it.</t>
  </si>
  <si>
    <t>Paint Unit and Unit Cleaning at 8:00am For Access, please call Orville 646-984-3306</t>
  </si>
  <si>
    <t>Exta Half shift approved for each by Roberto</t>
  </si>
  <si>
    <r>
      <t xml:space="preserve">Provide a certified plumber to replace a supply valve  They have the valve Wednesday  09/92 /2026 Requested by Ian  / </t>
    </r>
    <r>
      <rPr>
        <b/>
        <sz val="18"/>
        <rFont val="Calibri"/>
        <family val="2"/>
      </rPr>
      <t>Last Minute request assigned by Roberto</t>
    </r>
  </si>
  <si>
    <t>Hydro Jersey</t>
  </si>
  <si>
    <t>Job done 09/02 / This leak at unit 520 damaged the unit 420 drywall</t>
  </si>
  <si>
    <t>Paint unit and Unit Cleaning at 8:00am</t>
  </si>
  <si>
    <r>
      <rPr>
        <b/>
        <sz val="18"/>
        <rFont val="Calibri"/>
        <family val="2"/>
      </rPr>
      <t>Continue</t>
    </r>
    <r>
      <rPr>
        <sz val="18"/>
        <rFont val="Calibri"/>
        <family val="2"/>
      </rPr>
      <t xml:space="preserve"> Ceiling repair and paint </t>
    </r>
    <r>
      <rPr>
        <b/>
        <sz val="18"/>
        <rFont val="Calibri"/>
        <family val="2"/>
      </rPr>
      <t>Paint specs:</t>
    </r>
    <r>
      <rPr>
        <sz val="18"/>
        <rFont val="Calibri"/>
        <family val="2"/>
      </rPr>
      <t xml:space="preserve"> White paint flat pro mar 200 </t>
    </r>
    <r>
      <rPr>
        <b/>
        <sz val="18"/>
        <rFont val="Calibri"/>
        <family val="2"/>
      </rPr>
      <t>NOTE:</t>
    </r>
    <r>
      <rPr>
        <sz val="18"/>
        <rFont val="Calibri"/>
        <family val="2"/>
      </rPr>
      <t xml:space="preserve"> ** Use a lot of protection, trap floors so nothing gets on the floor, use scaffold / Send one tech with a helper to protect everything.** ADDED: Living room: cracks were repair on ceiling and entire ceiling was painted 
Master bathroom: cracks were repaired on ceiling and entire ceiling was painted 
Please pay extra half day to each technician due to they stayed working yesterday unit 7 pm to complete theses services. </t>
    </r>
  </si>
  <si>
    <t xml:space="preserve">Approved 3 hrs for complete job </t>
  </si>
  <si>
    <t>41-117</t>
  </si>
  <si>
    <t xml:space="preserve">Reglaze bathtub 2nd Floor  Right bathrom last minute request </t>
  </si>
  <si>
    <t>Kitchen ceiling repair after water damage at 9:00 am For access call Terrance. BuildCare provides protection and materials.</t>
  </si>
  <si>
    <t>7th Floor Patio</t>
  </si>
  <si>
    <t>Roof Repair: ASK JHONATAN HOW TO SCHEDULE ALL THE SERVICES INCLUDED ON THIS QUOTE</t>
  </si>
  <si>
    <t>Waiting date by Jhonatan or Casey</t>
  </si>
  <si>
    <t>Estimate 17040</t>
  </si>
  <si>
    <t>Courtesy Job / No Charge - This job must be detailed since is the owner of paramount management / Roberto will be informing to which job from paramaount the costs will be added / Please change the estimated cost to $600.00 Send the invoice to Melissa under miscellaneous. They will pay separately for this.</t>
  </si>
  <si>
    <r>
      <rPr>
        <b/>
        <sz val="18"/>
        <color rgb="FF00B050"/>
        <rFont val="Calibri"/>
        <family val="2"/>
      </rPr>
      <t>Kahrs Floor Repair:</t>
    </r>
    <r>
      <rPr>
        <sz val="18"/>
        <color rgb="FF00B050"/>
        <rFont val="Calibri"/>
        <family val="2"/>
      </rPr>
      <t xml:space="preserve"> Demo and discard karhs floor in 2 areas of the apartment guest bedroom master bedroom near closet total size of repairs 48sqft -Prep and perform minor subfloor repairs prior to new floor installation. -Provide and install 48 sqft new Kahrs Floor in mentioned area. / </t>
    </r>
    <r>
      <rPr>
        <b/>
        <sz val="18"/>
        <color rgb="FF00B050"/>
        <rFont val="Calibri"/>
        <family val="2"/>
      </rPr>
      <t>Kahrs Floor Refinish:</t>
    </r>
    <r>
      <rPr>
        <sz val="18"/>
        <color rgb="FF00B050"/>
        <rFont val="Calibri"/>
        <family val="2"/>
      </rPr>
      <t xml:space="preserve"> Sand 954 sqft existing Kahrs  flooring located in throughout unit. -Smooth out any scratches left after sanding process to ensure a more even final appearance. -Clean up the dust by vacuuming entire area. -Apply one (1) coat of clear coat to area.</t>
    </r>
  </si>
  <si>
    <t>Dogtopia of Wesmont Station
80 Rosie Square, Wood-Ridge, NJ 07075</t>
  </si>
  <si>
    <t>Double request this job was made on 09/01 with quote 16775</t>
  </si>
  <si>
    <t>Dog Wash - Public Bathroom</t>
  </si>
  <si>
    <r>
      <t xml:space="preserve">Mold, Water Damage and Repairs Services </t>
    </r>
    <r>
      <rPr>
        <b/>
        <sz val="18"/>
        <color rgb="FF00B050"/>
        <rFont val="Calibri"/>
        <family val="2"/>
      </rPr>
      <t xml:space="preserve">- Dog Wash - Public Bathroom: </t>
    </r>
    <r>
      <rPr>
        <sz val="18"/>
        <color rgb="FF00B050"/>
        <rFont val="Calibri"/>
        <family val="2"/>
      </rPr>
      <t xml:space="preserve"> Remove approximately 10 LF of existing gray rubber baseboard affected by mildew and replace with new rubber baseboard. -Seal the new baseboard with silicone to help prevent water intrusion, as the area is frequently exposed to water splashing during dog washing. / </t>
    </r>
    <r>
      <rPr>
        <b/>
        <sz val="18"/>
        <color rgb="FF00B050"/>
        <rFont val="Calibri"/>
        <family val="2"/>
      </rPr>
      <t xml:space="preserve">Public Bathroom – Mold and Ceiling Tile Repairs: </t>
    </r>
    <r>
      <rPr>
        <sz val="18"/>
        <color rgb="FF00B050"/>
        <rFont val="Calibri"/>
        <family val="2"/>
      </rPr>
      <t xml:space="preserve">Address mold growth on the wall containing the fire alarm. -Cut out and remove the affected section of drywall and install new drywall. Spackle, sand, prime as needed, and paint to match the existing wall. -Scrape and clean the affected surface, apply stain-blocking primer, spackle as needed, and paint to match the existing wall. -Remove and replace all drop ceiling tiles affected by mold and water stains. - Provide and install of ceiling tiles. -Replace additional damaged ceiling tiles in the hallway affected by condensation. / </t>
    </r>
    <r>
      <rPr>
        <b/>
        <sz val="18"/>
        <color rgb="FF00B050"/>
        <rFont val="Calibri"/>
        <family val="2"/>
      </rPr>
      <t xml:space="preserve">Dog Washing Tubs: </t>
    </r>
    <r>
      <rPr>
        <sz val="18"/>
        <color rgb="FF00B050"/>
        <rFont val="Calibri"/>
        <family val="2"/>
      </rPr>
      <t>- Reseal both dog-washing tubs around the tub perimeter and tile joints. - Apply appropriate waterproof silicone sealant to prevent further water intrusion. - Address areas where water is currently leaking through and causing moisture underneath the tub flooring.</t>
    </r>
  </si>
  <si>
    <t>Estimate 17303</t>
  </si>
  <si>
    <t>Waiting green light to move forward from Jennifer Murphy</t>
  </si>
  <si>
    <t xml:space="preserve">Alluda Misael Yojero </t>
  </si>
  <si>
    <t>AJ Canas Solutions Send photo</t>
  </si>
  <si>
    <t xml:space="preserve">DVM Celestino Luc / Ignacio Luc </t>
  </si>
  <si>
    <t xml:space="preserve">Atlas Elder Veasquez </t>
  </si>
  <si>
    <t xml:space="preserve">AJ Canas Solutions </t>
  </si>
  <si>
    <t xml:space="preserve">Alluda Fabian Muñoz </t>
  </si>
  <si>
    <t xml:space="preserve">Atlas Moises Rivas </t>
  </si>
  <si>
    <t xml:space="preserve">Atlas Jesua Mancilla </t>
  </si>
  <si>
    <t xml:space="preserve">Follow up paint Alluda Edgar Cespedes </t>
  </si>
  <si>
    <r>
      <t xml:space="preserve">Unit </t>
    </r>
    <r>
      <rPr>
        <b/>
        <sz val="18"/>
        <color rgb="FF00B050"/>
        <rFont val="Calibri"/>
        <family val="2"/>
      </rPr>
      <t>DEEP</t>
    </r>
    <r>
      <rPr>
        <sz val="18"/>
        <color rgb="FF00B050"/>
        <rFont val="Calibri"/>
        <family val="2"/>
      </rPr>
      <t xml:space="preserve"> cleaning at 8:00 am </t>
    </r>
  </si>
  <si>
    <t>Great Job services</t>
  </si>
  <si>
    <t xml:space="preserve">Alluda Horacio  Lopez/ Arturo Lopez  </t>
  </si>
  <si>
    <r>
      <rPr>
        <b/>
        <sz val="18"/>
        <color rgb="FF00B050"/>
        <rFont val="Calibri"/>
        <family val="2"/>
      </rPr>
      <t>Parquet Floor Repair:</t>
    </r>
    <r>
      <rPr>
        <sz val="18"/>
        <color rgb="FF00B050"/>
        <rFont val="Calibri"/>
        <family val="2"/>
      </rPr>
      <t xml:space="preserve"> Remove and discard 25 sqft of damaged parquet flooring located underneath the PTAC in the living room. \ Prep and perform minor subfloor repairs prior to new floor installation. \ Provide and install 25 sqft of parquet flooring in the referenced area.</t>
    </r>
  </si>
  <si>
    <t>Estimate 17399</t>
  </si>
  <si>
    <t xml:space="preserve">Paint the entire unit includes the front door at 8:00am </t>
  </si>
  <si>
    <t>Unit cleaning at 8:00am Note: The property will provide the paint.</t>
  </si>
  <si>
    <r>
      <t xml:space="preserve">1 Daily Handyman service from Wednesday 09/02/2026 trough Sunday </t>
    </r>
    <r>
      <rPr>
        <b/>
        <sz val="18"/>
        <color rgb="FF00B050"/>
        <rFont val="Calibri"/>
        <family val="2"/>
      </rPr>
      <t>09/06/2026</t>
    </r>
    <r>
      <rPr>
        <sz val="18"/>
        <color rgb="FF00B050"/>
        <rFont val="Calibri"/>
        <family val="2"/>
      </rPr>
      <t xml:space="preserve"> Please Report to Nate (201) 466-8357</t>
    </r>
  </si>
  <si>
    <r>
      <rPr>
        <b/>
        <sz val="18"/>
        <color rgb="FF00B050"/>
        <rFont val="Calibri"/>
        <family val="2"/>
      </rPr>
      <t>Continue Rebuild:I</t>
    </r>
    <r>
      <rPr>
        <sz val="18"/>
        <color rgb="FF00B050"/>
        <rFont val="Calibri"/>
        <family val="2"/>
      </rPr>
      <t xml:space="preserve"> nstall new 2’ x 4’ suspended drop ceiling system in the designated areas. -Prep floor and perform minor subfloor repairs prior to new floor installation. - Supply and install new vinyl click flooring in the following areas: * Vestibule: 15’ x 14’ * Staircase Landing: approximately 4’ x 8’ and 4’ x 8’ -Prepare wall surfaces as needed. -Apply a primer sealer throughout the affected wall areas to help seal and neutralize smoke odors. -Apply two coats of white paint to all designated wall surfaces after primer application. - Supply and install new 4” black cove base along all walls in the vestibule and landing areas. -Remove all debris, materials, and equipment related to the work upon completion. The trim color for the vestibule will be Chantilly Lace.</t>
    </r>
  </si>
  <si>
    <r>
      <rPr>
        <b/>
        <sz val="18"/>
        <color rgb="FF00B050"/>
        <rFont val="Calibri"/>
        <family val="2"/>
      </rPr>
      <t xml:space="preserve">Continue Rebuild: </t>
    </r>
    <r>
      <rPr>
        <sz val="18"/>
        <color rgb="FF00B050"/>
        <rFont val="Calibri"/>
        <family val="2"/>
      </rPr>
      <t>Furnish and install new 2’ x 4’ suspended drop ceiling system, approximately 1,205 sq. ft. -Furnish and install new 24” x 24” carpet tiles, approximately 650 sq. ft. - Prepare and paint all walls. Apply one coat of odor-blocking primer/sealer to neutralize smoke odors, followed by two coats of paint with deodorizing/scent additive. -Furnish and install new 4” black cove base on all walls. -Remove and dispose of all debris generated by this work Note: Property to advise on paint color. -Property to choose from carpet tiles provided.</t>
    </r>
  </si>
  <si>
    <t xml:space="preserve">Paint unit and cleaning Same day at 8:00am </t>
  </si>
  <si>
    <t>Unit cleaning at 3:00 pm</t>
  </si>
  <si>
    <r>
      <rPr>
        <b/>
        <sz val="18"/>
        <color rgb="FF00B050"/>
        <rFont val="Calibri"/>
        <family val="2"/>
      </rPr>
      <t>AC Sleeve Replacement (Living Room):</t>
    </r>
    <r>
      <rPr>
        <sz val="18"/>
        <color rgb="FF00B050"/>
        <rFont val="Calibri"/>
        <family val="2"/>
      </rPr>
      <t xml:space="preserve"> Remove existing AC unit and sleeve. \ Reinforce existing frame for new sleeve and PTAC installation. \ Install new property-provided PTAC and sleeve following the original setup and specifications. \ Perform drywall and insulation repairs as needed upon PTAC and sleeve installation. \ Tape, spackle, sand, and prime all repaired areas. \ Apply one (1) coat of paint to repaired areas once PTAC sleeve and drywall repairs are completed. </t>
    </r>
    <r>
      <rPr>
        <b/>
        <sz val="18"/>
        <color rgb="FF00B050"/>
        <rFont val="Calibri"/>
        <family val="2"/>
      </rPr>
      <t>NOTE:</t>
    </r>
    <r>
      <rPr>
        <sz val="18"/>
        <color rgb="FF00B050"/>
        <rFont val="Calibri"/>
        <family val="2"/>
      </rPr>
      <t xml:space="preserve"> Property to provide new AC sleeve. </t>
    </r>
  </si>
  <si>
    <t>Estimate 17435</t>
  </si>
  <si>
    <r>
      <t>Right side bathroom Bathtub reglaze and fix overflow</t>
    </r>
    <r>
      <rPr>
        <b/>
        <sz val="22"/>
        <color rgb="FFFF0000"/>
        <rFont val="Calibri"/>
        <family val="2"/>
      </rPr>
      <t xml:space="preserve"> Please have tech be there 9am sharp. </t>
    </r>
    <r>
      <rPr>
        <sz val="18"/>
        <color rgb="FFFF0000"/>
        <rFont val="Calibri"/>
        <family val="2"/>
      </rPr>
      <t>***note** please have tech remove tape and paper once reglaze is completed. For access, please call Jonathan 862-387-9993</t>
    </r>
  </si>
  <si>
    <t>Rescheduled for 09/05.</t>
  </si>
  <si>
    <r>
      <t>Right side bathroom Bathtub reglaze and fix overflow</t>
    </r>
    <r>
      <rPr>
        <b/>
        <sz val="22"/>
        <color rgb="FF00B050"/>
        <rFont val="Calibri"/>
        <family val="2"/>
      </rPr>
      <t xml:space="preserve"> Please have tech be there at 10:00 am sharp. </t>
    </r>
    <r>
      <rPr>
        <sz val="18"/>
        <color rgb="FF00B050"/>
        <rFont val="Calibri"/>
        <family val="2"/>
      </rPr>
      <t>***note** please have tech remove tape and paper once reglaze is completed. For access, please call Jonathan 862-387-9993</t>
    </r>
  </si>
  <si>
    <t>Rescheduled next day</t>
  </si>
  <si>
    <t xml:space="preserve">Follow up paint  </t>
  </si>
  <si>
    <t>Painted 08/17 / Make ready cancelled as per property's request</t>
  </si>
  <si>
    <r>
      <rPr>
        <b/>
        <sz val="18"/>
        <rFont val="Calibri"/>
        <family val="2"/>
      </rPr>
      <t>Drywall repars</t>
    </r>
    <r>
      <rPr>
        <sz val="18"/>
        <rFont val="Calibri"/>
        <family val="2"/>
      </rPr>
      <t>: Install missing drywall  at 8:00 am</t>
    </r>
  </si>
  <si>
    <t xml:space="preserve">Approved 2 hrs extras for complete repair  </t>
  </si>
  <si>
    <t>Paint Unit adding scent to the oaint and Unit Cleaning at 9:00am Note: The property will provide the paint. Build Care will provide all other materials, including the paint scent.</t>
  </si>
  <si>
    <t>Bathroom water damage repair, scrape, Kilz application, and plaster at 9:00am Note: The property will provide the paint. Build Care will provide all other materials</t>
  </si>
  <si>
    <t>Doen</t>
  </si>
  <si>
    <t xml:space="preserve">Atlas Armando Gaona </t>
  </si>
  <si>
    <r>
      <rPr>
        <b/>
        <sz val="18"/>
        <color rgb="FF00B050"/>
        <rFont val="Calibri"/>
        <family val="2"/>
      </rPr>
      <t>Unit Turn Painting and Kitchen Cabinet Repair:</t>
    </r>
    <r>
      <rPr>
        <sz val="18"/>
        <color rgb="FF00B050"/>
        <rFont val="Calibri"/>
        <family val="2"/>
      </rPr>
      <t xml:space="preserve"> Laborers to remove and relocate resident's personal belongings. \ Perform minor plaster repairs throughout unit. \ Scrape smoke-affected areas located on the kitchen ceiling. \ Perform drywall repairs as needed to areas behind the stove. \ Apply one (1) coat of paint throughout the entire 2-bedroom unit, including ceilings. \ Apply popcorn texture to ceiling. \ Leave areas clear of materials and debris upon completion. \ </t>
    </r>
    <r>
      <rPr>
        <b/>
        <sz val="18"/>
        <color rgb="FF00B050"/>
        <rFont val="Calibri"/>
        <family val="2"/>
      </rPr>
      <t>Kitchen Cabinet Repair:</t>
    </r>
    <r>
      <rPr>
        <sz val="18"/>
        <color rgb="FF00B050"/>
        <rFont val="Calibri"/>
        <family val="2"/>
      </rPr>
      <t xml:space="preserve"> Remove and discard bottom shelf of kitchen cabinet located above the stove area. \ Remove and discard panel located on the right side of cabinets next to the stove area. \ Provide and install new melamine panel in the affected areas.</t>
    </r>
  </si>
  <si>
    <t>Estimate 17436</t>
  </si>
  <si>
    <t>Cleaned on Saturday 08/28/2026</t>
  </si>
  <si>
    <t>Repair done</t>
  </si>
  <si>
    <t>Bathtub reglaze AFTER 2:00 PM</t>
  </si>
  <si>
    <t>Regular cleaning at 8:00 am **ON TIME**</t>
  </si>
  <si>
    <r>
      <rPr>
        <b/>
        <sz val="18"/>
        <color rgb="FF00B050"/>
        <rFont val="Calibri"/>
        <family val="2"/>
      </rPr>
      <t>Continue</t>
    </r>
    <r>
      <rPr>
        <sz val="18"/>
        <color rgb="FF00B050"/>
        <rFont val="Calibri"/>
        <family val="2"/>
      </rPr>
      <t xml:space="preserve"> mold treatment: Demo and discard damaged baseboard, Plywood and drywall. Perform antimicrobial agent and encapsulate interior frame. Purchase and Install new plywood, drywall, and baseboard. Tape, spackle, sand, primer, and paint repaired areas. Purchase and install new baseboard as needed.</t>
    </r>
  </si>
  <si>
    <r>
      <t xml:space="preserve">Paint unit at 8:00 am </t>
    </r>
    <r>
      <rPr>
        <b/>
        <sz val="18"/>
        <color rgb="FFFF0000"/>
        <rFont val="Calibri"/>
        <family val="2"/>
      </rPr>
      <t>NOTE:</t>
    </r>
    <r>
      <rPr>
        <sz val="18"/>
        <color rgb="FFFF0000"/>
        <rFont val="Calibri"/>
        <family val="2"/>
      </rPr>
      <t xml:space="preserve"> For access call Gio:+1 (862) 832-7993</t>
    </r>
  </si>
  <si>
    <t xml:space="preserve">Rescheduled next day </t>
  </si>
  <si>
    <t xml:space="preserve">Cancelled </t>
  </si>
  <si>
    <r>
      <rPr>
        <b/>
        <sz val="18"/>
        <color rgb="FF00B050"/>
        <rFont val="Calibri"/>
        <family val="2"/>
      </rPr>
      <t xml:space="preserve">Continue Durato Floor Installation: </t>
    </r>
    <r>
      <rPr>
        <sz val="18"/>
        <color rgb="FF00B050"/>
        <rFont val="Calibri"/>
        <family val="2"/>
      </rPr>
      <t xml:space="preserve">Remove and discard 195 lnft existing baseboard moldings. -Demo and discard 690 sqft damaged parquet flooring located throughout unit. -Prep and perform minor subfloor repairs prior to new floor installation. -Provide and install 690 sqft new Durato Flooring. -Provide and install 195 lnft new baseboard moldings. </t>
    </r>
  </si>
  <si>
    <r>
      <rPr>
        <b/>
        <sz val="18"/>
        <rFont val="Calibri"/>
        <family val="2"/>
      </rPr>
      <t>Kahrs Floor Repair</t>
    </r>
    <r>
      <rPr>
        <sz val="18"/>
        <rFont val="Calibri"/>
        <family val="2"/>
      </rPr>
      <t xml:space="preserve">Demo and discard water affected kahrs flooring located in bedroom. -Prep and perform minor subfloor repairs.  -Provide and install 54 sqft aprox of new Karhs Floor in mentioned area. at 9:00am </t>
    </r>
    <r>
      <rPr>
        <b/>
        <sz val="18"/>
        <rFont val="Calibri"/>
        <family val="2"/>
      </rPr>
      <t xml:space="preserve"> ADDED: CHANGE MOLDING </t>
    </r>
  </si>
  <si>
    <t xml:space="preserve">Balcony door threshold at  9:00 am  For access call Felix:+1 (848) 242-6308 Last minute request / assigned by Property </t>
  </si>
  <si>
    <t xml:space="preserve">Email pending roberto </t>
  </si>
  <si>
    <r>
      <t xml:space="preserve">Rodent Intrusion Prevention Maintenance - </t>
    </r>
    <r>
      <rPr>
        <b/>
        <sz val="16"/>
        <color rgb="FF00B050"/>
        <rFont val="Calibri"/>
        <family val="2"/>
      </rPr>
      <t>Compact Room – Building 1122:</t>
    </r>
    <r>
      <rPr>
        <sz val="16"/>
        <color rgb="FF00B050"/>
        <rFont val="Calibri"/>
        <family val="2"/>
      </rPr>
      <t xml:space="preserve"> Inspect and seal accessible gaps, penetrations, corners, joints, and other openings using foam sealant and caulking as required. - Install a steel wool rodent barrier, followed by the application of spray foam sealant and red fire-rated sealant where applicable to create a durable rodent-resistant barrier. - Seal accessible wall, floor, ceiling, and utility penetrations to reduce potential rodent entry points / </t>
    </r>
    <r>
      <rPr>
        <b/>
        <sz val="16"/>
        <color rgb="FF00B050"/>
        <rFont val="Calibri"/>
        <family val="2"/>
      </rPr>
      <t>Compact Room – Building 1101:</t>
    </r>
    <r>
      <rPr>
        <sz val="16"/>
        <color rgb="FF00B050"/>
        <rFont val="Calibri"/>
        <family val="2"/>
      </rPr>
      <t xml:space="preserve">  Install steel wool as a rodent barrier in accessible gaps, penetrations, corners, and openings. - Apply spray foam sealant over treated areas to seal accessible openings and penetrations. -Install red fire-rated sealant/barrier where required to maintain the integrity of fire-rated penetrations. -Apply caulking and sealant around accessible gaps, penetrations, corners, joints, and other openings as needed / </t>
    </r>
    <r>
      <rPr>
        <b/>
        <sz val="16"/>
        <color rgb="FF00B050"/>
        <rFont val="Calibri"/>
        <family val="2"/>
      </rPr>
      <t>Building 1101 (Adams Street):</t>
    </r>
    <r>
      <rPr>
        <sz val="16"/>
        <color rgb="FF00B050"/>
        <rFont val="Calibri"/>
        <family val="2"/>
      </rPr>
      <t xml:space="preserve"> Remove and properly dispose of the existing insulation in the designated ceiling area as part of the cleaning. -Clean the exposed ceiling/area following removal of the insulation. - Due to the nature of this work, all personnel shall wear appropriate PPE, including protective suits, gloves, eye protection, and respiratory protection, as required, throughout the cleaning process / </t>
    </r>
    <r>
      <rPr>
        <b/>
        <sz val="16"/>
        <color rgb="FF00B050"/>
        <rFont val="Calibri"/>
        <family val="2"/>
      </rPr>
      <t>Compact Room – Building Building 1100:</t>
    </r>
    <r>
      <rPr>
        <sz val="16"/>
        <color rgb="FF00B050"/>
        <rFont val="Calibri"/>
        <family val="2"/>
      </rPr>
      <t xml:space="preserve"> Install steel wool as a rodent barrier at accessible gaps, penetrations, corners, joints, and openings. -Apply spray foam sealant over treated areas to seal accessible openings and penetrations. - Install red fire-rated sealant (fire barrier) at applicable penetrations to maintain the integrity of fire-rated assemblies. -Apply caulking and sealant as needed around accessible gaps, penetrations, corners, and other openings. / </t>
    </r>
    <r>
      <rPr>
        <b/>
        <sz val="16"/>
        <color rgb="FF00B050"/>
        <rFont val="Calibri"/>
        <family val="2"/>
      </rPr>
      <t>SPECIAL NOTES:</t>
    </r>
    <r>
      <rPr>
        <sz val="16"/>
        <color rgb="FF00B050"/>
        <rFont val="Calibri"/>
        <family val="2"/>
      </rPr>
      <t xml:space="preserve"> lease schedule to start this project Friday 9/4/2026 at 8:00 am , we can start with one of the compact rooms and at 10:00 am we need to move to clean the 1101 Adams building since property will close the elevator from 10:00 am until 2:00 pm to work in this area, it is fundamental that we complete this area in there hours to clear the area at 2:00 pm. Then, we will continue with the compact rooms until we complete everything. This project might take up to 3 days; we can be there Saturday and Tuesday if needed. Warehouse Buildcare Juan Sebastian Lopez please follow the protocols including bringing al the PPE.</t>
    </r>
  </si>
  <si>
    <t>(1) One handyman and (2) One helpers to move and assemble furniture. Maintenance staff will provide direction upon arrival.</t>
  </si>
  <si>
    <t>M&amp;J Flooring 1 handy 2 helpers</t>
  </si>
  <si>
    <t xml:space="preserve">Unique cleaning </t>
  </si>
  <si>
    <r>
      <t xml:space="preserve">Paint unit at 8:00 am </t>
    </r>
    <r>
      <rPr>
        <b/>
        <sz val="18"/>
        <color rgb="FF00B050"/>
        <rFont val="Calibri"/>
        <family val="2"/>
      </rPr>
      <t>NOTE:</t>
    </r>
    <r>
      <rPr>
        <sz val="18"/>
        <color rgb="FF00B050"/>
        <rFont val="Calibri"/>
        <family val="2"/>
      </rPr>
      <t xml:space="preserve"> For access call Gio:+1 (862) 832-7993</t>
    </r>
  </si>
  <si>
    <t>Alluda Emanuel Correa</t>
  </si>
  <si>
    <r>
      <rPr>
        <b/>
        <sz val="18"/>
        <color rgb="FF00B050"/>
        <rFont val="Calibri"/>
        <family val="2"/>
      </rPr>
      <t>Continue</t>
    </r>
    <r>
      <rPr>
        <sz val="18"/>
        <color rgb="FF00B050"/>
        <rFont val="Calibri"/>
        <family val="2"/>
      </rPr>
      <t xml:space="preserve"> Make opening in guest bedroom 3x3 to reinstall loose Hvac vent, close opening, spackle, sand and paint NOTE: Bc to provide  carpet film, plastic drop, spackle, mesh tape, trash bags, sanding sponge, blue tape and all other materials and labor needed to complete the job. / For access, please call Christian 201-705-0879 or Alex 201-713-8719 update the scope of work. Two more openings of 2x4 were required to see where ducts weren't connected. After the ducts were taped with duct tape, there still wasn't air flow. The building asked to please just temporarily close openings so they can do their own investigation tomorrow to see where the problem is. Once they determine and fix it, they will let us know so we can close all openings properly.</t>
    </r>
  </si>
  <si>
    <t xml:space="preserve">Atlas way Cleaning </t>
  </si>
  <si>
    <t xml:space="preserve">Waiting by Property - Tenant not return keys </t>
  </si>
  <si>
    <t>Make ready
Cleaning - tenat not return  keys</t>
  </si>
  <si>
    <t xml:space="preserve">Alluda Edgar Cespedes </t>
  </si>
  <si>
    <t xml:space="preserve">HR Painters </t>
  </si>
  <si>
    <t>Atlas javier Santiago</t>
  </si>
  <si>
    <t xml:space="preserve">AJ Canas Solutions 1 Handy for 2 Job </t>
  </si>
  <si>
    <t xml:space="preserve">DVM Marvin  Cumes </t>
  </si>
  <si>
    <t xml:space="preserve">Alluda Carlos Duque </t>
  </si>
  <si>
    <r>
      <t xml:space="preserve">Follow up make ready </t>
    </r>
    <r>
      <rPr>
        <sz val="18"/>
        <color rgb="FF00B050"/>
        <rFont val="Calibri"/>
        <family val="2"/>
      </rPr>
      <t>YL Cleaning</t>
    </r>
  </si>
  <si>
    <t>Atlas Jesus Alvarado / Javoier Santiago</t>
  </si>
  <si>
    <t xml:space="preserve">Alluda Juan Lopez / Agustin Lopez / Horacio Lopez </t>
  </si>
  <si>
    <t xml:space="preserve">Alluda Fabian Muñoz / Arturo Lopez </t>
  </si>
  <si>
    <r>
      <t xml:space="preserve">Unit cleaning 8:00 am </t>
    </r>
    <r>
      <rPr>
        <b/>
        <sz val="18"/>
        <color rgb="FFFF0000"/>
        <rFont val="Calibri"/>
        <family val="2"/>
      </rPr>
      <t xml:space="preserve">NOTE: </t>
    </r>
    <r>
      <rPr>
        <sz val="18"/>
        <color rgb="FFFF0000"/>
        <rFont val="Calibri"/>
        <family val="2"/>
      </rPr>
      <t>For access, please call Jonathan 862-387-9993 or Danny 646-508-3402</t>
    </r>
  </si>
  <si>
    <r>
      <t xml:space="preserve">Unit cleaning </t>
    </r>
    <r>
      <rPr>
        <b/>
        <sz val="22"/>
        <color rgb="FF00B050"/>
        <rFont val="Calibri"/>
        <family val="2"/>
      </rPr>
      <t>at 7:00 am ON TIME</t>
    </r>
    <r>
      <rPr>
        <sz val="18"/>
        <color rgb="FF00B050"/>
        <rFont val="Calibri"/>
        <family val="2"/>
      </rPr>
      <t xml:space="preserve"> </t>
    </r>
    <r>
      <rPr>
        <b/>
        <sz val="18"/>
        <color rgb="FF00B050"/>
        <rFont val="Calibri"/>
        <family val="2"/>
      </rPr>
      <t xml:space="preserve">NOTE: </t>
    </r>
    <r>
      <rPr>
        <sz val="18"/>
        <color rgb="FF00B050"/>
        <rFont val="Calibri"/>
        <family val="2"/>
      </rPr>
      <t>For access, please call Jonathan 862-387-9993 or Danny 646-508-3402</t>
    </r>
  </si>
  <si>
    <t xml:space="preserve">Cuxil Group Edgar Lool  / Sanai Pliability Alexander Polanco </t>
  </si>
  <si>
    <r>
      <t xml:space="preserve"> </t>
    </r>
    <r>
      <rPr>
        <b/>
        <sz val="18"/>
        <color rgb="FFFF0000"/>
        <rFont val="Calibri"/>
        <family val="2"/>
      </rPr>
      <t>Continue</t>
    </r>
    <r>
      <rPr>
        <sz val="18"/>
        <color rgb="FFFF0000"/>
        <rFont val="Calibri"/>
        <family val="2"/>
      </rPr>
      <t xml:space="preserve"> Full Renovation: Popcorn ceiling removal / renovation Bathroom / install kitchen backsplash / Paint entire unit incluiding ceiling </t>
    </r>
  </si>
  <si>
    <t xml:space="preserve">Sanai Piability </t>
  </si>
  <si>
    <t xml:space="preserve">Completed last day </t>
  </si>
  <si>
    <t xml:space="preserve">Cancelled by karan </t>
  </si>
  <si>
    <t xml:space="preserve">Cuxil Group </t>
  </si>
  <si>
    <t xml:space="preserve">Cuxil group  Demetrio Semeya </t>
  </si>
  <si>
    <r>
      <rPr>
        <b/>
        <sz val="18"/>
        <color rgb="FFFF0000"/>
        <rFont val="Calibri"/>
        <family val="2"/>
      </rPr>
      <t xml:space="preserve">Continue </t>
    </r>
    <r>
      <rPr>
        <sz val="18"/>
        <color rgb="FFFF0000"/>
        <rFont val="Calibri"/>
        <family val="2"/>
      </rPr>
      <t>Drywall Demo+Repairs: Demo drywall on ceiling to allow plumbing work.\ Size of the opening: 8 ft x 4 ft and 2 ft x 8 ft.\ Remove and save an existing door access panel.\ Once plumbing repairs are completed by others, install new drywall to seal the demo area.\ Tape, spackle, sand, and prime newly installed drywall.\ Paint repaired ceiling areas using flat white paint.\ Use property-provided paint to perform touch-up painting on walls as needed.</t>
    </r>
  </si>
  <si>
    <t xml:space="preserve">Cancelled Plumber working </t>
  </si>
  <si>
    <t xml:space="preserve">Cuxil Group / Sanai Plaibility Juan Garcia </t>
  </si>
  <si>
    <t xml:space="preserve">Sanai Plaibility Elmer Morales </t>
  </si>
  <si>
    <t xml:space="preserve">Cuxil Group David Pineda  / Sanai Pliability  Santiago Chanchavac / Luis Garcia </t>
  </si>
  <si>
    <t xml:space="preserve">Cancelled floor no ready </t>
  </si>
  <si>
    <t>Building H - 440</t>
  </si>
  <si>
    <t>Estimate 17400</t>
  </si>
  <si>
    <t>3 Handymen quoted</t>
  </si>
  <si>
    <t>Building H - 240</t>
  </si>
  <si>
    <t xml:space="preserve">Cuxil Group / Sanai Pliability  Eddy Cumes </t>
  </si>
  <si>
    <t xml:space="preserve">Cuxil Group / Sanai Pliability  Lorenzo Vaquiax </t>
  </si>
  <si>
    <t xml:space="preserve">Sanai Pliability Jairo Cuxil </t>
  </si>
  <si>
    <t>DVM 2 TECHS FOR BOTH UNITS</t>
  </si>
  <si>
    <r>
      <rPr>
        <b/>
        <sz val="18"/>
        <color rgb="FF00B050"/>
        <rFont val="Calibri"/>
        <family val="2"/>
      </rPr>
      <t xml:space="preserve">Durato Floor Installation: </t>
    </r>
    <r>
      <rPr>
        <sz val="18"/>
        <color rgb="FF00B050"/>
        <rFont val="Calibri"/>
        <family val="2"/>
      </rPr>
      <t>Remove and discard existing baseboard moldings. -Remove and discard existing Parquet floor. -Prep and perform minor subfloor repairs prior to new floor installation. -Perfrom leveling repairs to kitchen floor. -Provide and install 982 sqft. new Durato Vinyl floor throughout unit including kitchen.  -Provide and install 259 lnft. new baseboard moldings</t>
    </r>
  </si>
  <si>
    <t>Estimate 17430</t>
  </si>
  <si>
    <r>
      <rPr>
        <b/>
        <sz val="18"/>
        <color rgb="FF00B050"/>
        <rFont val="Calibri"/>
        <family val="2"/>
      </rPr>
      <t xml:space="preserve">Foyer Wall &amp; Ceiling Repairs:  </t>
    </r>
    <r>
      <rPr>
        <sz val="18"/>
        <color rgb="FF00B050"/>
        <rFont val="Calibri"/>
        <family val="2"/>
      </rPr>
      <t>-Provide all necessary labor, materials, and equipment to perform the work. -Seal existing opening at the lower right foyer wall. -Seal existing opening at the foyer ceiling.-Apply KILZ primer and plaster/patch as required.-Prepare and paint the repaired areas and foyer walls to match existing finish.  -Remove and dispose of work-related debris and leave work areas clean upon completion. at 8:00am Notes: -Property to provide paint.</t>
    </r>
  </si>
  <si>
    <r>
      <rPr>
        <b/>
        <sz val="18"/>
        <color rgb="FF00B050"/>
        <rFont val="Calibri"/>
        <family val="2"/>
      </rPr>
      <t>Foyer Wall &amp; Ceiling Repairs</t>
    </r>
    <r>
      <rPr>
        <sz val="18"/>
        <color rgb="FF00B050"/>
        <rFont val="Calibri"/>
        <family val="2"/>
      </rPr>
      <t>:   -Provide all necessary labor, materials, and equipment to perform the work.-Seal existing opening at the lower right foyer wall.  -Seal existing opening at the foyer ceiling. -Apply KILZ primer and plaster/patch as required. -Prepare and paint the repaired areas and foyer walls to match existing finish.  -Remove and dispose of work-related debris and leave work areas clean upon completion. at 8:00am Notes: -Property to provide paint.</t>
    </r>
  </si>
  <si>
    <r>
      <rPr>
        <b/>
        <sz val="18"/>
        <color rgb="FF00B050"/>
        <rFont val="Calibri"/>
        <family val="2"/>
      </rPr>
      <t>Mirror Replacement between 12:00 and 1:00 PM:</t>
    </r>
    <r>
      <rPr>
        <sz val="18"/>
        <color rgb="FF00B050"/>
        <rFont val="Calibri"/>
        <family val="2"/>
      </rPr>
      <t xml:space="preserve"> Carefully remove and dispose of the existing mirror in the master bathroom. \ Provide and install one (1) new bathroom mirror matching the existing opening. \ Mirror dimensions: 47” L x 53 7/8” W. \ Prepare the installation area as needed prior to installation. \ Securely install and properly align the new mirror.</t>
    </r>
  </si>
  <si>
    <t>Drywall Repair Work:  Laundry room repairs Note: The property will provide the paint, and BuildCare will provide the remaining materials required for the repairs.</t>
  </si>
  <si>
    <t>DVM 2 TECHS FOR 5 units</t>
  </si>
  <si>
    <t>1030 N American</t>
  </si>
  <si>
    <t>Drywall Repair Work: Ceiling repairs Note: The property will provide the paint, and BuildCare will provide the remaining materials required for the repairs.</t>
  </si>
  <si>
    <t>230 W George</t>
  </si>
  <si>
    <t>224 W George</t>
  </si>
  <si>
    <t>Drywall Repair Work: Wall and ceiling repairs Note: The property will provide the paint, and BuildCare will provide the remaining materials required for the repairs.</t>
  </si>
  <si>
    <t>Drywall Repair Work: Extensive drywall repairs, including the full bedroom ceiling and portions of the walls  Note: The property will provide the paint, and BuildCare will provide the remaining materials required for the repairs.</t>
  </si>
  <si>
    <t>Drywall Repair Work: Ceiling repairs / This unit had an additional leak from the rain. so we will need some additional drywall removal in there as well.Note: The property will provide the paint, and BuildCare will provide the remaining materials required for the repairs.</t>
  </si>
  <si>
    <t xml:space="preserve">Unit Cleaning after repair after 2pm last minute request assigned by Carlos </t>
  </si>
  <si>
    <r>
      <t xml:space="preserve">Unit Cleaning after repair after 2pm </t>
    </r>
    <r>
      <rPr>
        <b/>
        <sz val="18"/>
        <color rgb="FFFF0000"/>
        <rFont val="Calibri"/>
        <family val="2"/>
      </rPr>
      <t>/ Last minute request assigned by Carlos Perez</t>
    </r>
  </si>
  <si>
    <t xml:space="preserve">Cancelled by Tenant </t>
  </si>
  <si>
    <t>Continue Make opening in bedroom ceiling to try to determine where leak is coming from once repaired, close opening, plaster, sand and paint ceiling at  9am The building will provide the paint Bc to provide all other materials and labor needed to complete the job.   For access, please call Christian 201-705-0879 or Alex 201-713-8719</t>
  </si>
  <si>
    <t xml:space="preserve">Kahrs Floor Repair 25 sqft </t>
  </si>
  <si>
    <t>Come back to close it up , tape. Spackle, sand, prime, and paint the damaged areas. At 9:00am 
Requested by Ian:+1 (201) 467-9749
Build care provides all, property provides the paint.</t>
  </si>
  <si>
    <t>520 / 515 / 720</t>
  </si>
  <si>
    <t>MANAGEMENT (Inmobiliaria)</t>
  </si>
  <si>
    <t>BC CLERK (Persona de Buildcare que hace la factura)</t>
  </si>
  <si>
    <t>BUILDING / ADDRESS (Nombre y dirección del edificio)</t>
  </si>
  <si>
    <t>UNIT / AREA (número apartamento - área edificio)</t>
  </si>
  <si>
    <t>SIZE  (tamaño del apartamento)</t>
  </si>
  <si>
    <t>WORKSITE STATUS (Estado del inmueble)</t>
  </si>
  <si>
    <t>JOB AWARDED TO: / TECHS QUANTITY: (Nombre de la compañía y trabajador de la compañía)</t>
  </si>
  <si>
    <t>REQUEST / P.O / WTN / W.O (Por dónde se pidió)</t>
  </si>
  <si>
    <t>BC WORK ORDER / BC ESTIMATE (Cotizaciones)</t>
  </si>
  <si>
    <t>VENDORS DAILY STATUS REPORT (Continúa o no el trabajo)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</si>
</sst>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sz val="28"/>
      <name val="Calibri"/>
      <family val="2"/>
    </font>
    <font>
      <sz val="18"/>
      <name val="Calibri"/>
      <family val="2"/>
    </font>
    <font>
      <sz val="20"/>
      <name val="Calibri"/>
      <family val="2"/>
    </font>
    <font>
      <b/>
      <sz val="22"/>
      <name val="Calibri"/>
      <family val="2"/>
    </font>
    <font>
      <b/>
      <sz val="20"/>
      <name val="Calibri"/>
      <family val="2"/>
    </font>
    <font>
      <b/>
      <sz val="18"/>
      <name val="Calibri"/>
      <family val="2"/>
    </font>
    <font>
      <sz val="18"/>
      <name val="Calibri (Body)"/>
    </font>
    <font>
      <sz val="18"/>
      <color rgb="FF00B050"/>
      <name val="Calibri"/>
      <family val="2"/>
      <scheme val="minor"/>
    </font>
    <font>
      <sz val="18"/>
      <color rgb="FF00B050"/>
      <name val="Calibri (Body)"/>
    </font>
    <font>
      <sz val="18"/>
      <color rgb="FF00B050"/>
      <name val="Calibri"/>
      <family val="2"/>
    </font>
    <font>
      <sz val="18"/>
      <color rgb="FFFF0000"/>
      <name val="Calibri"/>
      <family val="2"/>
    </font>
    <font>
      <sz val="8"/>
      <name val="Calibri"/>
      <family val="2"/>
      <scheme val="minor"/>
    </font>
    <font>
      <sz val="18"/>
      <color rgb="FF7030A0"/>
      <name val="Calibri"/>
      <family val="2"/>
    </font>
    <font>
      <sz val="20"/>
      <name val="Calibri"/>
      <family val="2"/>
      <scheme val="minor"/>
    </font>
    <font>
      <b/>
      <sz val="20"/>
      <name val="Calibri"/>
      <family val="2"/>
      <scheme val="minor"/>
    </font>
    <font>
      <sz val="18"/>
      <color rgb="FFFFC000"/>
      <name val="Calibri"/>
      <family val="2"/>
    </font>
    <font>
      <sz val="18"/>
      <color rgb="FFFFFF00"/>
      <name val="Calibri"/>
      <family val="2"/>
    </font>
    <font>
      <b/>
      <sz val="16"/>
      <name val="Calibri"/>
      <family val="2"/>
    </font>
    <font>
      <sz val="18"/>
      <name val="Calibri"/>
      <family val="2"/>
      <scheme val="minor"/>
    </font>
    <font>
      <b/>
      <sz val="14"/>
      <name val="Calibri"/>
      <family val="2"/>
    </font>
    <font>
      <sz val="20"/>
      <color rgb="FF00B050"/>
      <name val="Calibri (Body)"/>
    </font>
    <font>
      <b/>
      <sz val="36"/>
      <name val="Calibri"/>
      <family val="2"/>
    </font>
    <font>
      <sz val="16"/>
      <name val="Calibri"/>
      <family val="2"/>
    </font>
    <font>
      <b/>
      <sz val="18"/>
      <name val="Calibri"/>
      <family val="2"/>
      <scheme val="minor"/>
    </font>
    <font>
      <sz val="18"/>
      <color theme="1"/>
      <name val="Calibri Light"/>
      <family val="2"/>
      <scheme val="major"/>
    </font>
    <font>
      <sz val="18"/>
      <color theme="1"/>
      <name val="Calibri"/>
      <family val="2"/>
    </font>
    <font>
      <b/>
      <sz val="18"/>
      <color rgb="FF00B050"/>
      <name val="Calibri"/>
      <family val="2"/>
    </font>
    <font>
      <sz val="18"/>
      <color rgb="FF0070C0"/>
      <name val="Calibri"/>
      <family val="2"/>
    </font>
    <font>
      <sz val="20"/>
      <name val="Calibri (Body)"/>
    </font>
    <font>
      <sz val="18"/>
      <color rgb="FFFF0000"/>
      <name val="Calibri (Body)"/>
    </font>
    <font>
      <b/>
      <sz val="18"/>
      <color rgb="FF00B050"/>
      <name val="Calibri (Body)"/>
    </font>
    <font>
      <sz val="18"/>
      <color rgb="FF7030A0"/>
      <name val="Calibri"/>
      <family val="2"/>
      <scheme val="minor"/>
    </font>
    <font>
      <sz val="20"/>
      <color rgb="FF00B050"/>
      <name val="Calibri"/>
      <family val="2"/>
    </font>
    <font>
      <b/>
      <sz val="18"/>
      <color rgb="FFFF0000"/>
      <name val="Calibri"/>
      <family val="2"/>
    </font>
    <font>
      <sz val="18"/>
      <name val="Calibri"/>
      <family val="2"/>
    </font>
    <font>
      <b/>
      <sz val="18"/>
      <name val="Calibri"/>
      <family val="2"/>
    </font>
    <font>
      <b/>
      <sz val="16"/>
      <name val="Calibri"/>
      <family val="2"/>
    </font>
    <font>
      <sz val="18"/>
      <color rgb="FF00B050"/>
      <name val="Calibri"/>
      <family val="2"/>
    </font>
    <font>
      <sz val="18"/>
      <color rgb="FF7030A0"/>
      <name val="Calibri"/>
      <family val="2"/>
    </font>
    <font>
      <b/>
      <sz val="18"/>
      <name val="Calibri (Body)"/>
    </font>
    <font>
      <b/>
      <sz val="24"/>
      <color rgb="FF00B050"/>
      <name val="Calibri"/>
      <family val="2"/>
    </font>
    <font>
      <b/>
      <sz val="18"/>
      <color rgb="FF00B050"/>
      <name val="Calibri"/>
      <family val="2"/>
      <scheme val="minor"/>
    </font>
    <font>
      <b/>
      <sz val="16"/>
      <color rgb="FF00B050"/>
      <name val="Calibri"/>
      <family val="2"/>
    </font>
    <font>
      <sz val="16"/>
      <color rgb="FF00B050"/>
      <name val="Calibri"/>
      <family val="2"/>
    </font>
    <font>
      <b/>
      <sz val="22"/>
      <color rgb="FFFF0000"/>
      <name val="Calibri"/>
      <family val="2"/>
    </font>
    <font>
      <b/>
      <sz val="22"/>
      <color rgb="FF00B050"/>
      <name val="Calibri"/>
      <family val="2"/>
    </font>
  </fonts>
  <fills count="17">
    <fill>
      <patternFill patternType="none"/>
    </fill>
    <fill>
      <patternFill patternType="gray125"/>
    </fill>
    <fill>
      <patternFill patternType="solid">
        <fgColor theme="0" tint="-0.249977111117893"/>
        <bgColor indexed="64"/>
      </patternFill>
    </fill>
    <fill>
      <patternFill patternType="solid">
        <fgColor rgb="FF00B0F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0B050"/>
        <bgColor indexed="64"/>
      </patternFill>
    </fill>
    <fill>
      <patternFill patternType="solid">
        <fgColor rgb="FF7030A0"/>
        <bgColor indexed="64"/>
      </patternFill>
    </fill>
    <fill>
      <patternFill patternType="solid">
        <fgColor rgb="FFFF0000"/>
        <bgColor indexed="64"/>
      </patternFill>
    </fill>
    <fill>
      <patternFill patternType="solid">
        <fgColor theme="1"/>
        <bgColor indexed="64"/>
      </patternFill>
    </fill>
    <fill>
      <patternFill patternType="solid">
        <fgColor theme="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horizontal="center" vertical="center" wrapText="1"/>
    </xf>
    <xf numFmtId="0" fontId="2" fillId="0" borderId="0" xfId="0" applyFont="1"/>
    <xf numFmtId="0" fontId="2" fillId="0" borderId="0" xfId="0" applyFont="1" applyAlignment="1">
      <alignment horizontal="center" vertical="center"/>
    </xf>
    <xf numFmtId="0" fontId="6" fillId="4" borderId="1" xfId="0" applyFont="1" applyFill="1" applyBorder="1" applyAlignment="1">
      <alignment horizontal="center" vertical="center" wrapText="1"/>
    </xf>
    <xf numFmtId="0" fontId="7" fillId="0" borderId="0" xfId="0" applyFont="1"/>
    <xf numFmtId="0" fontId="10" fillId="0" borderId="1" xfId="0" applyFont="1" applyBorder="1" applyAlignment="1">
      <alignment horizontal="center" vertical="center" wrapText="1"/>
    </xf>
    <xf numFmtId="0" fontId="7" fillId="0" borderId="0" xfId="0" applyFont="1" applyAlignment="1">
      <alignment wrapText="1"/>
    </xf>
    <xf numFmtId="0" fontId="9" fillId="0" borderId="1" xfId="0" applyFont="1" applyBorder="1" applyAlignment="1">
      <alignment horizontal="center" vertical="center" wrapText="1"/>
    </xf>
    <xf numFmtId="0" fontId="10" fillId="0" borderId="0" xfId="0" applyFont="1"/>
    <xf numFmtId="0" fontId="8" fillId="0" borderId="1"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xf>
    <xf numFmtId="0" fontId="10" fillId="0" borderId="0" xfId="0" applyFont="1" applyAlignment="1">
      <alignment horizontal="center" vertical="center" wrapText="1"/>
    </xf>
    <xf numFmtId="0" fontId="9" fillId="0" borderId="0" xfId="0" applyFont="1" applyAlignment="1">
      <alignment horizontal="center" vertical="center" wrapText="1"/>
    </xf>
    <xf numFmtId="0" fontId="3" fillId="0" borderId="0" xfId="0" applyFont="1" applyAlignment="1">
      <alignment horizontal="center" vertical="center" wrapText="1"/>
    </xf>
    <xf numFmtId="0" fontId="5" fillId="3" borderId="0" xfId="0" applyFont="1" applyFill="1" applyAlignment="1">
      <alignment horizontal="center" vertical="center" wrapText="1"/>
    </xf>
    <xf numFmtId="0" fontId="15" fillId="0" borderId="0" xfId="0" applyFont="1" applyAlignment="1">
      <alignment vertical="center"/>
    </xf>
    <xf numFmtId="0" fontId="4" fillId="5" borderId="0" xfId="0" applyFont="1" applyFill="1" applyAlignment="1">
      <alignment horizontal="center" vertical="center" wrapText="1"/>
    </xf>
    <xf numFmtId="0" fontId="15" fillId="0" borderId="0" xfId="0" applyFont="1" applyAlignment="1">
      <alignment horizontal="left" vertical="center"/>
    </xf>
    <xf numFmtId="0" fontId="9" fillId="6" borderId="2"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2" fillId="7" borderId="0" xfId="0" applyFont="1" applyFill="1"/>
    <xf numFmtId="0" fontId="2" fillId="8" borderId="0" xfId="0" applyFont="1" applyFill="1"/>
    <xf numFmtId="0" fontId="2" fillId="9" borderId="0" xfId="0" applyFont="1" applyFill="1"/>
    <xf numFmtId="0" fontId="2" fillId="6" borderId="0" xfId="0" applyFont="1" applyFill="1"/>
    <xf numFmtId="0" fontId="16" fillId="0" borderId="0" xfId="0" applyFont="1" applyAlignment="1">
      <alignment horizontal="left"/>
    </xf>
    <xf numFmtId="0" fontId="17" fillId="0" borderId="0" xfId="0" applyFont="1" applyAlignment="1">
      <alignment horizontal="left"/>
    </xf>
    <xf numFmtId="0" fontId="2" fillId="0" borderId="0" xfId="0" applyFont="1" applyAlignment="1">
      <alignment horizontal="left"/>
    </xf>
    <xf numFmtId="0" fontId="2" fillId="10" borderId="0" xfId="0" applyFont="1" applyFill="1"/>
    <xf numFmtId="0" fontId="1" fillId="2" borderId="0" xfId="0" applyFont="1" applyFill="1" applyAlignment="1">
      <alignment horizontal="center" vertical="center" wrapText="1"/>
    </xf>
    <xf numFmtId="0" fontId="5" fillId="3" borderId="0" xfId="0" applyFont="1" applyFill="1" applyAlignment="1">
      <alignment vertical="center"/>
    </xf>
    <xf numFmtId="0" fontId="4" fillId="5" borderId="0" xfId="0" applyFont="1" applyFill="1" applyAlignment="1">
      <alignment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0" fillId="0" borderId="0" xfId="0" applyAlignment="1">
      <alignment horizontal="center" vertical="center"/>
    </xf>
    <xf numFmtId="0" fontId="18" fillId="4" borderId="1"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10" fillId="0" borderId="3" xfId="0" applyFont="1" applyBorder="1" applyAlignment="1">
      <alignment horizontal="center" vertical="center" wrapText="1"/>
    </xf>
    <xf numFmtId="0" fontId="9" fillId="0" borderId="0" xfId="0" applyFont="1" applyAlignment="1">
      <alignment vertical="center" wrapText="1"/>
    </xf>
    <xf numFmtId="0" fontId="9" fillId="0" borderId="0" xfId="0" applyFont="1" applyAlignment="1">
      <alignment vertical="center"/>
    </xf>
    <xf numFmtId="0" fontId="5" fillId="14" borderId="0" xfId="0" applyFont="1" applyFill="1" applyAlignment="1">
      <alignment vertical="center"/>
    </xf>
    <xf numFmtId="0" fontId="5" fillId="14" borderId="0" xfId="0" applyFont="1" applyFill="1" applyAlignment="1">
      <alignment horizontal="center" vertical="center" wrapText="1"/>
    </xf>
    <xf numFmtId="0" fontId="1" fillId="2" borderId="0" xfId="0" applyFont="1" applyFill="1" applyAlignment="1">
      <alignment wrapText="1"/>
    </xf>
    <xf numFmtId="0" fontId="15" fillId="0" borderId="0" xfId="0" applyFont="1" applyAlignment="1">
      <alignment vertical="center" wrapText="1"/>
    </xf>
    <xf numFmtId="0" fontId="24" fillId="4" borderId="3"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xf numFmtId="0" fontId="10" fillId="0" borderId="0" xfId="0" applyFont="1" applyAlignment="1">
      <alignment vertical="center" wrapText="1"/>
    </xf>
    <xf numFmtId="0" fontId="10" fillId="0" borderId="0" xfId="0" applyFont="1" applyAlignment="1">
      <alignment vertical="center"/>
    </xf>
    <xf numFmtId="0" fontId="10" fillId="6"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6" fillId="0" borderId="7" xfId="0" applyFont="1" applyBorder="1" applyAlignment="1">
      <alignment horizontal="center" vertical="center"/>
    </xf>
    <xf numFmtId="0" fontId="26" fillId="13" borderId="7" xfId="0" applyFont="1" applyFill="1" applyBorder="1" applyAlignment="1">
      <alignment horizontal="center" vertical="center"/>
    </xf>
    <xf numFmtId="0" fontId="26" fillId="12" borderId="6" xfId="0" applyFont="1" applyFill="1" applyBorder="1" applyAlignment="1">
      <alignment horizontal="center" vertical="center"/>
    </xf>
    <xf numFmtId="0" fontId="26" fillId="6" borderId="6" xfId="0" applyFont="1" applyFill="1" applyBorder="1" applyAlignment="1">
      <alignment horizontal="center" vertical="center"/>
    </xf>
    <xf numFmtId="0" fontId="26" fillId="13" borderId="6" xfId="0" applyFont="1" applyFill="1" applyBorder="1" applyAlignment="1">
      <alignment horizontal="center" vertical="center"/>
    </xf>
    <xf numFmtId="0" fontId="2" fillId="15" borderId="7" xfId="0" applyFont="1" applyFill="1" applyBorder="1" applyAlignment="1">
      <alignment horizontal="center" vertical="center" wrapText="1"/>
    </xf>
    <xf numFmtId="0" fontId="26" fillId="12" borderId="1" xfId="0" applyFont="1" applyFill="1" applyBorder="1" applyAlignment="1">
      <alignment horizontal="center" vertical="center"/>
    </xf>
    <xf numFmtId="0" fontId="26" fillId="6" borderId="7" xfId="0" applyFont="1" applyFill="1" applyBorder="1" applyAlignment="1">
      <alignment horizontal="center" vertical="center"/>
    </xf>
    <xf numFmtId="0" fontId="26" fillId="13" borderId="7" xfId="0" applyFont="1" applyFill="1" applyBorder="1" applyAlignment="1">
      <alignment horizontal="center" vertical="center" wrapText="1"/>
    </xf>
    <xf numFmtId="0" fontId="26" fillId="13" borderId="8" xfId="0" applyFont="1" applyFill="1" applyBorder="1" applyAlignment="1">
      <alignment horizontal="center" vertical="center" wrapText="1"/>
    </xf>
    <xf numFmtId="0" fontId="2" fillId="0" borderId="4" xfId="0" applyFont="1" applyBorder="1" applyAlignment="1">
      <alignment horizontal="center" vertical="center" wrapText="1"/>
    </xf>
    <xf numFmtId="0" fontId="26" fillId="13" borderId="8" xfId="0" applyFont="1" applyFill="1" applyBorder="1" applyAlignment="1">
      <alignment horizontal="center" vertical="center"/>
    </xf>
    <xf numFmtId="0" fontId="26" fillId="12" borderId="7" xfId="0" applyFont="1" applyFill="1" applyBorder="1" applyAlignment="1">
      <alignment horizontal="center" vertical="center"/>
    </xf>
    <xf numFmtId="0" fontId="26" fillId="0" borderId="6" xfId="0" applyFont="1" applyBorder="1" applyAlignment="1">
      <alignment horizontal="center" vertical="center"/>
    </xf>
    <xf numFmtId="0" fontId="2" fillId="15" borderId="1" xfId="0" applyFont="1" applyFill="1" applyBorder="1" applyAlignment="1">
      <alignment horizontal="center" vertical="center" wrapText="1"/>
    </xf>
    <xf numFmtId="0" fontId="2" fillId="15" borderId="6" xfId="0" applyFont="1" applyFill="1" applyBorder="1" applyAlignment="1">
      <alignment horizontal="center" vertical="center" wrapText="1"/>
    </xf>
    <xf numFmtId="0" fontId="26" fillId="13" borderId="1" xfId="0" applyFont="1" applyFill="1" applyBorder="1" applyAlignment="1">
      <alignment horizontal="center" vertical="center"/>
    </xf>
    <xf numFmtId="0" fontId="2" fillId="0" borderId="1" xfId="0" applyFont="1" applyBorder="1"/>
    <xf numFmtId="0" fontId="26" fillId="9" borderId="7" xfId="0" applyFont="1" applyFill="1" applyBorder="1" applyAlignment="1">
      <alignment horizontal="center" vertical="center"/>
    </xf>
    <xf numFmtId="0" fontId="2" fillId="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0" fontId="28" fillId="0" borderId="0" xfId="0" applyFont="1" applyAlignment="1">
      <alignment vertical="center" wrapText="1"/>
    </xf>
    <xf numFmtId="0" fontId="28" fillId="0" borderId="0" xfId="0" applyFont="1" applyAlignment="1">
      <alignment vertical="center"/>
    </xf>
    <xf numFmtId="0" fontId="6"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9" xfId="0" applyFont="1" applyBorder="1" applyAlignment="1">
      <alignment horizontal="center" vertical="center" wrapText="1"/>
    </xf>
    <xf numFmtId="0" fontId="30" fillId="0" borderId="0" xfId="0" applyFont="1" applyAlignment="1">
      <alignment horizontal="center" vertical="center" wrapText="1"/>
    </xf>
    <xf numFmtId="0" fontId="30" fillId="0" borderId="0" xfId="0" applyFont="1"/>
    <xf numFmtId="0" fontId="19" fillId="0" borderId="1"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0" xfId="0" applyFont="1" applyAlignment="1">
      <alignment horizontal="center" vertical="center" wrapText="1"/>
    </xf>
    <xf numFmtId="0" fontId="19" fillId="0" borderId="0" xfId="0" applyFont="1"/>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0" fontId="11" fillId="0" borderId="0" xfId="0" applyFont="1"/>
    <xf numFmtId="0" fontId="32" fillId="0" borderId="1" xfId="0" applyFont="1" applyBorder="1" applyAlignment="1">
      <alignment horizontal="center" vertical="center" wrapText="1"/>
    </xf>
    <xf numFmtId="0" fontId="33" fillId="0" borderId="0" xfId="0" applyFont="1" applyAlignment="1">
      <alignment horizontal="center" vertical="center" wrapText="1"/>
    </xf>
    <xf numFmtId="0" fontId="33" fillId="0" borderId="0" xfId="0" applyFont="1" applyAlignment="1">
      <alignment vertical="center" wrapText="1"/>
    </xf>
    <xf numFmtId="0" fontId="33" fillId="0" borderId="0" xfId="0" applyFont="1" applyAlignment="1">
      <alignment vertical="center"/>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19" fillId="0" borderId="0" xfId="0" applyFont="1" applyAlignment="1">
      <alignment vertical="center" wrapText="1"/>
    </xf>
    <xf numFmtId="0" fontId="19" fillId="0" borderId="0" xfId="0" applyFont="1" applyAlignment="1">
      <alignment vertical="center"/>
    </xf>
    <xf numFmtId="0" fontId="35" fillId="0" borderId="0" xfId="0" applyFont="1" applyAlignment="1">
      <alignment horizontal="center" vertical="center" wrapText="1"/>
    </xf>
    <xf numFmtId="0" fontId="35" fillId="0" borderId="0" xfId="0" applyFont="1"/>
    <xf numFmtId="0" fontId="35" fillId="0" borderId="0" xfId="0" applyFont="1" applyAlignment="1">
      <alignment horizontal="center" vertical="center"/>
    </xf>
    <xf numFmtId="0" fontId="36" fillId="4" borderId="1" xfId="0" applyFont="1" applyFill="1" applyBorder="1" applyAlignment="1">
      <alignment horizontal="center" vertical="center" wrapText="1"/>
    </xf>
    <xf numFmtId="0" fontId="37" fillId="4" borderId="1" xfId="0" applyFont="1" applyFill="1" applyBorder="1" applyAlignment="1">
      <alignment horizontal="center" vertical="center" wrapText="1"/>
    </xf>
    <xf numFmtId="0" fontId="35" fillId="0" borderId="1" xfId="0" applyFont="1" applyBorder="1" applyAlignment="1">
      <alignment horizontal="center" vertical="center" wrapText="1"/>
    </xf>
    <xf numFmtId="0" fontId="19" fillId="6" borderId="9" xfId="0" applyFont="1" applyFill="1" applyBorder="1" applyAlignment="1">
      <alignment horizontal="center" vertical="center" wrapText="1"/>
    </xf>
    <xf numFmtId="0" fontId="11" fillId="0" borderId="0" xfId="0" applyFont="1" applyAlignment="1">
      <alignment vertical="center" wrapText="1"/>
    </xf>
    <xf numFmtId="0" fontId="11" fillId="0" borderId="0" xfId="0" applyFont="1" applyAlignment="1">
      <alignment vertical="center"/>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9" xfId="0" applyFont="1" applyBorder="1" applyAlignment="1">
      <alignment horizontal="center" vertical="center" wrapText="1"/>
    </xf>
    <xf numFmtId="0" fontId="7" fillId="0" borderId="0" xfId="0" applyFont="1" applyAlignment="1">
      <alignment vertical="center" wrapText="1"/>
    </xf>
    <xf numFmtId="0" fontId="7" fillId="0" borderId="0" xfId="0" applyFont="1" applyAlignme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0" fontId="8" fillId="0" borderId="0" xfId="0" applyFont="1" applyAlignment="1">
      <alignment vertical="center"/>
    </xf>
    <xf numFmtId="0" fontId="42"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13" fillId="0" borderId="0" xfId="0" applyFont="1" applyAlignment="1">
      <alignment horizontal="center" vertical="center" wrapText="1"/>
    </xf>
    <xf numFmtId="0" fontId="13" fillId="0" borderId="0" xfId="0" applyFont="1"/>
    <xf numFmtId="0" fontId="15" fillId="0" borderId="0" xfId="0" applyFont="1" applyAlignment="1">
      <alignment horizontal="left" vertical="center"/>
    </xf>
    <xf numFmtId="0" fontId="4" fillId="5" borderId="0" xfId="0" applyFont="1" applyFill="1" applyAlignment="1">
      <alignment horizontal="center" vertical="center" wrapText="1"/>
    </xf>
    <xf numFmtId="0" fontId="5" fillId="3" borderId="0" xfId="0" applyFont="1" applyFill="1" applyAlignment="1">
      <alignment horizontal="center" vertical="center"/>
    </xf>
    <xf numFmtId="0" fontId="5" fillId="14" borderId="0" xfId="0" applyFont="1" applyFill="1" applyAlignment="1">
      <alignment horizontal="center" vertical="center"/>
    </xf>
    <xf numFmtId="0" fontId="1" fillId="2" borderId="0" xfId="0" applyFont="1" applyFill="1" applyAlignment="1">
      <alignment horizontal="center" wrapText="1"/>
    </xf>
    <xf numFmtId="0" fontId="15" fillId="0" borderId="0" xfId="0" applyFont="1" applyAlignment="1">
      <alignment horizontal="left" vertical="center" wrapText="1"/>
    </xf>
    <xf numFmtId="0" fontId="1" fillId="2" borderId="0" xfId="0" applyFont="1" applyFill="1" applyAlignment="1">
      <alignment horizontal="center" vertical="center" wrapText="1"/>
    </xf>
    <xf numFmtId="0" fontId="2" fillId="9" borderId="0" xfId="0" applyFont="1" applyFill="1" applyAlignment="1">
      <alignment horizontal="center"/>
    </xf>
    <xf numFmtId="0" fontId="11" fillId="0" borderId="0" xfId="0" applyFont="1" applyAlignment="1">
      <alignment horizontal="left"/>
    </xf>
    <xf numFmtId="0" fontId="2" fillId="6" borderId="0" xfId="0" applyFont="1" applyFill="1" applyAlignment="1">
      <alignment horizontal="center"/>
    </xf>
    <xf numFmtId="0" fontId="2" fillId="10" borderId="0" xfId="0" applyFont="1" applyFill="1" applyAlignment="1">
      <alignment horizontal="center"/>
    </xf>
    <xf numFmtId="0" fontId="2" fillId="7" borderId="0" xfId="0" applyFont="1" applyFill="1" applyAlignment="1">
      <alignment horizontal="center"/>
    </xf>
    <xf numFmtId="0" fontId="10" fillId="0" borderId="0" xfId="0" applyFont="1" applyAlignment="1">
      <alignment horizontal="left"/>
    </xf>
    <xf numFmtId="0" fontId="2" fillId="8" borderId="0" xfId="0" applyFont="1" applyFill="1" applyAlignment="1">
      <alignment horizontal="center"/>
    </xf>
    <xf numFmtId="0" fontId="13" fillId="0" borderId="0" xfId="0" applyFont="1" applyAlignment="1">
      <alignment horizontal="left"/>
    </xf>
    <xf numFmtId="0" fontId="2" fillId="0" borderId="0" xfId="0" applyFont="1" applyAlignment="1">
      <alignment horizontal="left"/>
    </xf>
    <xf numFmtId="0" fontId="2" fillId="11" borderId="1" xfId="0" applyFont="1" applyFill="1" applyBorder="1" applyAlignment="1">
      <alignment horizontal="center" vertical="center" wrapText="1"/>
    </xf>
    <xf numFmtId="0" fontId="22" fillId="2" borderId="0" xfId="0" applyFont="1" applyFill="1" applyAlignment="1">
      <alignment horizontal="center" vertical="center" wrapText="1"/>
    </xf>
    <xf numFmtId="0" fontId="2" fillId="11" borderId="1" xfId="0" applyFont="1" applyFill="1" applyBorder="1" applyAlignment="1">
      <alignment horizontal="center" vertical="center"/>
    </xf>
    <xf numFmtId="0" fontId="2" fillId="11" borderId="5" xfId="0" applyFont="1" applyFill="1" applyBorder="1" applyAlignment="1">
      <alignment horizontal="center" vertical="center" wrapText="1"/>
    </xf>
    <xf numFmtId="0" fontId="2" fillId="11" borderId="0" xfId="0" applyFont="1" applyFill="1" applyAlignment="1">
      <alignment horizontal="center" vertical="center" wrapText="1"/>
    </xf>
    <xf numFmtId="0" fontId="19" fillId="11" borderId="1" xfId="0" applyFont="1" applyFill="1" applyBorder="1" applyAlignment="1">
      <alignment horizontal="center" vertical="center" wrapText="1"/>
    </xf>
    <xf numFmtId="0" fontId="23" fillId="11"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B7457-97C0-A04A-A95A-5FF1F2A79554}">
  <sheetPr>
    <pageSetUpPr fitToPage="1"/>
  </sheetPr>
  <dimension ref="A1:T248"/>
  <sheetViews>
    <sheetView topLeftCell="A69" zoomScale="60" zoomScaleNormal="60" workbookViewId="0">
      <selection activeCell="B71" sqref="B71"/>
    </sheetView>
  </sheetViews>
  <sheetFormatPr baseColWidth="10" defaultColWidth="10.83203125" defaultRowHeight="23.5"/>
  <cols>
    <col min="1" max="1" width="8" style="2" customWidth="1"/>
    <col min="2" max="2" width="27.33203125" style="2" customWidth="1"/>
    <col min="3" max="3" width="9.5" style="2" customWidth="1"/>
    <col min="4" max="4" width="43.83203125" style="2" customWidth="1"/>
    <col min="5" max="7" width="18.83203125" style="2" customWidth="1"/>
    <col min="8" max="8" width="153.33203125" style="2" customWidth="1"/>
    <col min="9" max="9" width="40.83203125" style="2" customWidth="1"/>
    <col min="10" max="10" width="24.5" style="3" bestFit="1" customWidth="1"/>
    <col min="11" max="12" width="23.1640625" style="3" customWidth="1"/>
    <col min="13" max="13" width="40.83203125" style="2" customWidth="1"/>
    <col min="14" max="14" width="22.83203125" style="3" customWidth="1"/>
    <col min="15" max="17" width="27.1640625" style="1" customWidth="1"/>
    <col min="18" max="16384" width="10.83203125" style="2"/>
  </cols>
  <sheetData>
    <row r="1" spans="1:20" s="1" customFormat="1" ht="36">
      <c r="A1" s="129" t="s">
        <v>0</v>
      </c>
      <c r="B1" s="129"/>
      <c r="C1" s="129"/>
      <c r="D1" s="129"/>
      <c r="E1" s="129"/>
      <c r="F1" s="129"/>
      <c r="G1" s="129"/>
      <c r="H1" s="129"/>
      <c r="I1" s="129"/>
      <c r="J1" s="129"/>
      <c r="K1" s="129"/>
      <c r="L1" s="129"/>
      <c r="M1" s="129"/>
      <c r="N1" s="32"/>
    </row>
    <row r="2" spans="1:20" s="1" customFormat="1"/>
    <row r="3" spans="1:20" s="1" customFormat="1" ht="26">
      <c r="A3" s="125" t="s">
        <v>1</v>
      </c>
      <c r="B3" s="125"/>
      <c r="C3" s="125"/>
      <c r="D3" s="125"/>
      <c r="E3" s="125"/>
      <c r="F3" s="125"/>
      <c r="G3" s="125"/>
      <c r="H3" s="125"/>
      <c r="I3" s="125"/>
      <c r="J3" s="125"/>
      <c r="K3" s="125"/>
      <c r="L3" s="125"/>
      <c r="M3" s="15"/>
      <c r="N3" s="15"/>
    </row>
    <row r="4" spans="1:20" s="1" customFormat="1" ht="26">
      <c r="A4" s="130" t="s">
        <v>2</v>
      </c>
      <c r="B4" s="130"/>
      <c r="C4" s="130"/>
      <c r="D4" s="130"/>
      <c r="E4" s="130"/>
      <c r="F4" s="130"/>
      <c r="G4" s="130"/>
      <c r="H4" s="130"/>
      <c r="I4" s="130"/>
      <c r="J4" s="130"/>
      <c r="K4" s="130"/>
      <c r="L4" s="130"/>
      <c r="M4" s="15"/>
      <c r="N4" s="15"/>
    </row>
    <row r="5" spans="1:20" s="1" customFormat="1" ht="26">
      <c r="A5" s="130" t="s">
        <v>1113</v>
      </c>
      <c r="B5" s="130"/>
      <c r="C5" s="130"/>
      <c r="D5" s="130"/>
      <c r="E5" s="130"/>
      <c r="F5" s="130"/>
      <c r="G5" s="130"/>
      <c r="H5" s="130"/>
      <c r="I5" s="130"/>
      <c r="J5" s="130"/>
      <c r="K5" s="130"/>
      <c r="L5" s="130"/>
      <c r="M5" s="15"/>
      <c r="N5" s="15"/>
    </row>
    <row r="6" spans="1:20" s="1" customFormat="1" ht="26">
      <c r="A6" s="125" t="s">
        <v>4</v>
      </c>
      <c r="B6" s="125"/>
      <c r="C6" s="125"/>
      <c r="D6" s="125"/>
      <c r="E6" s="125"/>
      <c r="F6" s="125"/>
      <c r="G6" s="125"/>
      <c r="H6" s="125"/>
      <c r="I6" s="125"/>
      <c r="J6" s="125"/>
      <c r="K6" s="125"/>
      <c r="L6" s="125"/>
      <c r="M6" s="15"/>
      <c r="N6" s="15"/>
    </row>
    <row r="7" spans="1:20" s="1" customFormat="1" ht="26">
      <c r="A7" s="125" t="s">
        <v>1298</v>
      </c>
      <c r="B7" s="125"/>
      <c r="C7" s="125"/>
      <c r="D7" s="125"/>
      <c r="E7" s="125"/>
      <c r="F7" s="125"/>
      <c r="G7" s="125"/>
      <c r="H7" s="125"/>
      <c r="I7" s="125"/>
      <c r="J7" s="125"/>
      <c r="K7" s="125"/>
      <c r="L7" s="125"/>
      <c r="M7" s="15"/>
      <c r="N7" s="15"/>
    </row>
    <row r="8" spans="1:20" s="1" customFormat="1" ht="26">
      <c r="A8" s="19"/>
      <c r="B8" s="19"/>
      <c r="C8" s="17"/>
      <c r="D8" s="17"/>
      <c r="E8" s="17"/>
      <c r="F8" s="17"/>
      <c r="G8" s="17"/>
      <c r="H8" s="17"/>
      <c r="I8" s="17"/>
      <c r="J8" s="17"/>
      <c r="K8" s="17"/>
      <c r="L8" s="17"/>
      <c r="M8" s="15"/>
      <c r="N8" s="15"/>
    </row>
    <row r="9" spans="1:20" s="1" customFormat="1" ht="26">
      <c r="A9" s="125"/>
      <c r="B9" s="125"/>
      <c r="C9" s="125"/>
      <c r="D9" s="125"/>
      <c r="E9" s="125"/>
      <c r="F9" s="125"/>
      <c r="G9" s="125"/>
      <c r="H9" s="125"/>
      <c r="I9" s="125"/>
      <c r="J9" s="125"/>
      <c r="K9" s="125"/>
      <c r="L9" s="125"/>
      <c r="M9" s="15"/>
      <c r="N9" s="15"/>
    </row>
    <row r="10" spans="1:20" ht="28.5">
      <c r="A10" s="34"/>
      <c r="B10" s="34"/>
      <c r="C10" s="34"/>
      <c r="D10" s="126" t="s">
        <v>5</v>
      </c>
      <c r="E10" s="126"/>
      <c r="F10" s="126"/>
      <c r="G10" s="126"/>
      <c r="H10" s="126"/>
      <c r="I10" s="126"/>
      <c r="J10" s="126"/>
      <c r="K10" s="126"/>
      <c r="L10" s="126"/>
      <c r="M10" s="18"/>
      <c r="N10" s="18"/>
    </row>
    <row r="11" spans="1:20" s="5" customFormat="1">
      <c r="A11" s="3"/>
      <c r="B11" s="3"/>
      <c r="C11" s="3"/>
      <c r="D11" s="3"/>
      <c r="E11" s="3"/>
      <c r="F11" s="3"/>
      <c r="G11" s="3"/>
      <c r="H11" s="3"/>
      <c r="I11" s="3"/>
      <c r="J11" s="3"/>
      <c r="K11" s="1"/>
      <c r="L11" s="1"/>
      <c r="M11" s="1"/>
      <c r="N11" s="1"/>
      <c r="O11" s="35"/>
      <c r="P11" s="35"/>
      <c r="Q11" s="35"/>
    </row>
    <row r="12" spans="1:20" s="5" customFormat="1" ht="26">
      <c r="A12" s="33"/>
      <c r="B12" s="33"/>
      <c r="C12" s="33"/>
      <c r="D12" s="127" t="s">
        <v>6</v>
      </c>
      <c r="E12" s="127"/>
      <c r="F12" s="127"/>
      <c r="G12" s="127"/>
      <c r="H12" s="127"/>
      <c r="I12" s="127"/>
      <c r="J12" s="127"/>
      <c r="K12" s="127"/>
      <c r="L12" s="127"/>
      <c r="M12" s="16"/>
      <c r="N12" s="16"/>
      <c r="O12" s="35"/>
      <c r="P12" s="35"/>
      <c r="Q12" s="35"/>
    </row>
    <row r="13" spans="1:20" s="5" customFormat="1" ht="26">
      <c r="A13" s="43"/>
      <c r="B13" s="43"/>
      <c r="C13" s="43"/>
      <c r="D13" s="128" t="s">
        <v>7</v>
      </c>
      <c r="E13" s="128"/>
      <c r="F13" s="128"/>
      <c r="G13" s="128"/>
      <c r="H13" s="128"/>
      <c r="I13" s="128"/>
      <c r="J13" s="128"/>
      <c r="K13" s="128"/>
      <c r="L13" s="128"/>
      <c r="M13" s="44"/>
      <c r="N13" s="44"/>
      <c r="O13" s="35"/>
      <c r="P13" s="35"/>
      <c r="Q13" s="35"/>
    </row>
    <row r="14" spans="1:20" s="1" customFormat="1">
      <c r="A14" s="3"/>
      <c r="B14" s="3"/>
      <c r="C14" s="3"/>
      <c r="D14" s="3"/>
      <c r="E14" s="3"/>
      <c r="F14" s="3"/>
      <c r="G14" s="3"/>
      <c r="H14" s="3"/>
      <c r="I14" s="3"/>
      <c r="J14" s="3"/>
    </row>
    <row r="15" spans="1:20" s="1" customFormat="1" ht="47">
      <c r="A15" s="4" t="s">
        <v>8</v>
      </c>
      <c r="B15" s="4" t="s">
        <v>9</v>
      </c>
      <c r="C15" s="4" t="s">
        <v>10</v>
      </c>
      <c r="D15" s="4" t="s">
        <v>11</v>
      </c>
      <c r="E15" s="4" t="s">
        <v>12</v>
      </c>
      <c r="F15" s="4" t="s">
        <v>13</v>
      </c>
      <c r="G15" s="38" t="s">
        <v>14</v>
      </c>
      <c r="H15" s="4" t="s">
        <v>15</v>
      </c>
      <c r="I15" s="38" t="s">
        <v>16</v>
      </c>
      <c r="J15" s="38" t="s">
        <v>17</v>
      </c>
      <c r="K15" s="38" t="s">
        <v>18</v>
      </c>
      <c r="L15" s="38" t="s">
        <v>19</v>
      </c>
      <c r="M15" s="38" t="s">
        <v>20</v>
      </c>
      <c r="N15" s="38" t="s">
        <v>21</v>
      </c>
    </row>
    <row r="16" spans="1:20" s="12" customFormat="1" ht="117.5">
      <c r="A16" s="54" t="str">
        <f>IFERROR(VLOOKUP(D16,'Master sheet (Clientes)'!A$6:D$747,2,0)," ")</f>
        <v>NJ</v>
      </c>
      <c r="B16" s="54" t="str">
        <f>IFERROR(VLOOKUP(D16,'Master sheet (Clientes)'!A$6:D$747,3,0)," ")</f>
        <v>Vivmark Residential</v>
      </c>
      <c r="C16" s="54" t="str">
        <f>IFERROR(VLOOKUP(D16,'Master sheet (Clientes)'!A$6:D$747,4,0)," ")</f>
        <v>N-O</v>
      </c>
      <c r="D16" s="54" t="s">
        <v>78</v>
      </c>
      <c r="E16" s="54">
        <v>104</v>
      </c>
      <c r="F16" s="54" t="s">
        <v>45</v>
      </c>
      <c r="G16" s="54" t="s">
        <v>1054</v>
      </c>
      <c r="H16" s="54" t="s">
        <v>1114</v>
      </c>
      <c r="I16" s="54" t="s">
        <v>1145</v>
      </c>
      <c r="J16" s="54" t="s">
        <v>48</v>
      </c>
      <c r="K16" s="54"/>
      <c r="L16" s="54"/>
      <c r="M16" s="54"/>
      <c r="N16" s="54" t="s">
        <v>1269</v>
      </c>
      <c r="O16" s="1"/>
      <c r="P16" s="1"/>
      <c r="Q16" s="1"/>
      <c r="R16" s="11"/>
      <c r="S16" s="11"/>
      <c r="T16" s="11"/>
    </row>
    <row r="17" spans="1:20" s="12" customFormat="1" ht="164.5">
      <c r="A17" s="54" t="str">
        <f>IFERROR(VLOOKUP(D17,'Master sheet (Clientes)'!A$6:D$747,2,0)," ")</f>
        <v>NJ</v>
      </c>
      <c r="B17" s="54" t="str">
        <f>IFERROR(VLOOKUP(D17,'Master sheet (Clientes)'!A$6:D$747,3,0)," ")</f>
        <v>Vivmark Residential</v>
      </c>
      <c r="C17" s="54" t="str">
        <f>IFERROR(VLOOKUP(D17,'Master sheet (Clientes)'!A$6:D$747,4,0)," ")</f>
        <v>N-O</v>
      </c>
      <c r="D17" s="54" t="s">
        <v>72</v>
      </c>
      <c r="E17" s="54">
        <v>426</v>
      </c>
      <c r="F17" s="54"/>
      <c r="G17" s="54" t="s">
        <v>837</v>
      </c>
      <c r="H17" s="54" t="s">
        <v>1314</v>
      </c>
      <c r="I17" s="54" t="s">
        <v>1144</v>
      </c>
      <c r="J17" s="54" t="s">
        <v>48</v>
      </c>
      <c r="K17" s="54"/>
      <c r="L17" s="54"/>
      <c r="M17" s="54"/>
      <c r="N17" s="54" t="s">
        <v>1391</v>
      </c>
      <c r="O17" s="1"/>
      <c r="P17" s="1"/>
      <c r="Q17" s="1"/>
      <c r="R17" s="11"/>
      <c r="S17" s="11"/>
      <c r="T17" s="11"/>
    </row>
    <row r="18" spans="1:20" s="12" customFormat="1" ht="70.5">
      <c r="A18" s="54" t="str">
        <f>IFERROR(VLOOKUP(D18,'Master sheet (Clientes)'!A$6:D$747,2,0)," ")</f>
        <v>NJ</v>
      </c>
      <c r="B18" s="54" t="str">
        <f>IFERROR(VLOOKUP(D18,'Master sheet (Clientes)'!A$6:D$747,3,0)," ")</f>
        <v>Vivmark Residential</v>
      </c>
      <c r="C18" s="54" t="str">
        <f>IFERROR(VLOOKUP(D18,'Master sheet (Clientes)'!A$6:D$747,4,0)," ")</f>
        <v>N-O</v>
      </c>
      <c r="D18" s="54" t="s">
        <v>78</v>
      </c>
      <c r="E18" s="54">
        <v>155</v>
      </c>
      <c r="F18" s="54"/>
      <c r="G18" s="54" t="s">
        <v>917</v>
      </c>
      <c r="H18" s="54" t="s">
        <v>919</v>
      </c>
      <c r="I18" s="54" t="s">
        <v>1143</v>
      </c>
      <c r="J18" s="54" t="s">
        <v>48</v>
      </c>
      <c r="K18" s="54"/>
      <c r="L18" s="54"/>
      <c r="M18" s="54"/>
      <c r="N18" s="54" t="s">
        <v>1269</v>
      </c>
      <c r="O18" s="1"/>
      <c r="P18" s="1"/>
      <c r="Q18" s="1"/>
      <c r="R18" s="11"/>
      <c r="S18" s="11"/>
      <c r="T18" s="11"/>
    </row>
    <row r="19" spans="1:20" s="12" customFormat="1" ht="70.5">
      <c r="A19" s="54" t="str">
        <f>IFERROR(VLOOKUP(D19,'Master sheet (Clientes)'!A$6:D$747,2,0)," ")</f>
        <v>NJ</v>
      </c>
      <c r="B19" s="54" t="str">
        <f>IFERROR(VLOOKUP(D19,'Master sheet (Clientes)'!A$6:D$747,3,0)," ")</f>
        <v>Vivmark Residential</v>
      </c>
      <c r="C19" s="54" t="str">
        <f>IFERROR(VLOOKUP(D19,'Master sheet (Clientes)'!A$6:D$747,4,0)," ")</f>
        <v>A-V</v>
      </c>
      <c r="D19" s="54" t="s">
        <v>293</v>
      </c>
      <c r="E19" s="54" t="s">
        <v>978</v>
      </c>
      <c r="F19" s="54" t="s">
        <v>854</v>
      </c>
      <c r="G19" s="54" t="s">
        <v>853</v>
      </c>
      <c r="H19" s="54" t="s">
        <v>860</v>
      </c>
      <c r="I19" s="54" t="s">
        <v>1142</v>
      </c>
      <c r="J19" s="54" t="s">
        <v>48</v>
      </c>
      <c r="K19" s="54"/>
      <c r="L19" s="54"/>
      <c r="M19" s="54" t="s">
        <v>966</v>
      </c>
      <c r="N19" s="54" t="s">
        <v>1265</v>
      </c>
      <c r="O19" s="1"/>
      <c r="P19" s="1"/>
      <c r="Q19" s="1"/>
      <c r="R19" s="11"/>
      <c r="S19" s="11"/>
      <c r="T19" s="11"/>
    </row>
    <row r="20" spans="1:20" s="1" customFormat="1">
      <c r="A20" s="3"/>
      <c r="B20" s="3"/>
      <c r="C20" s="3"/>
      <c r="D20" s="3"/>
      <c r="E20" s="3"/>
      <c r="F20" s="3"/>
      <c r="G20" s="3"/>
      <c r="H20" s="3"/>
      <c r="I20" s="3"/>
      <c r="J20" s="3"/>
    </row>
    <row r="21" spans="1:20" s="1" customFormat="1" ht="47">
      <c r="A21" s="4" t="s">
        <v>8</v>
      </c>
      <c r="B21" s="4" t="s">
        <v>9</v>
      </c>
      <c r="C21" s="4" t="s">
        <v>10</v>
      </c>
      <c r="D21" s="4" t="s">
        <v>11</v>
      </c>
      <c r="E21" s="4" t="s">
        <v>12</v>
      </c>
      <c r="F21" s="4" t="s">
        <v>13</v>
      </c>
      <c r="G21" s="38" t="s">
        <v>14</v>
      </c>
      <c r="H21" s="4" t="s">
        <v>15</v>
      </c>
      <c r="I21" s="38" t="s">
        <v>16</v>
      </c>
      <c r="J21" s="38" t="s">
        <v>17</v>
      </c>
      <c r="K21" s="38" t="s">
        <v>18</v>
      </c>
      <c r="L21" s="38" t="s">
        <v>19</v>
      </c>
      <c r="M21" s="38" t="s">
        <v>20</v>
      </c>
      <c r="N21" s="38" t="s">
        <v>21</v>
      </c>
    </row>
    <row r="22" spans="1:20" s="12" customFormat="1" ht="70.5">
      <c r="A22" s="54" t="str">
        <f>IFERROR(VLOOKUP(D22,'Master sheet (Clientes)'!A$6:D$747,2,0)," ")</f>
        <v>NJ</v>
      </c>
      <c r="B22" s="54" t="str">
        <f>IFERROR(VLOOKUP(D22,'Master sheet (Clientes)'!A$6:D$747,3,0)," ")</f>
        <v>Greystar</v>
      </c>
      <c r="C22" s="54" t="str">
        <f>IFERROR(VLOOKUP(D22,'Master sheet (Clientes)'!A$6:D$747,4,0)," ")</f>
        <v>A-V</v>
      </c>
      <c r="D22" s="54" t="s">
        <v>341</v>
      </c>
      <c r="E22" s="54">
        <v>407</v>
      </c>
      <c r="F22" s="54" t="s">
        <v>45</v>
      </c>
      <c r="G22" s="54" t="s">
        <v>853</v>
      </c>
      <c r="H22" s="54" t="s">
        <v>1104</v>
      </c>
      <c r="I22" s="54" t="s">
        <v>1106</v>
      </c>
      <c r="J22" s="54" t="s">
        <v>48</v>
      </c>
      <c r="K22" s="54"/>
      <c r="L22" s="54"/>
      <c r="M22" s="54"/>
      <c r="N22" s="54" t="s">
        <v>1265</v>
      </c>
      <c r="O22" s="1"/>
      <c r="P22" s="1"/>
      <c r="Q22" s="1"/>
      <c r="R22" s="11"/>
      <c r="S22" s="11"/>
      <c r="T22" s="11"/>
    </row>
    <row r="23" spans="1:20" s="12" customFormat="1" ht="94">
      <c r="A23" s="54" t="str">
        <f>IFERROR(VLOOKUP(D23,'Master sheet (Clientes)'!A$6:D$747,2,0)," ")</f>
        <v>NJ</v>
      </c>
      <c r="B23" s="54" t="str">
        <f>IFERROR(VLOOKUP(D23,'Master sheet (Clientes)'!A$6:D$747,3,0)," ")</f>
        <v>Vivmark Residential</v>
      </c>
      <c r="C23" s="54" t="str">
        <f>IFERROR(VLOOKUP(D23,'Master sheet (Clientes)'!A$6:D$747,4,0)," ")</f>
        <v>A-V</v>
      </c>
      <c r="D23" s="54" t="s">
        <v>291</v>
      </c>
      <c r="E23" s="54">
        <v>1101</v>
      </c>
      <c r="F23" s="54" t="s">
        <v>946</v>
      </c>
      <c r="G23" s="54" t="s">
        <v>853</v>
      </c>
      <c r="H23" s="54" t="s">
        <v>860</v>
      </c>
      <c r="I23" s="54" t="s">
        <v>1105</v>
      </c>
      <c r="J23" s="54" t="s">
        <v>48</v>
      </c>
      <c r="K23" s="54"/>
      <c r="L23" s="54"/>
      <c r="M23" s="54" t="s">
        <v>961</v>
      </c>
      <c r="N23" s="54" t="s">
        <v>1265</v>
      </c>
      <c r="O23" s="1"/>
      <c r="P23" s="1"/>
      <c r="Q23" s="1"/>
      <c r="R23" s="11"/>
      <c r="S23" s="11"/>
      <c r="T23" s="11"/>
    </row>
    <row r="24" spans="1:20">
      <c r="A24" s="1"/>
      <c r="B24" s="1"/>
      <c r="C24" s="1"/>
      <c r="D24" s="1"/>
      <c r="E24" s="1"/>
      <c r="F24" s="1"/>
      <c r="G24" s="1"/>
      <c r="H24" s="1"/>
      <c r="I24" s="1"/>
      <c r="J24" s="1"/>
      <c r="K24" s="1"/>
      <c r="L24" s="1"/>
      <c r="M24" s="1"/>
      <c r="N24" s="1"/>
    </row>
    <row r="25" spans="1:20" s="1" customFormat="1" ht="47">
      <c r="A25" s="4" t="s">
        <v>8</v>
      </c>
      <c r="B25" s="4" t="s">
        <v>9</v>
      </c>
      <c r="C25" s="4" t="s">
        <v>10</v>
      </c>
      <c r="D25" s="4" t="s">
        <v>11</v>
      </c>
      <c r="E25" s="4" t="s">
        <v>12</v>
      </c>
      <c r="F25" s="4" t="s">
        <v>13</v>
      </c>
      <c r="G25" s="38" t="s">
        <v>14</v>
      </c>
      <c r="H25" s="4" t="s">
        <v>15</v>
      </c>
      <c r="I25" s="38" t="s">
        <v>16</v>
      </c>
      <c r="J25" s="38" t="s">
        <v>17</v>
      </c>
      <c r="K25" s="38" t="s">
        <v>18</v>
      </c>
      <c r="L25" s="38" t="s">
        <v>19</v>
      </c>
      <c r="M25" s="38" t="s">
        <v>20</v>
      </c>
      <c r="N25" s="38" t="s">
        <v>21</v>
      </c>
    </row>
    <row r="26" spans="1:20" s="111" customFormat="1" ht="164.5">
      <c r="A26" s="92" t="str">
        <f>IFERROR(VLOOKUP(D26,'Master sheet (Clientes)'!A$6:D$747,2,0)," ")</f>
        <v>NJ</v>
      </c>
      <c r="B26" s="92" t="str">
        <f>IFERROR(VLOOKUP(D26,'Master sheet (Clientes)'!A$6:D$747,3,0)," ")</f>
        <v>Skylight</v>
      </c>
      <c r="C26" s="92" t="str">
        <f>IFERROR(VLOOKUP(D26,'Master sheet (Clientes)'!A$6:D$747,4,0)," ")</f>
        <v>N-O</v>
      </c>
      <c r="D26" s="92" t="s">
        <v>730</v>
      </c>
      <c r="E26" s="92" t="s">
        <v>1030</v>
      </c>
      <c r="F26" s="92" t="s">
        <v>45</v>
      </c>
      <c r="G26" s="92" t="s">
        <v>853</v>
      </c>
      <c r="H26" s="92" t="s">
        <v>1033</v>
      </c>
      <c r="I26" s="92" t="s">
        <v>901</v>
      </c>
      <c r="J26" s="92" t="s">
        <v>48</v>
      </c>
      <c r="K26" s="92" t="s">
        <v>1031</v>
      </c>
      <c r="L26" s="92"/>
      <c r="M26" s="92" t="s">
        <v>1032</v>
      </c>
      <c r="N26" s="92" t="s">
        <v>1396</v>
      </c>
      <c r="O26" s="93"/>
      <c r="P26" s="93"/>
      <c r="Q26" s="93"/>
      <c r="R26" s="110"/>
      <c r="S26" s="110"/>
      <c r="T26" s="110"/>
    </row>
    <row r="27" spans="1:20" s="12" customFormat="1" ht="70.5">
      <c r="A27" s="54" t="str">
        <f>IFERROR(VLOOKUP(D27,'Master sheet (Clientes)'!A$6:D$747,2,0)," ")</f>
        <v>NJ</v>
      </c>
      <c r="B27" s="54" t="str">
        <f>IFERROR(VLOOKUP(D27,'Master sheet (Clientes)'!A$6:D$747,3,0)," ")</f>
        <v>Skylight</v>
      </c>
      <c r="C27" s="54" t="str">
        <f>IFERROR(VLOOKUP(D27,'Master sheet (Clientes)'!A$6:D$747,4,0)," ")</f>
        <v>N-O</v>
      </c>
      <c r="D27" s="54" t="s">
        <v>728</v>
      </c>
      <c r="E27" s="54">
        <v>1506</v>
      </c>
      <c r="F27" s="54" t="s">
        <v>45</v>
      </c>
      <c r="G27" s="54" t="s">
        <v>853</v>
      </c>
      <c r="H27" s="54" t="s">
        <v>902</v>
      </c>
      <c r="I27" s="54" t="s">
        <v>901</v>
      </c>
      <c r="J27" s="54" t="s">
        <v>48</v>
      </c>
      <c r="K27" s="54"/>
      <c r="L27" s="54"/>
      <c r="M27" s="54"/>
      <c r="N27" s="54" t="s">
        <v>1268</v>
      </c>
      <c r="O27" s="1"/>
      <c r="P27" s="1"/>
      <c r="Q27" s="1"/>
      <c r="R27" s="11"/>
      <c r="S27" s="11"/>
      <c r="T27" s="11"/>
    </row>
    <row r="28" spans="1:20" s="12" customFormat="1" ht="70.5">
      <c r="A28" s="54" t="str">
        <f>IFERROR(VLOOKUP(D28,'Master sheet (Clientes)'!A$6:D$747,2,0)," ")</f>
        <v>NJ</v>
      </c>
      <c r="B28" s="54" t="str">
        <f>IFERROR(VLOOKUP(D28,'Master sheet (Clientes)'!A$6:D$747,3,0)," ")</f>
        <v>Skylight</v>
      </c>
      <c r="C28" s="54" t="str">
        <f>IFERROR(VLOOKUP(D28,'Master sheet (Clientes)'!A$6:D$747,4,0)," ")</f>
        <v>N-O</v>
      </c>
      <c r="D28" s="54" t="s">
        <v>728</v>
      </c>
      <c r="E28" s="54">
        <v>1502</v>
      </c>
      <c r="F28" s="54" t="s">
        <v>45</v>
      </c>
      <c r="G28" s="54" t="s">
        <v>853</v>
      </c>
      <c r="H28" s="54" t="s">
        <v>902</v>
      </c>
      <c r="I28" s="54" t="s">
        <v>901</v>
      </c>
      <c r="J28" s="54" t="s">
        <v>48</v>
      </c>
      <c r="K28" s="54"/>
      <c r="L28" s="54"/>
      <c r="M28" s="54"/>
      <c r="N28" s="54" t="s">
        <v>1268</v>
      </c>
      <c r="O28" s="1"/>
      <c r="P28" s="1"/>
      <c r="Q28" s="1"/>
      <c r="R28" s="11"/>
      <c r="S28" s="11"/>
      <c r="T28" s="11"/>
    </row>
    <row r="29" spans="1:20" s="12" customFormat="1" ht="70.5">
      <c r="A29" s="54" t="str">
        <f>IFERROR(VLOOKUP(D29,'Master sheet (Clientes)'!A$6:D$747,2,0)," ")</f>
        <v>NJ</v>
      </c>
      <c r="B29" s="54" t="str">
        <f>IFERROR(VLOOKUP(D29,'Master sheet (Clientes)'!A$6:D$747,3,0)," ")</f>
        <v>Skylight</v>
      </c>
      <c r="C29" s="54" t="str">
        <f>IFERROR(VLOOKUP(D29,'Master sheet (Clientes)'!A$6:D$747,4,0)," ")</f>
        <v>N-O</v>
      </c>
      <c r="D29" s="54" t="s">
        <v>728</v>
      </c>
      <c r="E29" s="54">
        <v>1503</v>
      </c>
      <c r="F29" s="54" t="s">
        <v>854</v>
      </c>
      <c r="G29" s="54" t="s">
        <v>853</v>
      </c>
      <c r="H29" s="54" t="s">
        <v>902</v>
      </c>
      <c r="I29" s="54" t="s">
        <v>901</v>
      </c>
      <c r="J29" s="54" t="s">
        <v>48</v>
      </c>
      <c r="K29" s="54"/>
      <c r="L29" s="54"/>
      <c r="M29" s="54"/>
      <c r="N29" s="54" t="s">
        <v>1268</v>
      </c>
      <c r="O29" s="1"/>
      <c r="P29" s="1"/>
      <c r="Q29" s="1"/>
      <c r="R29" s="11"/>
      <c r="S29" s="11"/>
      <c r="T29" s="11"/>
    </row>
    <row r="30" spans="1:20" s="12" customFormat="1" ht="70.5">
      <c r="A30" s="54" t="str">
        <f>IFERROR(VLOOKUP(D30,'Master sheet (Clientes)'!A$6:D$747,2,0)," ")</f>
        <v>NJ</v>
      </c>
      <c r="B30" s="54" t="str">
        <f>IFERROR(VLOOKUP(D30,'Master sheet (Clientes)'!A$6:D$747,3,0)," ")</f>
        <v>Skylight</v>
      </c>
      <c r="C30" s="54" t="str">
        <f>IFERROR(VLOOKUP(D30,'Master sheet (Clientes)'!A$6:D$747,4,0)," ")</f>
        <v>N-O</v>
      </c>
      <c r="D30" s="54" t="s">
        <v>728</v>
      </c>
      <c r="E30" s="54">
        <v>1702</v>
      </c>
      <c r="F30" s="54" t="s">
        <v>45</v>
      </c>
      <c r="G30" s="54" t="s">
        <v>853</v>
      </c>
      <c r="H30" s="54" t="s">
        <v>902</v>
      </c>
      <c r="I30" s="54" t="s">
        <v>901</v>
      </c>
      <c r="J30" s="54" t="s">
        <v>48</v>
      </c>
      <c r="K30" s="54"/>
      <c r="L30" s="54"/>
      <c r="M30" s="54"/>
      <c r="N30" s="54" t="s">
        <v>1268</v>
      </c>
      <c r="O30" s="1"/>
      <c r="P30" s="1"/>
      <c r="Q30" s="1"/>
      <c r="R30" s="11"/>
      <c r="S30" s="11"/>
      <c r="T30" s="11"/>
    </row>
    <row r="31" spans="1:20" s="12" customFormat="1" ht="47">
      <c r="A31" s="54" t="str">
        <f>IFERROR(VLOOKUP(D31,'Master sheet (Clientes)'!A$6:D$747,2,0)," ")</f>
        <v>NJ</v>
      </c>
      <c r="B31" s="54" t="str">
        <f>IFERROR(VLOOKUP(D31,'Master sheet (Clientes)'!A$6:D$747,3,0)," ")</f>
        <v>Vivmark Residential</v>
      </c>
      <c r="C31" s="54" t="str">
        <f>IFERROR(VLOOKUP(D31,'Master sheet (Clientes)'!A$6:D$747,4,0)," ")</f>
        <v>N-O</v>
      </c>
      <c r="D31" s="54" t="s">
        <v>78</v>
      </c>
      <c r="E31" s="54">
        <v>104</v>
      </c>
      <c r="F31" s="54" t="s">
        <v>45</v>
      </c>
      <c r="G31" s="54" t="s">
        <v>1054</v>
      </c>
      <c r="H31" s="83" t="s">
        <v>1299</v>
      </c>
      <c r="I31" s="54" t="s">
        <v>901</v>
      </c>
      <c r="J31" s="54" t="s">
        <v>48</v>
      </c>
      <c r="K31" s="54"/>
      <c r="L31" s="54"/>
      <c r="M31" s="54"/>
      <c r="N31" s="54" t="s">
        <v>1268</v>
      </c>
      <c r="O31" s="1"/>
      <c r="P31" s="1"/>
      <c r="Q31" s="1"/>
      <c r="R31" s="11"/>
      <c r="S31" s="11"/>
      <c r="T31" s="11"/>
    </row>
    <row r="32" spans="1:20">
      <c r="A32" s="1"/>
      <c r="B32" s="1"/>
      <c r="C32" s="1"/>
      <c r="D32" s="1"/>
      <c r="E32" s="1"/>
      <c r="F32" s="1"/>
      <c r="G32" s="1"/>
      <c r="H32" s="1"/>
      <c r="I32" s="1"/>
      <c r="J32" s="1"/>
      <c r="K32" s="1"/>
      <c r="L32" s="1"/>
      <c r="M32" s="1"/>
      <c r="N32" s="1"/>
    </row>
    <row r="33" spans="1:20" s="1" customFormat="1" ht="47">
      <c r="A33" s="4" t="s">
        <v>8</v>
      </c>
      <c r="B33" s="4" t="s">
        <v>9</v>
      </c>
      <c r="C33" s="4" t="s">
        <v>10</v>
      </c>
      <c r="D33" s="4" t="s">
        <v>11</v>
      </c>
      <c r="E33" s="4" t="s">
        <v>12</v>
      </c>
      <c r="F33" s="4" t="s">
        <v>13</v>
      </c>
      <c r="G33" s="38" t="s">
        <v>14</v>
      </c>
      <c r="H33" s="4" t="s">
        <v>15</v>
      </c>
      <c r="I33" s="38" t="s">
        <v>16</v>
      </c>
      <c r="J33" s="38" t="s">
        <v>17</v>
      </c>
      <c r="K33" s="38" t="s">
        <v>18</v>
      </c>
      <c r="L33" s="38" t="s">
        <v>19</v>
      </c>
      <c r="M33" s="38" t="s">
        <v>20</v>
      </c>
      <c r="N33" s="38" t="s">
        <v>21</v>
      </c>
    </row>
    <row r="34" spans="1:20" s="12" customFormat="1" ht="47">
      <c r="A34" s="54" t="str">
        <f>IFERROR(VLOOKUP(D34,'Master sheet (Clientes)'!A$6:D$747,2,0)," ")</f>
        <v>NJ</v>
      </c>
      <c r="B34" s="54" t="str">
        <f>IFERROR(VLOOKUP(D34,'Master sheet (Clientes)'!A$6:D$747,3,0)," ")</f>
        <v>Vivmark Residential</v>
      </c>
      <c r="C34" s="54" t="str">
        <f>IFERROR(VLOOKUP(D34,'Master sheet (Clientes)'!A$6:D$747,4,0)," ")</f>
        <v>N-O</v>
      </c>
      <c r="D34" s="54" t="s">
        <v>78</v>
      </c>
      <c r="E34" s="54" t="s">
        <v>906</v>
      </c>
      <c r="F34" s="54"/>
      <c r="G34" s="54"/>
      <c r="H34" s="54" t="s">
        <v>907</v>
      </c>
      <c r="I34" s="54" t="s">
        <v>909</v>
      </c>
      <c r="J34" s="54" t="s">
        <v>48</v>
      </c>
      <c r="K34" s="54" t="s">
        <v>908</v>
      </c>
      <c r="L34" s="54"/>
      <c r="M34" s="54" t="s">
        <v>910</v>
      </c>
      <c r="N34" s="54" t="s">
        <v>1268</v>
      </c>
      <c r="O34" s="1"/>
      <c r="P34" s="1"/>
      <c r="Q34" s="1"/>
      <c r="R34" s="11"/>
      <c r="S34" s="11"/>
      <c r="T34" s="11"/>
    </row>
    <row r="35" spans="1:20" s="12" customFormat="1" ht="47">
      <c r="A35" s="54" t="str">
        <f>IFERROR(VLOOKUP(D35,'Master sheet (Clientes)'!A$6:D$747,2,0)," ")</f>
        <v>NJ</v>
      </c>
      <c r="B35" s="54" t="str">
        <f>IFERROR(VLOOKUP(D35,'Master sheet (Clientes)'!A$6:D$747,3,0)," ")</f>
        <v>Vivmark Residential</v>
      </c>
      <c r="C35" s="54" t="str">
        <f>IFERROR(VLOOKUP(D35,'Master sheet (Clientes)'!A$6:D$747,4,0)," ")</f>
        <v>N-O</v>
      </c>
      <c r="D35" s="54" t="s">
        <v>72</v>
      </c>
      <c r="E35" s="54">
        <v>419</v>
      </c>
      <c r="F35" s="54"/>
      <c r="G35" s="54" t="s">
        <v>917</v>
      </c>
      <c r="H35" s="54" t="s">
        <v>1316</v>
      </c>
      <c r="I35" s="54" t="s">
        <v>909</v>
      </c>
      <c r="J35" s="54" t="s">
        <v>48</v>
      </c>
      <c r="K35" s="54"/>
      <c r="L35" s="54"/>
      <c r="M35" s="54"/>
      <c r="N35" s="54" t="s">
        <v>1268</v>
      </c>
      <c r="O35" s="1"/>
      <c r="P35" s="1"/>
      <c r="Q35" s="1"/>
      <c r="R35" s="11"/>
      <c r="S35" s="11"/>
      <c r="T35" s="11"/>
    </row>
    <row r="36" spans="1:20">
      <c r="A36" s="1"/>
      <c r="B36" s="1"/>
      <c r="C36" s="1"/>
      <c r="D36" s="1"/>
      <c r="E36" s="1"/>
      <c r="F36" s="1"/>
      <c r="G36" s="1"/>
      <c r="H36" s="1"/>
      <c r="I36" s="1"/>
      <c r="J36" s="1"/>
      <c r="K36" s="1"/>
      <c r="L36" s="1"/>
      <c r="M36" s="1"/>
      <c r="N36" s="1"/>
    </row>
    <row r="37" spans="1:20" ht="47">
      <c r="A37" s="4" t="s">
        <v>8</v>
      </c>
      <c r="B37" s="4" t="s">
        <v>9</v>
      </c>
      <c r="C37" s="4" t="s">
        <v>10</v>
      </c>
      <c r="D37" s="4" t="s">
        <v>11</v>
      </c>
      <c r="E37" s="4" t="s">
        <v>12</v>
      </c>
      <c r="F37" s="4" t="s">
        <v>13</v>
      </c>
      <c r="G37" s="38" t="s">
        <v>14</v>
      </c>
      <c r="H37" s="4" t="s">
        <v>22</v>
      </c>
      <c r="I37" s="38" t="s">
        <v>23</v>
      </c>
      <c r="J37" s="38" t="s">
        <v>17</v>
      </c>
      <c r="K37" s="38" t="s">
        <v>18</v>
      </c>
      <c r="L37" s="38" t="s">
        <v>19</v>
      </c>
      <c r="M37" s="38" t="s">
        <v>20</v>
      </c>
      <c r="N37" s="38" t="s">
        <v>21</v>
      </c>
    </row>
    <row r="38" spans="1:20" ht="47">
      <c r="A38" s="54" t="str">
        <f>IFERROR(VLOOKUP(D38,'Master sheet (Clientes)'!A$6:D$747,2,0)," ")</f>
        <v>NJ</v>
      </c>
      <c r="B38" s="54" t="str">
        <f>IFERROR(VLOOKUP(D38,'Master sheet (Clientes)'!A$6:D$747,3,0)," ")</f>
        <v>Vivmark Residential</v>
      </c>
      <c r="C38" s="54" t="str">
        <f>IFERROR(VLOOKUP(D38,'Master sheet (Clientes)'!A$6:D$747,4,0)," ")</f>
        <v>N-O</v>
      </c>
      <c r="D38" s="54" t="s">
        <v>78</v>
      </c>
      <c r="E38" s="54">
        <v>324</v>
      </c>
      <c r="F38" s="54"/>
      <c r="G38" s="54" t="s">
        <v>837</v>
      </c>
      <c r="H38" s="54" t="s">
        <v>1115</v>
      </c>
      <c r="I38" s="54" t="s">
        <v>839</v>
      </c>
      <c r="J38" s="54" t="s">
        <v>48</v>
      </c>
      <c r="K38" s="54"/>
      <c r="L38" s="54"/>
      <c r="M38" s="54"/>
      <c r="N38" s="54" t="s">
        <v>1268</v>
      </c>
    </row>
    <row r="39" spans="1:20">
      <c r="A39" s="1"/>
      <c r="B39" s="1"/>
      <c r="C39" s="1"/>
      <c r="D39" s="1"/>
      <c r="E39" s="1"/>
      <c r="F39" s="1"/>
      <c r="G39" s="1"/>
      <c r="H39" s="1"/>
      <c r="I39" s="1"/>
      <c r="J39" s="1"/>
      <c r="K39" s="1"/>
      <c r="L39" s="1"/>
      <c r="M39" s="1"/>
      <c r="N39" s="1"/>
    </row>
    <row r="40" spans="1:20" s="1" customFormat="1" ht="47">
      <c r="A40" s="4" t="s">
        <v>8</v>
      </c>
      <c r="B40" s="4" t="s">
        <v>9</v>
      </c>
      <c r="C40" s="4" t="s">
        <v>10</v>
      </c>
      <c r="D40" s="4" t="s">
        <v>11</v>
      </c>
      <c r="E40" s="4" t="s">
        <v>12</v>
      </c>
      <c r="F40" s="4" t="s">
        <v>13</v>
      </c>
      <c r="G40" s="38" t="s">
        <v>14</v>
      </c>
      <c r="H40" s="4" t="s">
        <v>15</v>
      </c>
      <c r="I40" s="38" t="s">
        <v>16</v>
      </c>
      <c r="J40" s="38" t="s">
        <v>17</v>
      </c>
      <c r="K40" s="38" t="s">
        <v>18</v>
      </c>
      <c r="L40" s="38" t="s">
        <v>19</v>
      </c>
      <c r="M40" s="38" t="s">
        <v>20</v>
      </c>
      <c r="N40" s="38" t="s">
        <v>21</v>
      </c>
    </row>
    <row r="41" spans="1:20" s="12" customFormat="1" ht="47">
      <c r="A41" s="54" t="str">
        <f>IFERROR(VLOOKUP(D41,'Master sheet (Clientes)'!A$6:D$747,2,0)," ")</f>
        <v>NJ</v>
      </c>
      <c r="B41" s="54" t="str">
        <f>IFERROR(VLOOKUP(D41,'Master sheet (Clientes)'!A$6:D$747,3,0)," ")</f>
        <v>Vivmark Residential</v>
      </c>
      <c r="C41" s="54" t="str">
        <f>IFERROR(VLOOKUP(D41,'Master sheet (Clientes)'!A$6:D$747,4,0)," ")</f>
        <v>N-O</v>
      </c>
      <c r="D41" s="54" t="s">
        <v>78</v>
      </c>
      <c r="E41" s="54">
        <v>104</v>
      </c>
      <c r="F41" s="54"/>
      <c r="G41" s="54" t="s">
        <v>876</v>
      </c>
      <c r="H41" s="54" t="s">
        <v>963</v>
      </c>
      <c r="I41" s="54" t="s">
        <v>948</v>
      </c>
      <c r="J41" s="54" t="s">
        <v>48</v>
      </c>
      <c r="K41" s="54"/>
      <c r="L41" s="54"/>
      <c r="M41" s="54"/>
      <c r="N41" s="54" t="s">
        <v>1268</v>
      </c>
      <c r="O41" s="1"/>
      <c r="P41" s="1"/>
      <c r="Q41" s="1"/>
      <c r="R41" s="11"/>
      <c r="S41" s="11"/>
      <c r="T41" s="11"/>
    </row>
    <row r="42" spans="1:20">
      <c r="A42" s="1"/>
      <c r="B42" s="1"/>
      <c r="C42" s="1"/>
      <c r="D42" s="1"/>
      <c r="E42" s="1"/>
      <c r="F42" s="1"/>
      <c r="G42" s="1"/>
      <c r="H42" s="1"/>
      <c r="I42" s="1"/>
      <c r="J42" s="1"/>
      <c r="K42" s="1"/>
      <c r="L42" s="1"/>
      <c r="M42" s="1"/>
      <c r="N42" s="1"/>
    </row>
    <row r="43" spans="1:20" ht="26">
      <c r="A43" s="33"/>
      <c r="B43" s="33"/>
      <c r="C43" s="33"/>
      <c r="D43" s="127" t="s">
        <v>24</v>
      </c>
      <c r="E43" s="127"/>
      <c r="F43" s="127"/>
      <c r="G43" s="127"/>
      <c r="H43" s="127"/>
      <c r="I43" s="127"/>
      <c r="J43" s="127"/>
      <c r="K43" s="127"/>
      <c r="L43" s="127"/>
      <c r="M43" s="16"/>
      <c r="N43" s="16"/>
    </row>
    <row r="44" spans="1:20" s="5" customFormat="1" ht="26">
      <c r="A44" s="43"/>
      <c r="B44" s="43"/>
      <c r="C44" s="43"/>
      <c r="D44" s="128" t="s">
        <v>25</v>
      </c>
      <c r="E44" s="128"/>
      <c r="F44" s="128"/>
      <c r="G44" s="128"/>
      <c r="H44" s="128"/>
      <c r="I44" s="128"/>
      <c r="J44" s="128"/>
      <c r="K44" s="128"/>
      <c r="L44" s="128"/>
      <c r="M44" s="44"/>
      <c r="N44" s="44"/>
      <c r="O44" s="35"/>
      <c r="P44" s="35"/>
      <c r="Q44" s="35"/>
    </row>
    <row r="45" spans="1:20">
      <c r="A45" s="1"/>
      <c r="B45" s="1"/>
      <c r="C45" s="1"/>
      <c r="D45" s="1"/>
      <c r="E45" s="1"/>
      <c r="F45" s="1"/>
      <c r="G45" s="1"/>
      <c r="H45" s="1"/>
      <c r="I45" s="1"/>
      <c r="J45" s="1"/>
      <c r="K45" s="1"/>
      <c r="L45" s="1"/>
      <c r="M45" s="1"/>
      <c r="N45" s="1"/>
    </row>
    <row r="46" spans="1:20" s="1" customFormat="1" ht="47">
      <c r="A46" s="4" t="s">
        <v>8</v>
      </c>
      <c r="B46" s="4" t="s">
        <v>9</v>
      </c>
      <c r="C46" s="4" t="s">
        <v>10</v>
      </c>
      <c r="D46" s="4" t="s">
        <v>11</v>
      </c>
      <c r="E46" s="4" t="s">
        <v>12</v>
      </c>
      <c r="F46" s="4" t="s">
        <v>13</v>
      </c>
      <c r="G46" s="38" t="s">
        <v>14</v>
      </c>
      <c r="H46" s="4" t="s">
        <v>15</v>
      </c>
      <c r="I46" s="38" t="s">
        <v>16</v>
      </c>
      <c r="J46" s="38" t="s">
        <v>17</v>
      </c>
      <c r="K46" s="38" t="s">
        <v>18</v>
      </c>
      <c r="L46" s="38" t="s">
        <v>19</v>
      </c>
      <c r="M46" s="38" t="s">
        <v>20</v>
      </c>
      <c r="N46" s="38" t="s">
        <v>21</v>
      </c>
    </row>
    <row r="47" spans="1:20" ht="70.5">
      <c r="A47" s="54" t="str">
        <f>IFERROR(VLOOKUP(D47,'Master sheet (Clientes)'!A$6:D$747,2,0)," ")</f>
        <v>NJ</v>
      </c>
      <c r="B47" s="54" t="str">
        <f>IFERROR(VLOOKUP(D47,'Master sheet (Clientes)'!A$6:D$747,3,0)," ")</f>
        <v>RHO</v>
      </c>
      <c r="C47" s="54" t="str">
        <f>IFERROR(VLOOKUP(D47,'Master sheet (Clientes)'!A$6:D$747,4,0)," ")</f>
        <v>A-V</v>
      </c>
      <c r="D47" s="54" t="s">
        <v>777</v>
      </c>
      <c r="E47" s="54"/>
      <c r="F47" s="54"/>
      <c r="G47" s="54"/>
      <c r="H47" s="54" t="s">
        <v>1082</v>
      </c>
      <c r="I47" s="54" t="s">
        <v>1046</v>
      </c>
      <c r="J47" s="54" t="s">
        <v>48</v>
      </c>
      <c r="K47" s="54"/>
      <c r="L47" s="54"/>
      <c r="M47" s="54" t="s">
        <v>1047</v>
      </c>
      <c r="N47" s="54" t="s">
        <v>1510</v>
      </c>
    </row>
    <row r="48" spans="1:20" ht="70.5">
      <c r="A48" s="54" t="str">
        <f>IFERROR(VLOOKUP(D48,'Master sheet (Clientes)'!A$6:D$747,2,0)," ")</f>
        <v>NJ</v>
      </c>
      <c r="B48" s="54" t="str">
        <f>IFERROR(VLOOKUP(D48,'Master sheet (Clientes)'!A$6:D$747,3,0)," ")</f>
        <v>Skylight</v>
      </c>
      <c r="C48" s="54" t="str">
        <f>IFERROR(VLOOKUP(D48,'Master sheet (Clientes)'!A$6:D$747,4,0)," ")</f>
        <v>N-O</v>
      </c>
      <c r="D48" s="54" t="s">
        <v>726</v>
      </c>
      <c r="E48" s="54"/>
      <c r="F48" s="54"/>
      <c r="G48" s="54"/>
      <c r="H48" s="54" t="s">
        <v>994</v>
      </c>
      <c r="I48" s="54" t="s">
        <v>995</v>
      </c>
      <c r="J48" s="54" t="s">
        <v>48</v>
      </c>
      <c r="K48" s="54"/>
      <c r="L48" s="54"/>
      <c r="M48" s="54" t="s">
        <v>996</v>
      </c>
      <c r="N48" s="54" t="s">
        <v>1266</v>
      </c>
    </row>
    <row r="49" spans="1:20" ht="47">
      <c r="A49" s="54" t="str">
        <f>IFERROR(VLOOKUP(D49,'Master sheet (Clientes)'!A$6:D$747,2,0)," ")</f>
        <v>NJ</v>
      </c>
      <c r="B49" s="54" t="str">
        <f>IFERROR(VLOOKUP(D49,'Master sheet (Clientes)'!A$6:D$747,3,0)," ")</f>
        <v>Skylight</v>
      </c>
      <c r="C49" s="54" t="str">
        <f>IFERROR(VLOOKUP(D49,'Master sheet (Clientes)'!A$6:D$747,4,0)," ")</f>
        <v>N-O</v>
      </c>
      <c r="D49" s="54" t="s">
        <v>726</v>
      </c>
      <c r="E49" s="54"/>
      <c r="F49" s="54"/>
      <c r="G49" s="54"/>
      <c r="H49" s="54" t="s">
        <v>997</v>
      </c>
      <c r="I49" s="54" t="s">
        <v>998</v>
      </c>
      <c r="J49" s="54" t="s">
        <v>48</v>
      </c>
      <c r="K49" s="54"/>
      <c r="L49" s="54"/>
      <c r="M49" s="54" t="s">
        <v>996</v>
      </c>
      <c r="N49" s="54" t="s">
        <v>1266</v>
      </c>
    </row>
    <row r="50" spans="1:20" ht="70.5">
      <c r="A50" s="54" t="str">
        <f>IFERROR(VLOOKUP(D50,'Master sheet (Clientes)'!A$6:D$747,2,0)," ")</f>
        <v>NJ</v>
      </c>
      <c r="B50" s="54" t="str">
        <f>IFERROR(VLOOKUP(D50,'Master sheet (Clientes)'!A$6:D$747,3,0)," ")</f>
        <v xml:space="preserve">Optimum </v>
      </c>
      <c r="C50" s="54" t="str">
        <f>IFERROR(VLOOKUP(D50,'Master sheet (Clientes)'!A$6:D$747,4,0)," ")</f>
        <v>A-V</v>
      </c>
      <c r="D50" s="54" t="s">
        <v>512</v>
      </c>
      <c r="E50" s="54" t="s">
        <v>1083</v>
      </c>
      <c r="F50" s="54"/>
      <c r="G50" s="54" t="s">
        <v>837</v>
      </c>
      <c r="H50" s="54" t="s">
        <v>1134</v>
      </c>
      <c r="I50" s="54" t="s">
        <v>1250</v>
      </c>
      <c r="J50" s="54" t="s">
        <v>48</v>
      </c>
      <c r="K50" s="54"/>
      <c r="L50" s="54"/>
      <c r="M50" s="54"/>
      <c r="N50" s="54" t="s">
        <v>1269</v>
      </c>
    </row>
    <row r="51" spans="1:20" s="1" customFormat="1">
      <c r="A51" s="3"/>
      <c r="B51" s="3"/>
      <c r="C51" s="3"/>
      <c r="D51" s="3"/>
      <c r="E51" s="3"/>
      <c r="F51" s="3"/>
      <c r="G51" s="3"/>
      <c r="H51" s="3"/>
      <c r="I51" s="3"/>
      <c r="J51" s="3"/>
    </row>
    <row r="52" spans="1:20" s="1" customFormat="1" ht="47">
      <c r="A52" s="4" t="s">
        <v>8</v>
      </c>
      <c r="B52" s="4" t="s">
        <v>9</v>
      </c>
      <c r="C52" s="4" t="s">
        <v>10</v>
      </c>
      <c r="D52" s="4" t="s">
        <v>11</v>
      </c>
      <c r="E52" s="4" t="s">
        <v>12</v>
      </c>
      <c r="F52" s="4" t="s">
        <v>13</v>
      </c>
      <c r="G52" s="38" t="s">
        <v>14</v>
      </c>
      <c r="H52" s="4" t="s">
        <v>15</v>
      </c>
      <c r="I52" s="38" t="s">
        <v>16</v>
      </c>
      <c r="J52" s="38" t="s">
        <v>17</v>
      </c>
      <c r="K52" s="38" t="s">
        <v>18</v>
      </c>
      <c r="L52" s="38" t="s">
        <v>19</v>
      </c>
      <c r="M52" s="38" t="s">
        <v>20</v>
      </c>
      <c r="N52" s="38" t="s">
        <v>21</v>
      </c>
    </row>
    <row r="53" spans="1:20" ht="70.5">
      <c r="A53" s="54" t="str">
        <f>IFERROR(VLOOKUP(D53,'Master sheet (Clientes)'!A$6:D$747,2,0)," ")</f>
        <v>NJ</v>
      </c>
      <c r="B53" s="99" t="str">
        <f>IFERROR(VLOOKUP(D53,'Master sheet (Clientes)'!A$6:D$747,3,0)," ")</f>
        <v>Rose Associates</v>
      </c>
      <c r="C53" s="54" t="str">
        <f>IFERROR(VLOOKUP(D53,'Master sheet (Clientes)'!A$6:D$747,4,0)," ")</f>
        <v>A-V</v>
      </c>
      <c r="D53" s="54" t="s">
        <v>1381</v>
      </c>
      <c r="E53" s="54"/>
      <c r="F53" s="54"/>
      <c r="G53" s="54"/>
      <c r="H53" s="54" t="s">
        <v>999</v>
      </c>
      <c r="I53" s="54" t="s">
        <v>1000</v>
      </c>
      <c r="J53" s="54" t="s">
        <v>48</v>
      </c>
      <c r="K53" s="54"/>
      <c r="L53" s="99" t="s">
        <v>1383</v>
      </c>
      <c r="M53" s="54" t="s">
        <v>1001</v>
      </c>
      <c r="N53" s="54" t="s">
        <v>1266</v>
      </c>
    </row>
    <row r="54" spans="1:20" s="12" customFormat="1" ht="94">
      <c r="A54" s="54" t="str">
        <f>IFERROR(VLOOKUP(D54,'Master sheet (Clientes)'!A$6:D$747,2,0)," ")</f>
        <v>NJ</v>
      </c>
      <c r="B54" s="54" t="str">
        <f>IFERROR(VLOOKUP(D54,'Master sheet (Clientes)'!A$6:D$747,3,0)," ")</f>
        <v>Skylight</v>
      </c>
      <c r="C54" s="54" t="str">
        <f>IFERROR(VLOOKUP(D54,'Master sheet (Clientes)'!A$6:D$747,4,0)," ")</f>
        <v>N-O</v>
      </c>
      <c r="D54" s="54" t="s">
        <v>726</v>
      </c>
      <c r="E54" s="54" t="s">
        <v>891</v>
      </c>
      <c r="F54" s="54"/>
      <c r="G54" s="54"/>
      <c r="H54" s="54" t="s">
        <v>1116</v>
      </c>
      <c r="I54" s="54" t="s">
        <v>894</v>
      </c>
      <c r="J54" s="54" t="s">
        <v>48</v>
      </c>
      <c r="K54" s="54" t="s">
        <v>892</v>
      </c>
      <c r="L54" s="54"/>
      <c r="M54" s="54" t="s">
        <v>893</v>
      </c>
      <c r="N54" s="54" t="s">
        <v>1268</v>
      </c>
      <c r="O54" s="1"/>
      <c r="P54" s="1"/>
      <c r="Q54" s="1"/>
      <c r="R54" s="11"/>
      <c r="S54" s="11"/>
      <c r="T54" s="11"/>
    </row>
    <row r="55" spans="1:20" ht="70.5">
      <c r="A55" s="54" t="str">
        <f>IFERROR(VLOOKUP(D55,'Master sheet (Clientes)'!A$6:D$747,2,0)," ")</f>
        <v>NJ</v>
      </c>
      <c r="B55" s="54" t="str">
        <f>IFERROR(VLOOKUP(D55,'Master sheet (Clientes)'!A$6:D$747,3,0)," ")</f>
        <v>Vivmark Residential</v>
      </c>
      <c r="C55" s="54" t="str">
        <f>IFERROR(VLOOKUP(D55,'Master sheet (Clientes)'!A$6:D$747,4,0)," ")</f>
        <v>A-V</v>
      </c>
      <c r="D55" s="54" t="s">
        <v>290</v>
      </c>
      <c r="E55" s="54" t="s">
        <v>859</v>
      </c>
      <c r="F55" s="54" t="s">
        <v>45</v>
      </c>
      <c r="G55" s="54" t="s">
        <v>853</v>
      </c>
      <c r="H55" s="54" t="s">
        <v>860</v>
      </c>
      <c r="I55" s="54" t="s">
        <v>1090</v>
      </c>
      <c r="J55" s="54" t="s">
        <v>861</v>
      </c>
      <c r="K55" s="54"/>
      <c r="L55" s="54"/>
      <c r="M55" s="54" t="s">
        <v>862</v>
      </c>
      <c r="N55" s="54" t="s">
        <v>1265</v>
      </c>
    </row>
    <row r="56" spans="1:20" ht="47">
      <c r="A56" s="54" t="str">
        <f>IFERROR(VLOOKUP(D56,'Master sheet (Clientes)'!A$6:D$747,2,0)," ")</f>
        <v>NJ</v>
      </c>
      <c r="B56" s="54" t="str">
        <f>IFERROR(VLOOKUP(D56,'Master sheet (Clientes)'!A$6:D$747,3,0)," ")</f>
        <v>Bozzuto</v>
      </c>
      <c r="C56" s="54" t="str">
        <f>IFERROR(VLOOKUP(D56,'Master sheet (Clientes)'!A$6:D$747,4,0)," ")</f>
        <v>N-O</v>
      </c>
      <c r="D56" s="54" t="s">
        <v>154</v>
      </c>
      <c r="E56" s="54">
        <v>442</v>
      </c>
      <c r="F56" s="54" t="s">
        <v>854</v>
      </c>
      <c r="G56" s="54" t="s">
        <v>46</v>
      </c>
      <c r="H56" s="54" t="s">
        <v>1117</v>
      </c>
      <c r="I56" s="54" t="s">
        <v>1084</v>
      </c>
      <c r="J56" s="54" t="s">
        <v>48</v>
      </c>
      <c r="K56" s="54"/>
      <c r="L56" s="54"/>
      <c r="M56" s="54"/>
      <c r="N56" s="54" t="s">
        <v>1265</v>
      </c>
    </row>
    <row r="57" spans="1:20" s="94" customFormat="1" ht="70.5">
      <c r="A57" s="92" t="str">
        <f>IFERROR(VLOOKUP(D57,'Master sheet (Clientes)'!A$6:D$747,2,0)," ")</f>
        <v>NJ</v>
      </c>
      <c r="B57" s="92" t="str">
        <f>IFERROR(VLOOKUP(D57,'Master sheet (Clientes)'!A$6:D$747,3,0)," ")</f>
        <v>Bozzuto</v>
      </c>
      <c r="C57" s="92" t="str">
        <f>IFERROR(VLOOKUP(D57,'Master sheet (Clientes)'!A$6:D$747,4,0)," ")</f>
        <v>N-O</v>
      </c>
      <c r="D57" s="92" t="s">
        <v>186</v>
      </c>
      <c r="E57" s="92" t="s">
        <v>936</v>
      </c>
      <c r="F57" s="92" t="s">
        <v>854</v>
      </c>
      <c r="G57" s="92" t="s">
        <v>853</v>
      </c>
      <c r="H57" s="92" t="s">
        <v>860</v>
      </c>
      <c r="I57" s="92" t="s">
        <v>1103</v>
      </c>
      <c r="J57" s="92" t="s">
        <v>48</v>
      </c>
      <c r="K57" s="92"/>
      <c r="L57" s="92"/>
      <c r="M57" s="92"/>
      <c r="N57" s="92" t="s">
        <v>1267</v>
      </c>
      <c r="O57" s="93"/>
      <c r="P57" s="93"/>
      <c r="Q57" s="93"/>
    </row>
    <row r="58" spans="1:20" s="1" customFormat="1">
      <c r="A58" s="3"/>
      <c r="B58" s="3"/>
      <c r="C58" s="3"/>
      <c r="D58" s="3"/>
      <c r="E58" s="3"/>
      <c r="F58" s="3"/>
      <c r="G58" s="3"/>
      <c r="H58" s="3"/>
      <c r="I58" s="3"/>
      <c r="J58" s="3"/>
    </row>
    <row r="59" spans="1:20" s="1" customFormat="1" ht="47">
      <c r="A59" s="4" t="s">
        <v>8</v>
      </c>
      <c r="B59" s="4" t="s">
        <v>9</v>
      </c>
      <c r="C59" s="4" t="s">
        <v>10</v>
      </c>
      <c r="D59" s="4" t="s">
        <v>11</v>
      </c>
      <c r="E59" s="4" t="s">
        <v>12</v>
      </c>
      <c r="F59" s="4" t="s">
        <v>13</v>
      </c>
      <c r="G59" s="38" t="s">
        <v>14</v>
      </c>
      <c r="H59" s="4" t="s">
        <v>15</v>
      </c>
      <c r="I59" s="38" t="s">
        <v>16</v>
      </c>
      <c r="J59" s="38" t="s">
        <v>17</v>
      </c>
      <c r="K59" s="38" t="s">
        <v>18</v>
      </c>
      <c r="L59" s="38" t="s">
        <v>19</v>
      </c>
      <c r="M59" s="38" t="s">
        <v>20</v>
      </c>
      <c r="N59" s="38" t="s">
        <v>21</v>
      </c>
    </row>
    <row r="60" spans="1:20" s="94" customFormat="1" ht="47">
      <c r="A60" s="92" t="str">
        <f>IFERROR(VLOOKUP(D60,'Master sheet (Clientes)'!A$6:D$747,2,0)," ")</f>
        <v>NJ</v>
      </c>
      <c r="B60" s="92" t="str">
        <f>IFERROR(VLOOKUP(D60,'Master sheet (Clientes)'!A$6:D$747,3,0)," ")</f>
        <v>Greystar</v>
      </c>
      <c r="C60" s="92" t="str">
        <f>IFERROR(VLOOKUP(D60,'Master sheet (Clientes)'!A$6:D$747,4,0)," ")</f>
        <v>A-V</v>
      </c>
      <c r="D60" s="92" t="s">
        <v>305</v>
      </c>
      <c r="E60" s="92">
        <v>701</v>
      </c>
      <c r="F60" s="92" t="s">
        <v>852</v>
      </c>
      <c r="G60" s="92" t="s">
        <v>853</v>
      </c>
      <c r="H60" s="92" t="s">
        <v>1112</v>
      </c>
      <c r="I60" s="92" t="s">
        <v>1108</v>
      </c>
      <c r="J60" s="92" t="s">
        <v>48</v>
      </c>
      <c r="K60" s="92"/>
      <c r="L60" s="92"/>
      <c r="M60" s="92" t="s">
        <v>1146</v>
      </c>
      <c r="N60" s="92" t="s">
        <v>1139</v>
      </c>
      <c r="O60" s="93"/>
      <c r="P60" s="93"/>
      <c r="Q60" s="93"/>
    </row>
    <row r="61" spans="1:20" ht="70.5">
      <c r="A61" s="54" t="str">
        <f>IFERROR(VLOOKUP(D61,'Master sheet (Clientes)'!A$6:D$747,2,0)," ")</f>
        <v>NJ</v>
      </c>
      <c r="B61" s="54" t="str">
        <f>IFERROR(VLOOKUP(D61,'Master sheet (Clientes)'!A$6:D$747,3,0)," ")</f>
        <v>Greystar</v>
      </c>
      <c r="C61" s="54" t="str">
        <f>IFERROR(VLOOKUP(D61,'Master sheet (Clientes)'!A$6:D$747,4,0)," ")</f>
        <v>A-V</v>
      </c>
      <c r="D61" s="54" t="s">
        <v>337</v>
      </c>
      <c r="E61" s="54">
        <v>410</v>
      </c>
      <c r="F61" s="54" t="s">
        <v>854</v>
      </c>
      <c r="G61" s="54" t="s">
        <v>853</v>
      </c>
      <c r="H61" s="54" t="s">
        <v>1147</v>
      </c>
      <c r="I61" s="54" t="s">
        <v>1108</v>
      </c>
      <c r="J61" s="54" t="s">
        <v>48</v>
      </c>
      <c r="K61" s="54"/>
      <c r="L61" s="54"/>
      <c r="M61" s="54"/>
      <c r="N61" s="54" t="s">
        <v>1265</v>
      </c>
    </row>
    <row r="62" spans="1:20" ht="47">
      <c r="A62" s="54" t="str">
        <f>IFERROR(VLOOKUP(D62,'Master sheet (Clientes)'!A$6:D$747,2,0)," ")</f>
        <v>NJ</v>
      </c>
      <c r="B62" s="54" t="str">
        <f>IFERROR(VLOOKUP(D62,'Master sheet (Clientes)'!A$6:D$747,3,0)," ")</f>
        <v>Greystar</v>
      </c>
      <c r="C62" s="54" t="str">
        <f>IFERROR(VLOOKUP(D62,'Master sheet (Clientes)'!A$6:D$747,4,0)," ")</f>
        <v>A-V</v>
      </c>
      <c r="D62" s="54" t="s">
        <v>305</v>
      </c>
      <c r="E62" s="54">
        <v>316</v>
      </c>
      <c r="F62" s="54" t="s">
        <v>854</v>
      </c>
      <c r="G62" s="54" t="s">
        <v>853</v>
      </c>
      <c r="H62" s="54" t="s">
        <v>1112</v>
      </c>
      <c r="I62" s="54" t="s">
        <v>1109</v>
      </c>
      <c r="J62" s="54" t="s">
        <v>48</v>
      </c>
      <c r="K62" s="54"/>
      <c r="L62" s="54"/>
      <c r="M62" s="54"/>
      <c r="N62" s="54" t="s">
        <v>1265</v>
      </c>
    </row>
    <row r="63" spans="1:20" ht="47">
      <c r="A63" s="54" t="str">
        <f>IFERROR(VLOOKUP(D63,'Master sheet (Clientes)'!A$6:D$747,2,0)," ")</f>
        <v>NJ</v>
      </c>
      <c r="B63" s="54" t="str">
        <f>IFERROR(VLOOKUP(D63,'Master sheet (Clientes)'!A$6:D$747,3,0)," ")</f>
        <v>Greystar</v>
      </c>
      <c r="C63" s="54" t="str">
        <f>IFERROR(VLOOKUP(D63,'Master sheet (Clientes)'!A$6:D$747,4,0)," ")</f>
        <v>A-V</v>
      </c>
      <c r="D63" s="54" t="s">
        <v>305</v>
      </c>
      <c r="E63" s="54">
        <v>801</v>
      </c>
      <c r="F63" s="54" t="s">
        <v>854</v>
      </c>
      <c r="G63" s="54" t="s">
        <v>853</v>
      </c>
      <c r="H63" s="54" t="s">
        <v>1112</v>
      </c>
      <c r="I63" s="54" t="s">
        <v>1107</v>
      </c>
      <c r="J63" s="54" t="s">
        <v>48</v>
      </c>
      <c r="K63" s="54"/>
      <c r="L63" s="54"/>
      <c r="M63" s="54" t="s">
        <v>922</v>
      </c>
      <c r="N63" s="54" t="s">
        <v>1265</v>
      </c>
    </row>
    <row r="64" spans="1:20" ht="94">
      <c r="A64" s="54" t="str">
        <f>IFERROR(VLOOKUP(D64,'Master sheet (Clientes)'!A$6:D$747,2,0)," ")</f>
        <v>NJ</v>
      </c>
      <c r="B64" s="54" t="str">
        <f>IFERROR(VLOOKUP(D64,'Master sheet (Clientes)'!A$6:D$747,3,0)," ")</f>
        <v>Bozzuto</v>
      </c>
      <c r="C64" s="54" t="str">
        <f>IFERROR(VLOOKUP(D64,'Master sheet (Clientes)'!A$6:D$747,4,0)," ")</f>
        <v>N-O</v>
      </c>
      <c r="D64" s="54" t="s">
        <v>186</v>
      </c>
      <c r="E64" s="54" t="s">
        <v>936</v>
      </c>
      <c r="F64" s="54"/>
      <c r="G64" s="54" t="s">
        <v>837</v>
      </c>
      <c r="H64" s="54" t="s">
        <v>937</v>
      </c>
      <c r="I64" s="54" t="s">
        <v>938</v>
      </c>
      <c r="J64" s="54" t="s">
        <v>48</v>
      </c>
      <c r="K64" s="54" t="s">
        <v>939</v>
      </c>
      <c r="L64" s="54"/>
      <c r="M64" s="54" t="s">
        <v>940</v>
      </c>
      <c r="N64" s="54" t="s">
        <v>1266</v>
      </c>
    </row>
    <row r="65" spans="1:20" s="1" customFormat="1">
      <c r="A65" s="3"/>
      <c r="B65" s="3"/>
      <c r="C65" s="3"/>
      <c r="D65" s="3"/>
      <c r="E65" s="3"/>
      <c r="F65" s="3"/>
      <c r="G65" s="3"/>
      <c r="H65" s="3"/>
      <c r="I65" s="3"/>
      <c r="J65" s="3"/>
    </row>
    <row r="66" spans="1:20" s="1" customFormat="1" ht="47">
      <c r="A66" s="4" t="s">
        <v>8</v>
      </c>
      <c r="B66" s="4" t="s">
        <v>9</v>
      </c>
      <c r="C66" s="4" t="s">
        <v>10</v>
      </c>
      <c r="D66" s="4" t="s">
        <v>11</v>
      </c>
      <c r="E66" s="4" t="s">
        <v>12</v>
      </c>
      <c r="F66" s="4" t="s">
        <v>13</v>
      </c>
      <c r="G66" s="38" t="s">
        <v>14</v>
      </c>
      <c r="H66" s="4" t="s">
        <v>15</v>
      </c>
      <c r="I66" s="38" t="s">
        <v>16</v>
      </c>
      <c r="J66" s="38" t="s">
        <v>17</v>
      </c>
      <c r="K66" s="38" t="s">
        <v>18</v>
      </c>
      <c r="L66" s="38" t="s">
        <v>19</v>
      </c>
      <c r="M66" s="38" t="s">
        <v>20</v>
      </c>
      <c r="N66" s="38" t="s">
        <v>21</v>
      </c>
    </row>
    <row r="67" spans="1:20" ht="47">
      <c r="A67" s="54" t="str">
        <f>IFERROR(VLOOKUP(D67,'Master sheet (Clientes)'!A$6:D$747,2,0)," ")</f>
        <v>NJ</v>
      </c>
      <c r="B67" s="54" t="str">
        <f>IFERROR(VLOOKUP(D67,'Master sheet (Clientes)'!A$6:D$747,3,0)," ")</f>
        <v>Bozzuto</v>
      </c>
      <c r="C67" s="54" t="str">
        <f>IFERROR(VLOOKUP(D67,'Master sheet (Clientes)'!A$6:D$747,4,0)," ")</f>
        <v>N-O</v>
      </c>
      <c r="D67" s="54" t="s">
        <v>155</v>
      </c>
      <c r="E67" s="54">
        <v>374</v>
      </c>
      <c r="F67" s="54" t="s">
        <v>45</v>
      </c>
      <c r="G67" s="54" t="s">
        <v>46</v>
      </c>
      <c r="H67" s="54" t="s">
        <v>1117</v>
      </c>
      <c r="I67" s="54" t="s">
        <v>1110</v>
      </c>
      <c r="J67" s="54" t="s">
        <v>48</v>
      </c>
      <c r="K67" s="54"/>
      <c r="L67" s="54"/>
      <c r="M67" s="54"/>
      <c r="N67" s="54" t="s">
        <v>1265</v>
      </c>
    </row>
    <row r="68" spans="1:20" ht="47">
      <c r="A68" s="54" t="str">
        <f>IFERROR(VLOOKUP(D68,'Master sheet (Clientes)'!A$6:D$747,2,0)," ")</f>
        <v>NJ</v>
      </c>
      <c r="B68" s="54" t="str">
        <f>IFERROR(VLOOKUP(D68,'Master sheet (Clientes)'!A$6:D$747,3,0)," ")</f>
        <v>Bozzuto</v>
      </c>
      <c r="C68" s="54" t="str">
        <f>IFERROR(VLOOKUP(D68,'Master sheet (Clientes)'!A$6:D$747,4,0)," ")</f>
        <v>N-O</v>
      </c>
      <c r="D68" s="54" t="s">
        <v>155</v>
      </c>
      <c r="E68" s="54">
        <v>466</v>
      </c>
      <c r="F68" s="54" t="s">
        <v>45</v>
      </c>
      <c r="G68" s="54" t="s">
        <v>46</v>
      </c>
      <c r="H68" s="54" t="s">
        <v>1117</v>
      </c>
      <c r="I68" s="54" t="s">
        <v>1111</v>
      </c>
      <c r="J68" s="54" t="s">
        <v>48</v>
      </c>
      <c r="K68" s="54"/>
      <c r="L68" s="54"/>
      <c r="M68" s="54"/>
      <c r="N68" s="54" t="s">
        <v>1265</v>
      </c>
    </row>
    <row r="69" spans="1:20" s="1" customFormat="1">
      <c r="A69" s="3"/>
      <c r="B69" s="3"/>
      <c r="C69" s="3"/>
      <c r="D69" s="3"/>
      <c r="E69" s="3"/>
      <c r="F69" s="3"/>
      <c r="G69" s="3"/>
      <c r="H69" s="3"/>
      <c r="I69" s="3"/>
      <c r="J69" s="3"/>
    </row>
    <row r="70" spans="1:20" s="1" customFormat="1" ht="47">
      <c r="A70" s="4" t="s">
        <v>8</v>
      </c>
      <c r="B70" s="4" t="s">
        <v>9</v>
      </c>
      <c r="C70" s="4" t="s">
        <v>10</v>
      </c>
      <c r="D70" s="4" t="s">
        <v>11</v>
      </c>
      <c r="E70" s="4" t="s">
        <v>12</v>
      </c>
      <c r="F70" s="4" t="s">
        <v>13</v>
      </c>
      <c r="G70" s="38" t="s">
        <v>14</v>
      </c>
      <c r="H70" s="4" t="s">
        <v>15</v>
      </c>
      <c r="I70" s="38" t="s">
        <v>16</v>
      </c>
      <c r="J70" s="38" t="s">
        <v>17</v>
      </c>
      <c r="K70" s="38" t="s">
        <v>18</v>
      </c>
      <c r="L70" s="38" t="s">
        <v>19</v>
      </c>
      <c r="M70" s="38" t="s">
        <v>20</v>
      </c>
      <c r="N70" s="38" t="s">
        <v>21</v>
      </c>
    </row>
    <row r="71" spans="1:20" s="12" customFormat="1" ht="117.5">
      <c r="A71" s="54" t="str">
        <f>IFERROR(VLOOKUP(D71,'Master sheet (Clientes)'!A$6:D$747,2,0)," ")</f>
        <v>NJ</v>
      </c>
      <c r="B71" s="54" t="str">
        <f>IFERROR(VLOOKUP(D71,'Master sheet (Clientes)'!A$6:D$747,3,0)," ")</f>
        <v>Rose Associates</v>
      </c>
      <c r="C71" s="54" t="str">
        <f>IFERROR(VLOOKUP(D71,'Master sheet (Clientes)'!A$6:D$747,4,0)," ")</f>
        <v>A-V</v>
      </c>
      <c r="D71" s="54" t="s">
        <v>678</v>
      </c>
      <c r="E71" s="54">
        <v>201</v>
      </c>
      <c r="F71" s="54"/>
      <c r="G71" s="54" t="s">
        <v>853</v>
      </c>
      <c r="H71" s="54" t="s">
        <v>1118</v>
      </c>
      <c r="I71" s="54" t="s">
        <v>1140</v>
      </c>
      <c r="J71" s="54" t="s">
        <v>48</v>
      </c>
      <c r="K71" s="54" t="s">
        <v>933</v>
      </c>
      <c r="L71" s="54"/>
      <c r="M71" s="54" t="s">
        <v>1102</v>
      </c>
      <c r="N71" s="54" t="s">
        <v>1269</v>
      </c>
      <c r="O71" s="1"/>
      <c r="P71" s="1"/>
      <c r="Q71" s="1"/>
      <c r="R71" s="11"/>
      <c r="S71" s="11"/>
      <c r="T71" s="11"/>
    </row>
    <row r="72" spans="1:20">
      <c r="A72" s="1"/>
      <c r="B72" s="1"/>
      <c r="C72" s="1"/>
      <c r="D72" s="1"/>
      <c r="E72" s="1"/>
      <c r="F72" s="1"/>
      <c r="G72" s="1"/>
      <c r="H72" s="1"/>
      <c r="I72" s="1"/>
      <c r="J72" s="1"/>
      <c r="K72" s="1"/>
      <c r="L72" s="1"/>
      <c r="M72" s="1"/>
      <c r="N72" s="1"/>
    </row>
    <row r="73" spans="1:20" s="1" customFormat="1" ht="47">
      <c r="A73" s="4" t="s">
        <v>8</v>
      </c>
      <c r="B73" s="4" t="s">
        <v>9</v>
      </c>
      <c r="C73" s="4" t="s">
        <v>10</v>
      </c>
      <c r="D73" s="4" t="s">
        <v>11</v>
      </c>
      <c r="E73" s="4" t="s">
        <v>12</v>
      </c>
      <c r="F73" s="4" t="s">
        <v>13</v>
      </c>
      <c r="G73" s="38" t="s">
        <v>14</v>
      </c>
      <c r="H73" s="4" t="s">
        <v>15</v>
      </c>
      <c r="I73" s="38" t="s">
        <v>16</v>
      </c>
      <c r="J73" s="38" t="s">
        <v>17</v>
      </c>
      <c r="K73" s="38" t="s">
        <v>18</v>
      </c>
      <c r="L73" s="38" t="s">
        <v>19</v>
      </c>
      <c r="M73" s="38" t="s">
        <v>20</v>
      </c>
      <c r="N73" s="38" t="s">
        <v>21</v>
      </c>
    </row>
    <row r="74" spans="1:20" ht="70.5">
      <c r="A74" s="54" t="str">
        <f>IFERROR(VLOOKUP(D74,'Master sheet (Clientes)'!A$6:D$747,2,0)," ")</f>
        <v>NJ</v>
      </c>
      <c r="B74" s="54" t="str">
        <f>IFERROR(VLOOKUP(D74,'Master sheet (Clientes)'!A$6:D$747,3,0)," ")</f>
        <v>Greystar</v>
      </c>
      <c r="C74" s="54" t="str">
        <f>IFERROR(VLOOKUP(D74,'Master sheet (Clientes)'!A$6:D$747,4,0)," ")</f>
        <v>A-V</v>
      </c>
      <c r="D74" s="54" t="s">
        <v>327</v>
      </c>
      <c r="E74" s="54">
        <v>1110</v>
      </c>
      <c r="F74" s="54" t="s">
        <v>946</v>
      </c>
      <c r="G74" s="54" t="s">
        <v>853</v>
      </c>
      <c r="H74" s="54" t="s">
        <v>1119</v>
      </c>
      <c r="I74" s="54" t="s">
        <v>901</v>
      </c>
      <c r="J74" s="54" t="s">
        <v>48</v>
      </c>
      <c r="K74" s="54"/>
      <c r="L74" s="54"/>
      <c r="M74" s="54"/>
      <c r="N74" s="54" t="s">
        <v>1268</v>
      </c>
    </row>
    <row r="75" spans="1:20" ht="70.5">
      <c r="A75" s="54" t="str">
        <f>IFERROR(VLOOKUP(D75,'Master sheet (Clientes)'!A$6:D$747,2,0)," ")</f>
        <v>NJ</v>
      </c>
      <c r="B75" s="54" t="str">
        <f>IFERROR(VLOOKUP(D75,'Master sheet (Clientes)'!A$6:D$747,3,0)," ")</f>
        <v>Greystar</v>
      </c>
      <c r="C75" s="54" t="str">
        <f>IFERROR(VLOOKUP(D75,'Master sheet (Clientes)'!A$6:D$747,4,0)," ")</f>
        <v>A-V</v>
      </c>
      <c r="D75" s="54" t="s">
        <v>327</v>
      </c>
      <c r="E75" s="54" t="s">
        <v>947</v>
      </c>
      <c r="F75" s="54" t="s">
        <v>45</v>
      </c>
      <c r="G75" s="54" t="s">
        <v>853</v>
      </c>
      <c r="H75" s="54" t="s">
        <v>1119</v>
      </c>
      <c r="I75" s="54" t="s">
        <v>901</v>
      </c>
      <c r="J75" s="54" t="s">
        <v>48</v>
      </c>
      <c r="K75" s="54"/>
      <c r="L75" s="54"/>
      <c r="M75" s="54"/>
      <c r="N75" s="54" t="s">
        <v>1268</v>
      </c>
    </row>
    <row r="76" spans="1:20" ht="70.5">
      <c r="A76" s="54" t="str">
        <f>IFERROR(VLOOKUP(D76,'Master sheet (Clientes)'!A$6:D$747,2,0)," ")</f>
        <v>NJ</v>
      </c>
      <c r="B76" s="54" t="str">
        <f>IFERROR(VLOOKUP(D76,'Master sheet (Clientes)'!A$6:D$747,3,0)," ")</f>
        <v>Greystar</v>
      </c>
      <c r="C76" s="54" t="str">
        <f>IFERROR(VLOOKUP(D76,'Master sheet (Clientes)'!A$6:D$747,4,0)," ")</f>
        <v>A-V</v>
      </c>
      <c r="D76" s="54" t="s">
        <v>327</v>
      </c>
      <c r="E76" s="54">
        <v>713</v>
      </c>
      <c r="F76" s="54" t="s">
        <v>45</v>
      </c>
      <c r="G76" s="54" t="s">
        <v>853</v>
      </c>
      <c r="H76" s="54" t="s">
        <v>1120</v>
      </c>
      <c r="I76" s="54" t="s">
        <v>901</v>
      </c>
      <c r="J76" s="54" t="s">
        <v>48</v>
      </c>
      <c r="K76" s="54"/>
      <c r="L76" s="54"/>
      <c r="M76" s="54"/>
      <c r="N76" s="54" t="s">
        <v>1268</v>
      </c>
    </row>
    <row r="77" spans="1:20" ht="70.5">
      <c r="A77" s="54" t="str">
        <f>IFERROR(VLOOKUP(D77,'Master sheet (Clientes)'!A$6:D$747,2,0)," ")</f>
        <v>NJ</v>
      </c>
      <c r="B77" s="54" t="str">
        <f>IFERROR(VLOOKUP(D77,'Master sheet (Clientes)'!A$6:D$747,3,0)," ")</f>
        <v>Greystar</v>
      </c>
      <c r="C77" s="54" t="str">
        <f>IFERROR(VLOOKUP(D77,'Master sheet (Clientes)'!A$6:D$747,4,0)," ")</f>
        <v>A-V</v>
      </c>
      <c r="D77" s="54" t="s">
        <v>327</v>
      </c>
      <c r="E77" s="54">
        <v>711</v>
      </c>
      <c r="F77" s="54" t="s">
        <v>45</v>
      </c>
      <c r="G77" s="54" t="s">
        <v>853</v>
      </c>
      <c r="H77" s="54" t="s">
        <v>1120</v>
      </c>
      <c r="I77" s="54" t="s">
        <v>901</v>
      </c>
      <c r="J77" s="54" t="s">
        <v>48</v>
      </c>
      <c r="K77" s="54"/>
      <c r="L77" s="54"/>
      <c r="M77" s="54"/>
      <c r="N77" s="54" t="s">
        <v>1268</v>
      </c>
    </row>
    <row r="78" spans="1:20" ht="70.5">
      <c r="A78" s="54" t="str">
        <f>IFERROR(VLOOKUP(D78,'Master sheet (Clientes)'!A$6:D$747,2,0)," ")</f>
        <v>NJ</v>
      </c>
      <c r="B78" s="54" t="str">
        <f>IFERROR(VLOOKUP(D78,'Master sheet (Clientes)'!A$6:D$747,3,0)," ")</f>
        <v>Vivmark Residential</v>
      </c>
      <c r="C78" s="54" t="str">
        <f>IFERROR(VLOOKUP(D78,'Master sheet (Clientes)'!A$6:D$747,4,0)," ")</f>
        <v>A-V</v>
      </c>
      <c r="D78" s="54" t="s">
        <v>286</v>
      </c>
      <c r="E78" s="54">
        <v>4210</v>
      </c>
      <c r="F78" s="54" t="s">
        <v>874</v>
      </c>
      <c r="G78" s="54" t="s">
        <v>853</v>
      </c>
      <c r="H78" s="54" t="s">
        <v>857</v>
      </c>
      <c r="I78" s="54" t="s">
        <v>901</v>
      </c>
      <c r="J78" s="54" t="s">
        <v>973</v>
      </c>
      <c r="K78" s="54"/>
      <c r="L78" s="54"/>
      <c r="M78" s="54"/>
      <c r="N78" s="54" t="s">
        <v>1268</v>
      </c>
    </row>
    <row r="79" spans="1:20" ht="70.5">
      <c r="A79" s="54" t="str">
        <f>IFERROR(VLOOKUP(D79,'Master sheet (Clientes)'!A$6:D$747,2,0)," ")</f>
        <v>NJ</v>
      </c>
      <c r="B79" s="54" t="str">
        <f>IFERROR(VLOOKUP(D79,'Master sheet (Clientes)'!A$6:D$747,3,0)," ")</f>
        <v>Vivmark Residential</v>
      </c>
      <c r="C79" s="54" t="str">
        <f>IFERROR(VLOOKUP(D79,'Master sheet (Clientes)'!A$6:D$747,4,0)," ")</f>
        <v>A-V</v>
      </c>
      <c r="D79" s="54" t="s">
        <v>290</v>
      </c>
      <c r="E79" s="54" t="s">
        <v>974</v>
      </c>
      <c r="F79" s="54" t="s">
        <v>854</v>
      </c>
      <c r="G79" s="54" t="s">
        <v>853</v>
      </c>
      <c r="H79" s="54" t="s">
        <v>857</v>
      </c>
      <c r="I79" s="54" t="s">
        <v>901</v>
      </c>
      <c r="J79" s="54" t="s">
        <v>863</v>
      </c>
      <c r="K79" s="54"/>
      <c r="L79" s="54"/>
      <c r="M79" s="54"/>
      <c r="N79" s="54" t="s">
        <v>1268</v>
      </c>
    </row>
    <row r="80" spans="1:20">
      <c r="A80" s="1"/>
      <c r="B80" s="1"/>
      <c r="C80" s="1"/>
      <c r="D80" s="1"/>
      <c r="E80" s="1"/>
      <c r="F80" s="1"/>
      <c r="G80" s="1"/>
      <c r="H80" s="1"/>
      <c r="I80" s="1"/>
      <c r="J80" s="1"/>
      <c r="K80" s="1"/>
      <c r="L80" s="1"/>
      <c r="M80" s="1"/>
      <c r="N80" s="1"/>
    </row>
    <row r="81" spans="1:20" s="1" customFormat="1" ht="47">
      <c r="A81" s="4" t="s">
        <v>8</v>
      </c>
      <c r="B81" s="4" t="s">
        <v>9</v>
      </c>
      <c r="C81" s="4" t="s">
        <v>10</v>
      </c>
      <c r="D81" s="4" t="s">
        <v>11</v>
      </c>
      <c r="E81" s="4" t="s">
        <v>12</v>
      </c>
      <c r="F81" s="4" t="s">
        <v>13</v>
      </c>
      <c r="G81" s="38" t="s">
        <v>14</v>
      </c>
      <c r="H81" s="4" t="s">
        <v>15</v>
      </c>
      <c r="I81" s="38" t="s">
        <v>16</v>
      </c>
      <c r="J81" s="38" t="s">
        <v>17</v>
      </c>
      <c r="K81" s="38" t="s">
        <v>18</v>
      </c>
      <c r="L81" s="38" t="s">
        <v>19</v>
      </c>
      <c r="M81" s="38" t="s">
        <v>20</v>
      </c>
      <c r="N81" s="38" t="s">
        <v>21</v>
      </c>
    </row>
    <row r="82" spans="1:20" s="12" customFormat="1" ht="47">
      <c r="A82" s="54" t="str">
        <f>IFERROR(VLOOKUP(D82,'Master sheet (Clientes)'!A$6:D$747,2,0)," ")</f>
        <v>NJ</v>
      </c>
      <c r="B82" s="54" t="str">
        <f>IFERROR(VLOOKUP(D82,'Master sheet (Clientes)'!A$6:D$747,3,0)," ")</f>
        <v>Two Coast Living</v>
      </c>
      <c r="C82" s="54" t="str">
        <f>IFERROR(VLOOKUP(D82,'Master sheet (Clientes)'!A$6:D$747,4,0)," ")</f>
        <v>N-O</v>
      </c>
      <c r="D82" s="54" t="s">
        <v>761</v>
      </c>
      <c r="E82" s="54">
        <v>404</v>
      </c>
      <c r="F82" s="54" t="s">
        <v>45</v>
      </c>
      <c r="G82" s="54" t="s">
        <v>853</v>
      </c>
      <c r="H82" s="54" t="s">
        <v>895</v>
      </c>
      <c r="I82" s="54" t="s">
        <v>896</v>
      </c>
      <c r="J82" s="54" t="s">
        <v>897</v>
      </c>
      <c r="K82" s="54"/>
      <c r="L82" s="54"/>
      <c r="M82" s="54"/>
      <c r="N82" s="54" t="s">
        <v>1268</v>
      </c>
      <c r="O82" s="1"/>
      <c r="P82" s="1"/>
      <c r="Q82" s="1"/>
      <c r="R82" s="11"/>
      <c r="S82" s="11"/>
      <c r="T82" s="11"/>
    </row>
    <row r="83" spans="1:20" s="12" customFormat="1" ht="47">
      <c r="A83" s="54" t="str">
        <f>IFERROR(VLOOKUP(D83,'Master sheet (Clientes)'!A$6:D$747,2,0)," ")</f>
        <v>NJ</v>
      </c>
      <c r="B83" s="54" t="str">
        <f>IFERROR(VLOOKUP(D83,'Master sheet (Clientes)'!A$6:D$747,3,0)," ")</f>
        <v>Two Coast Living</v>
      </c>
      <c r="C83" s="54" t="str">
        <f>IFERROR(VLOOKUP(D83,'Master sheet (Clientes)'!A$6:D$747,4,0)," ")</f>
        <v>N-O</v>
      </c>
      <c r="D83" s="54" t="s">
        <v>761</v>
      </c>
      <c r="E83" s="54">
        <v>907</v>
      </c>
      <c r="F83" s="54" t="s">
        <v>45</v>
      </c>
      <c r="G83" s="54" t="s">
        <v>853</v>
      </c>
      <c r="H83" s="54" t="s">
        <v>895</v>
      </c>
      <c r="I83" s="54" t="s">
        <v>896</v>
      </c>
      <c r="J83" s="54" t="s">
        <v>1640</v>
      </c>
      <c r="K83" s="54"/>
      <c r="L83" s="54"/>
      <c r="M83" s="54"/>
      <c r="N83" s="54" t="s">
        <v>1268</v>
      </c>
      <c r="O83" s="1"/>
      <c r="P83" s="1"/>
      <c r="Q83" s="1"/>
      <c r="R83" s="11"/>
      <c r="S83" s="11"/>
      <c r="T83" s="11"/>
    </row>
    <row r="84" spans="1:20">
      <c r="A84" s="1"/>
      <c r="B84" s="1"/>
      <c r="C84" s="1"/>
      <c r="D84" s="1"/>
      <c r="E84" s="1"/>
      <c r="F84" s="1"/>
      <c r="G84" s="1"/>
      <c r="H84" s="1"/>
      <c r="I84" s="1"/>
      <c r="J84" s="1"/>
      <c r="K84" s="1"/>
      <c r="L84" s="1"/>
      <c r="M84" s="1"/>
      <c r="N84" s="1"/>
    </row>
    <row r="85" spans="1:20" s="1" customFormat="1" ht="47">
      <c r="A85" s="4" t="s">
        <v>8</v>
      </c>
      <c r="B85" s="4" t="s">
        <v>9</v>
      </c>
      <c r="C85" s="4" t="s">
        <v>10</v>
      </c>
      <c r="D85" s="4" t="s">
        <v>11</v>
      </c>
      <c r="E85" s="4" t="s">
        <v>12</v>
      </c>
      <c r="F85" s="4" t="s">
        <v>13</v>
      </c>
      <c r="G85" s="38" t="s">
        <v>14</v>
      </c>
      <c r="H85" s="4" t="s">
        <v>15</v>
      </c>
      <c r="I85" s="38" t="s">
        <v>16</v>
      </c>
      <c r="J85" s="38" t="s">
        <v>17</v>
      </c>
      <c r="K85" s="38" t="s">
        <v>18</v>
      </c>
      <c r="L85" s="38" t="s">
        <v>19</v>
      </c>
      <c r="M85" s="38" t="s">
        <v>20</v>
      </c>
      <c r="N85" s="38" t="s">
        <v>21</v>
      </c>
    </row>
    <row r="86" spans="1:20" s="12" customFormat="1" ht="47">
      <c r="A86" s="54" t="str">
        <f>IFERROR(VLOOKUP(D86,'Master sheet (Clientes)'!A$6:D$747,2,0)," ")</f>
        <v>NJ</v>
      </c>
      <c r="B86" s="54" t="str">
        <f>IFERROR(VLOOKUP(D86,'Master sheet (Clientes)'!A$6:D$747,3,0)," ")</f>
        <v xml:space="preserve">Optimum </v>
      </c>
      <c r="C86" s="54" t="str">
        <f>IFERROR(VLOOKUP(D86,'Master sheet (Clientes)'!A$6:D$747,4,0)," ")</f>
        <v>A-V</v>
      </c>
      <c r="D86" s="54" t="s">
        <v>502</v>
      </c>
      <c r="E86" s="54">
        <v>301</v>
      </c>
      <c r="F86" s="54"/>
      <c r="G86" s="54" t="s">
        <v>837</v>
      </c>
      <c r="H86" s="54" t="s">
        <v>1053</v>
      </c>
      <c r="I86" s="54" t="s">
        <v>883</v>
      </c>
      <c r="J86" s="54" t="s">
        <v>48</v>
      </c>
      <c r="K86" s="54"/>
      <c r="L86" s="54"/>
      <c r="M86" s="54"/>
      <c r="N86" s="54" t="s">
        <v>1268</v>
      </c>
      <c r="O86" s="1"/>
      <c r="P86" s="1"/>
      <c r="Q86" s="1"/>
      <c r="R86" s="11"/>
      <c r="S86" s="11"/>
      <c r="T86" s="11"/>
    </row>
    <row r="87" spans="1:20" ht="47">
      <c r="A87" s="54" t="str">
        <f>IFERROR(VLOOKUP(D87,'Master sheet (Clientes)'!A$6:D$747,2,0)," ")</f>
        <v>NJ</v>
      </c>
      <c r="B87" s="54" t="str">
        <f>IFERROR(VLOOKUP(D87,'Master sheet (Clientes)'!A$6:D$747,3,0)," ")</f>
        <v>C/O Realty</v>
      </c>
      <c r="C87" s="54" t="str">
        <f>IFERROR(VLOOKUP(D87,'Master sheet (Clientes)'!A$6:D$747,4,0)," ")</f>
        <v>N-O</v>
      </c>
      <c r="D87" s="54" t="s">
        <v>226</v>
      </c>
      <c r="E87" s="54">
        <v>1909</v>
      </c>
      <c r="F87" s="54"/>
      <c r="G87" s="54" t="s">
        <v>853</v>
      </c>
      <c r="H87" s="54" t="s">
        <v>1035</v>
      </c>
      <c r="I87" s="54" t="s">
        <v>883</v>
      </c>
      <c r="J87" s="54" t="s">
        <v>48</v>
      </c>
      <c r="K87" s="54"/>
      <c r="L87" s="54"/>
      <c r="M87" s="54"/>
      <c r="N87" s="54" t="s">
        <v>1268</v>
      </c>
    </row>
    <row r="88" spans="1:20" ht="47">
      <c r="A88" s="54" t="str">
        <f>IFERROR(VLOOKUP(D88,'Master sheet (Clientes)'!A$6:D$747,2,0)," ")</f>
        <v>NJ</v>
      </c>
      <c r="B88" s="54" t="str">
        <f>IFERROR(VLOOKUP(D88,'Master sheet (Clientes)'!A$6:D$747,3,0)," ")</f>
        <v>C/O Realty</v>
      </c>
      <c r="C88" s="54" t="str">
        <f>IFERROR(VLOOKUP(D88,'Master sheet (Clientes)'!A$6:D$747,4,0)," ")</f>
        <v>N-O</v>
      </c>
      <c r="D88" s="54" t="s">
        <v>226</v>
      </c>
      <c r="E88" s="54">
        <v>1006</v>
      </c>
      <c r="F88" s="54"/>
      <c r="G88" s="54" t="s">
        <v>853</v>
      </c>
      <c r="H88" s="54" t="s">
        <v>1035</v>
      </c>
      <c r="I88" s="54" t="s">
        <v>883</v>
      </c>
      <c r="J88" s="54" t="s">
        <v>48</v>
      </c>
      <c r="K88" s="54"/>
      <c r="L88" s="54"/>
      <c r="M88" s="54"/>
      <c r="N88" s="54" t="s">
        <v>1268</v>
      </c>
    </row>
    <row r="89" spans="1:20">
      <c r="A89" s="1"/>
      <c r="B89" s="1"/>
      <c r="C89" s="1"/>
      <c r="D89" s="1"/>
      <c r="E89" s="1"/>
      <c r="F89" s="1"/>
      <c r="G89" s="1"/>
      <c r="H89" s="1"/>
      <c r="I89" s="1"/>
      <c r="J89" s="1"/>
      <c r="K89" s="1"/>
      <c r="L89" s="1"/>
      <c r="M89" s="1"/>
      <c r="N89" s="1"/>
    </row>
    <row r="90" spans="1:20" s="1" customFormat="1" ht="47">
      <c r="A90" s="4" t="s">
        <v>8</v>
      </c>
      <c r="B90" s="4" t="s">
        <v>9</v>
      </c>
      <c r="C90" s="4" t="s">
        <v>10</v>
      </c>
      <c r="D90" s="4" t="s">
        <v>11</v>
      </c>
      <c r="E90" s="4" t="s">
        <v>12</v>
      </c>
      <c r="F90" s="4" t="s">
        <v>13</v>
      </c>
      <c r="G90" s="38" t="s">
        <v>14</v>
      </c>
      <c r="H90" s="4" t="s">
        <v>15</v>
      </c>
      <c r="I90" s="38" t="s">
        <v>16</v>
      </c>
      <c r="J90" s="38" t="s">
        <v>17</v>
      </c>
      <c r="K90" s="38" t="s">
        <v>18</v>
      </c>
      <c r="L90" s="38" t="s">
        <v>19</v>
      </c>
      <c r="M90" s="38" t="s">
        <v>20</v>
      </c>
      <c r="N90" s="38" t="s">
        <v>21</v>
      </c>
    </row>
    <row r="91" spans="1:20" ht="94">
      <c r="A91" s="54" t="str">
        <f>IFERROR(VLOOKUP(D91,'Master sheet (Clientes)'!A$6:D$747,2,0)," ")</f>
        <v>NJ</v>
      </c>
      <c r="B91" s="54" t="str">
        <f>IFERROR(VLOOKUP(D91,'Master sheet (Clientes)'!A$6:D$747,3,0)," ")</f>
        <v>Bozzuto</v>
      </c>
      <c r="C91" s="54" t="str">
        <f>IFERROR(VLOOKUP(D91,'Master sheet (Clientes)'!A$6:D$747,4,0)," ")</f>
        <v>N-O</v>
      </c>
      <c r="D91" s="54" t="s">
        <v>154</v>
      </c>
      <c r="E91" s="54">
        <v>426</v>
      </c>
      <c r="F91" s="54"/>
      <c r="G91" s="54"/>
      <c r="H91" s="54" t="s">
        <v>1121</v>
      </c>
      <c r="I91" s="54" t="s">
        <v>909</v>
      </c>
      <c r="J91" s="54" t="s">
        <v>48</v>
      </c>
      <c r="K91" s="54" t="s">
        <v>965</v>
      </c>
      <c r="L91" s="54"/>
      <c r="M91" s="54"/>
      <c r="N91" s="54" t="s">
        <v>1268</v>
      </c>
    </row>
    <row r="92" spans="1:20" ht="47">
      <c r="A92" s="54" t="str">
        <f>IFERROR(VLOOKUP(D92,'Master sheet (Clientes)'!A$6:D$747,2,0)," ")</f>
        <v>NJ</v>
      </c>
      <c r="B92" s="54" t="str">
        <f>IFERROR(VLOOKUP(D92,'Master sheet (Clientes)'!A$6:D$747,3,0)," ")</f>
        <v>Skylight</v>
      </c>
      <c r="C92" s="54" t="str">
        <f>IFERROR(VLOOKUP(D92,'Master sheet (Clientes)'!A$6:D$747,4,0)," ")</f>
        <v>N-O</v>
      </c>
      <c r="D92" s="54" t="s">
        <v>729</v>
      </c>
      <c r="E92" s="54">
        <v>414</v>
      </c>
      <c r="F92" s="54"/>
      <c r="G92" s="54" t="s">
        <v>917</v>
      </c>
      <c r="H92" s="54" t="s">
        <v>956</v>
      </c>
      <c r="I92" s="54" t="s">
        <v>909</v>
      </c>
      <c r="J92" s="54" t="s">
        <v>48</v>
      </c>
      <c r="K92" s="54"/>
      <c r="L92" s="54"/>
      <c r="M92" s="54"/>
      <c r="N92" s="54" t="s">
        <v>1268</v>
      </c>
    </row>
    <row r="93" spans="1:20">
      <c r="A93" s="1"/>
      <c r="B93" s="1"/>
      <c r="C93" s="1"/>
      <c r="D93" s="1"/>
      <c r="E93" s="1"/>
      <c r="F93" s="1"/>
      <c r="G93" s="1"/>
      <c r="H93" s="1"/>
      <c r="I93" s="1"/>
      <c r="J93" s="1"/>
      <c r="K93" s="1"/>
      <c r="L93" s="1"/>
      <c r="M93" s="1"/>
      <c r="N93" s="1"/>
    </row>
    <row r="94" spans="1:20" ht="26">
      <c r="A94" s="33"/>
      <c r="B94" s="33"/>
      <c r="C94" s="33"/>
      <c r="D94" s="127" t="s">
        <v>26</v>
      </c>
      <c r="E94" s="127"/>
      <c r="F94" s="127"/>
      <c r="G94" s="127"/>
      <c r="H94" s="127"/>
      <c r="I94" s="127"/>
      <c r="J94" s="127"/>
      <c r="K94" s="127"/>
      <c r="L94" s="127"/>
      <c r="M94" s="16"/>
      <c r="N94" s="16"/>
    </row>
    <row r="95" spans="1:20" s="5" customFormat="1" ht="26">
      <c r="A95" s="43"/>
      <c r="B95" s="43"/>
      <c r="C95" s="43"/>
      <c r="D95" s="128" t="s">
        <v>27</v>
      </c>
      <c r="E95" s="128"/>
      <c r="F95" s="128"/>
      <c r="G95" s="128"/>
      <c r="H95" s="128"/>
      <c r="I95" s="128"/>
      <c r="J95" s="128"/>
      <c r="K95" s="128"/>
      <c r="L95" s="128"/>
      <c r="M95" s="44"/>
      <c r="N95" s="44"/>
      <c r="O95" s="35"/>
      <c r="P95" s="35"/>
      <c r="Q95" s="35"/>
    </row>
    <row r="96" spans="1:20" s="1" customFormat="1">
      <c r="A96" s="3"/>
      <c r="B96" s="3"/>
      <c r="C96" s="3"/>
      <c r="D96" s="3"/>
      <c r="E96" s="3"/>
      <c r="F96" s="3"/>
      <c r="G96" s="3"/>
      <c r="H96" s="3"/>
      <c r="I96" s="3"/>
      <c r="J96" s="3"/>
    </row>
    <row r="97" spans="1:17" s="1" customFormat="1" ht="47">
      <c r="A97" s="4" t="s">
        <v>8</v>
      </c>
      <c r="B97" s="4" t="s">
        <v>9</v>
      </c>
      <c r="C97" s="4" t="s">
        <v>10</v>
      </c>
      <c r="D97" s="4" t="s">
        <v>11</v>
      </c>
      <c r="E97" s="4" t="s">
        <v>12</v>
      </c>
      <c r="F97" s="4" t="s">
        <v>13</v>
      </c>
      <c r="G97" s="38" t="s">
        <v>14</v>
      </c>
      <c r="H97" s="4" t="s">
        <v>15</v>
      </c>
      <c r="I97" s="38" t="s">
        <v>16</v>
      </c>
      <c r="J97" s="38" t="s">
        <v>17</v>
      </c>
      <c r="K97" s="38" t="s">
        <v>18</v>
      </c>
      <c r="L97" s="38" t="s">
        <v>19</v>
      </c>
      <c r="M97" s="38" t="s">
        <v>20</v>
      </c>
      <c r="N97" s="38" t="s">
        <v>21</v>
      </c>
    </row>
    <row r="98" spans="1:17" ht="70.5">
      <c r="A98" s="54" t="str">
        <f>IFERROR(VLOOKUP(D98,'Master sheet (Clientes)'!A$6:D$747,2,0)," ")</f>
        <v>NJ</v>
      </c>
      <c r="B98" s="54" t="str">
        <f>IFERROR(VLOOKUP(D98,'Master sheet (Clientes)'!A$6:D$747,3,0)," ")</f>
        <v>C/O Realty</v>
      </c>
      <c r="C98" s="54" t="str">
        <f>IFERROR(VLOOKUP(D98,'Master sheet (Clientes)'!A$6:D$747,4,0)," ")</f>
        <v>N-O</v>
      </c>
      <c r="D98" s="54" t="s">
        <v>217</v>
      </c>
      <c r="E98" s="54"/>
      <c r="F98" s="54"/>
      <c r="G98" s="54"/>
      <c r="H98" s="54" t="s">
        <v>878</v>
      </c>
      <c r="I98" s="54" t="s">
        <v>1251</v>
      </c>
      <c r="J98" s="54" t="s">
        <v>869</v>
      </c>
      <c r="K98" s="54" t="s">
        <v>898</v>
      </c>
      <c r="L98" s="54"/>
      <c r="M98" s="54" t="s">
        <v>900</v>
      </c>
      <c r="N98" s="54" t="s">
        <v>1266</v>
      </c>
    </row>
    <row r="99" spans="1:17" ht="70.5">
      <c r="A99" s="54" t="str">
        <f>IFERROR(VLOOKUP(D99,'Master sheet (Clientes)'!A$6:D$747,2,0)," ")</f>
        <v>NJ</v>
      </c>
      <c r="B99" s="54" t="str">
        <f>IFERROR(VLOOKUP(D99,'Master sheet (Clientes)'!A$6:D$747,3,0)," ")</f>
        <v>C/O Realty</v>
      </c>
      <c r="C99" s="54" t="str">
        <f>IFERROR(VLOOKUP(D99,'Master sheet (Clientes)'!A$6:D$747,4,0)," ")</f>
        <v>N-O</v>
      </c>
      <c r="D99" s="54" t="s">
        <v>217</v>
      </c>
      <c r="E99" s="54"/>
      <c r="F99" s="54"/>
      <c r="G99" s="54"/>
      <c r="H99" s="54" t="s">
        <v>879</v>
      </c>
      <c r="I99" s="54" t="s">
        <v>1252</v>
      </c>
      <c r="J99" s="54" t="s">
        <v>869</v>
      </c>
      <c r="K99" s="54" t="s">
        <v>899</v>
      </c>
      <c r="L99" s="54"/>
      <c r="M99" s="54" t="s">
        <v>900</v>
      </c>
      <c r="N99" s="54" t="s">
        <v>1266</v>
      </c>
    </row>
    <row r="100" spans="1:17" s="94" customFormat="1" ht="70.5">
      <c r="A100" s="92" t="str">
        <f>IFERROR(VLOOKUP(D100,'Master sheet (Clientes)'!A$6:D$747,2,0)," ")</f>
        <v>NJ</v>
      </c>
      <c r="B100" s="92" t="str">
        <f>IFERROR(VLOOKUP(D100,'Master sheet (Clientes)'!A$6:D$747,3,0)," ")</f>
        <v>C/O Realty</v>
      </c>
      <c r="C100" s="92" t="str">
        <f>IFERROR(VLOOKUP(D100,'Master sheet (Clientes)'!A$6:D$747,4,0)," ")</f>
        <v>N-O</v>
      </c>
      <c r="D100" s="92" t="s">
        <v>217</v>
      </c>
      <c r="E100" s="92">
        <v>610</v>
      </c>
      <c r="F100" s="92" t="s">
        <v>854</v>
      </c>
      <c r="G100" s="92" t="s">
        <v>853</v>
      </c>
      <c r="H100" s="92" t="s">
        <v>1253</v>
      </c>
      <c r="I100" s="92" t="s">
        <v>868</v>
      </c>
      <c r="J100" s="92" t="s">
        <v>869</v>
      </c>
      <c r="K100" s="92"/>
      <c r="L100" s="92"/>
      <c r="M100" s="92"/>
      <c r="N100" s="92" t="s">
        <v>1255</v>
      </c>
      <c r="O100" s="93"/>
      <c r="P100" s="93"/>
      <c r="Q100" s="93"/>
    </row>
    <row r="101" spans="1:17" s="94" customFormat="1" ht="70.5">
      <c r="A101" s="92" t="str">
        <f>IFERROR(VLOOKUP(D101,'Master sheet (Clientes)'!A$6:D$747,2,0)," ")</f>
        <v>NJ</v>
      </c>
      <c r="B101" s="92" t="str">
        <f>IFERROR(VLOOKUP(D101,'Master sheet (Clientes)'!A$6:D$747,3,0)," ")</f>
        <v>C/O Realty</v>
      </c>
      <c r="C101" s="92" t="str">
        <f>IFERROR(VLOOKUP(D101,'Master sheet (Clientes)'!A$6:D$747,4,0)," ")</f>
        <v>N-O</v>
      </c>
      <c r="D101" s="92" t="s">
        <v>217</v>
      </c>
      <c r="E101" s="92">
        <v>610</v>
      </c>
      <c r="F101" s="92" t="s">
        <v>854</v>
      </c>
      <c r="G101" s="92" t="s">
        <v>853</v>
      </c>
      <c r="H101" s="92" t="s">
        <v>1254</v>
      </c>
      <c r="I101" s="92" t="s">
        <v>868</v>
      </c>
      <c r="J101" s="92" t="s">
        <v>869</v>
      </c>
      <c r="K101" s="92" t="s">
        <v>1085</v>
      </c>
      <c r="L101" s="92"/>
      <c r="M101" s="92"/>
      <c r="N101" s="92" t="s">
        <v>1255</v>
      </c>
      <c r="O101" s="93"/>
      <c r="P101" s="93"/>
      <c r="Q101" s="93"/>
    </row>
    <row r="102" spans="1:17" ht="70.5">
      <c r="A102" s="54" t="str">
        <f>IFERROR(VLOOKUP(D102,'Master sheet (Clientes)'!A$6:D$747,2,0)," ")</f>
        <v>NJ</v>
      </c>
      <c r="B102" s="54" t="str">
        <f>IFERROR(VLOOKUP(D102,'Master sheet (Clientes)'!A$6:D$747,3,0)," ")</f>
        <v>C/O Realty</v>
      </c>
      <c r="C102" s="54" t="str">
        <f>IFERROR(VLOOKUP(D102,'Master sheet (Clientes)'!A$6:D$747,4,0)," ")</f>
        <v>N-O</v>
      </c>
      <c r="D102" s="54" t="s">
        <v>217</v>
      </c>
      <c r="E102" s="54">
        <v>1907</v>
      </c>
      <c r="F102" s="54" t="s">
        <v>45</v>
      </c>
      <c r="G102" s="54" t="s">
        <v>853</v>
      </c>
      <c r="H102" s="54" t="s">
        <v>867</v>
      </c>
      <c r="I102" s="54" t="s">
        <v>1256</v>
      </c>
      <c r="J102" s="54" t="s">
        <v>869</v>
      </c>
      <c r="K102" s="54" t="s">
        <v>870</v>
      </c>
      <c r="L102" s="54"/>
      <c r="M102" s="54"/>
      <c r="N102" s="92" t="s">
        <v>1289</v>
      </c>
    </row>
    <row r="103" spans="1:17" ht="47">
      <c r="A103" s="54" t="str">
        <f>IFERROR(VLOOKUP(D103,'Master sheet (Clientes)'!A$6:D$747,2,0)," ")</f>
        <v>NJ</v>
      </c>
      <c r="B103" s="54" t="str">
        <f>IFERROR(VLOOKUP(D103,'Master sheet (Clientes)'!A$6:D$747,3,0)," ")</f>
        <v>C/O Realty</v>
      </c>
      <c r="C103" s="54" t="str">
        <f>IFERROR(VLOOKUP(D103,'Master sheet (Clientes)'!A$6:D$747,4,0)," ")</f>
        <v>N-O</v>
      </c>
      <c r="D103" s="54" t="s">
        <v>209</v>
      </c>
      <c r="E103" s="54">
        <v>3406</v>
      </c>
      <c r="F103" s="54" t="s">
        <v>45</v>
      </c>
      <c r="G103" s="54" t="s">
        <v>853</v>
      </c>
      <c r="H103" s="54" t="s">
        <v>1086</v>
      </c>
      <c r="I103" s="54" t="s">
        <v>1264</v>
      </c>
      <c r="J103" s="54" t="s">
        <v>869</v>
      </c>
      <c r="K103" s="54" t="s">
        <v>1087</v>
      </c>
      <c r="L103" s="54"/>
      <c r="M103" s="54"/>
      <c r="N103" s="54" t="s">
        <v>1268</v>
      </c>
    </row>
    <row r="104" spans="1:17" ht="47">
      <c r="A104" s="54" t="str">
        <f>IFERROR(VLOOKUP(D104,'Master sheet (Clientes)'!A$6:D$747,2,0)," ")</f>
        <v>NJ</v>
      </c>
      <c r="B104" s="54" t="str">
        <f>IFERROR(VLOOKUP(D104,'Master sheet (Clientes)'!A$6:D$747,3,0)," ")</f>
        <v>C/O Realty</v>
      </c>
      <c r="C104" s="54" t="str">
        <f>IFERROR(VLOOKUP(D104,'Master sheet (Clientes)'!A$6:D$747,4,0)," ")</f>
        <v>N-O</v>
      </c>
      <c r="D104" s="54" t="s">
        <v>209</v>
      </c>
      <c r="E104" s="54">
        <v>2707</v>
      </c>
      <c r="F104" s="54" t="s">
        <v>45</v>
      </c>
      <c r="G104" s="54" t="s">
        <v>853</v>
      </c>
      <c r="H104" s="54" t="s">
        <v>1076</v>
      </c>
      <c r="I104" s="54" t="s">
        <v>1257</v>
      </c>
      <c r="J104" s="54" t="s">
        <v>840</v>
      </c>
      <c r="K104" s="54"/>
      <c r="L104" s="54"/>
      <c r="M104" s="54" t="s">
        <v>1071</v>
      </c>
      <c r="N104" s="54" t="s">
        <v>1268</v>
      </c>
    </row>
    <row r="105" spans="1:17" ht="47">
      <c r="A105" s="54" t="str">
        <f>IFERROR(VLOOKUP(D105,'Master sheet (Clientes)'!A$6:D$747,2,0)," ")</f>
        <v>NJ</v>
      </c>
      <c r="B105" s="54" t="str">
        <f>IFERROR(VLOOKUP(D105,'Master sheet (Clientes)'!A$6:D$747,3,0)," ")</f>
        <v>C/O Realty</v>
      </c>
      <c r="C105" s="54" t="str">
        <f>IFERROR(VLOOKUP(D105,'Master sheet (Clientes)'!A$6:D$747,4,0)," ")</f>
        <v>N-O</v>
      </c>
      <c r="D105" s="54" t="s">
        <v>209</v>
      </c>
      <c r="E105" s="54">
        <v>2609</v>
      </c>
      <c r="F105" s="54" t="s">
        <v>946</v>
      </c>
      <c r="G105" s="54" t="s">
        <v>853</v>
      </c>
      <c r="H105" s="54" t="s">
        <v>1076</v>
      </c>
      <c r="I105" s="54" t="s">
        <v>1258</v>
      </c>
      <c r="J105" s="54" t="s">
        <v>840</v>
      </c>
      <c r="K105" s="54"/>
      <c r="L105" s="54"/>
      <c r="M105" s="54" t="s">
        <v>1071</v>
      </c>
      <c r="N105" s="54" t="s">
        <v>1268</v>
      </c>
    </row>
    <row r="106" spans="1:17" ht="94">
      <c r="A106" s="54" t="str">
        <f>IFERROR(VLOOKUP(D106,'Master sheet (Clientes)'!A$6:D$747,2,0)," ")</f>
        <v>NJ</v>
      </c>
      <c r="B106" s="54" t="str">
        <f>IFERROR(VLOOKUP(D106,'Master sheet (Clientes)'!A$6:D$747,3,0)," ")</f>
        <v>C/O Realty</v>
      </c>
      <c r="C106" s="54" t="str">
        <f>IFERROR(VLOOKUP(D106,'Master sheet (Clientes)'!A$6:D$747,4,0)," ")</f>
        <v>N-O</v>
      </c>
      <c r="D106" s="54" t="s">
        <v>219</v>
      </c>
      <c r="E106" s="54"/>
      <c r="F106" s="54"/>
      <c r="G106" s="54"/>
      <c r="H106" s="54" t="s">
        <v>1008</v>
      </c>
      <c r="I106" s="54" t="s">
        <v>1009</v>
      </c>
      <c r="J106" s="54" t="s">
        <v>869</v>
      </c>
      <c r="K106" s="54"/>
      <c r="L106" s="54"/>
      <c r="M106" s="54" t="s">
        <v>1010</v>
      </c>
      <c r="N106" s="54" t="s">
        <v>1266</v>
      </c>
    </row>
    <row r="107" spans="1:17" ht="94">
      <c r="A107" s="54" t="str">
        <f>IFERROR(VLOOKUP(D107,'Master sheet (Clientes)'!A$6:D$747,2,0)," ")</f>
        <v>NJ</v>
      </c>
      <c r="B107" s="54" t="str">
        <f>IFERROR(VLOOKUP(D107,'Master sheet (Clientes)'!A$6:D$747,3,0)," ")</f>
        <v>C/O Realty</v>
      </c>
      <c r="C107" s="54" t="str">
        <f>IFERROR(VLOOKUP(D107,'Master sheet (Clientes)'!A$6:D$747,4,0)," ")</f>
        <v>N-O</v>
      </c>
      <c r="D107" s="54" t="s">
        <v>218</v>
      </c>
      <c r="E107" s="54"/>
      <c r="F107" s="54"/>
      <c r="G107" s="54"/>
      <c r="H107" s="54" t="s">
        <v>1011</v>
      </c>
      <c r="I107" s="54" t="s">
        <v>1012</v>
      </c>
      <c r="J107" s="54" t="s">
        <v>869</v>
      </c>
      <c r="K107" s="54"/>
      <c r="L107" s="54"/>
      <c r="M107" s="54" t="s">
        <v>1010</v>
      </c>
      <c r="N107" s="54" t="s">
        <v>1266</v>
      </c>
    </row>
    <row r="108" spans="1:17" ht="47">
      <c r="A108" s="54" t="str">
        <f>IFERROR(VLOOKUP(D108,'Master sheet (Clientes)'!A$6:D$747,2,0)," ")</f>
        <v>NJ</v>
      </c>
      <c r="B108" s="54" t="str">
        <f>IFERROR(VLOOKUP(D108,'Master sheet (Clientes)'!A$6:D$747,3,0)," ")</f>
        <v>C/O Realty</v>
      </c>
      <c r="C108" s="54" t="str">
        <f>IFERROR(VLOOKUP(D108,'Master sheet (Clientes)'!A$6:D$747,4,0)," ")</f>
        <v>N-O</v>
      </c>
      <c r="D108" s="54" t="s">
        <v>212</v>
      </c>
      <c r="E108" s="54">
        <v>1212</v>
      </c>
      <c r="F108" s="54" t="s">
        <v>45</v>
      </c>
      <c r="G108" s="54" t="s">
        <v>853</v>
      </c>
      <c r="H108" s="54" t="s">
        <v>1122</v>
      </c>
      <c r="I108" s="54" t="s">
        <v>1012</v>
      </c>
      <c r="J108" s="54" t="s">
        <v>869</v>
      </c>
      <c r="K108" s="54" t="s">
        <v>1088</v>
      </c>
      <c r="L108" s="54"/>
      <c r="M108" s="54"/>
      <c r="N108" s="54" t="s">
        <v>1266</v>
      </c>
    </row>
    <row r="109" spans="1:17" ht="47">
      <c r="A109" s="54" t="str">
        <f>IFERROR(VLOOKUP(D109,'Master sheet (Clientes)'!A$6:D$747,2,0)," ")</f>
        <v>NJ</v>
      </c>
      <c r="B109" s="54" t="str">
        <f>IFERROR(VLOOKUP(D109,'Master sheet (Clientes)'!A$6:D$747,3,0)," ")</f>
        <v>C/O Realty</v>
      </c>
      <c r="C109" s="54" t="str">
        <f>IFERROR(VLOOKUP(D109,'Master sheet (Clientes)'!A$6:D$747,4,0)," ")</f>
        <v>N-O</v>
      </c>
      <c r="D109" s="54" t="s">
        <v>212</v>
      </c>
      <c r="E109" s="54">
        <v>1705</v>
      </c>
      <c r="F109" s="54" t="s">
        <v>854</v>
      </c>
      <c r="G109" s="54" t="s">
        <v>853</v>
      </c>
      <c r="H109" s="54" t="s">
        <v>955</v>
      </c>
      <c r="I109" s="54" t="s">
        <v>1259</v>
      </c>
      <c r="J109" s="54" t="s">
        <v>869</v>
      </c>
      <c r="K109" s="54"/>
      <c r="L109" s="54"/>
      <c r="M109" s="54"/>
      <c r="N109" s="54" t="s">
        <v>1266</v>
      </c>
    </row>
    <row r="110" spans="1:17" ht="70.5">
      <c r="A110" s="54" t="str">
        <f>IFERROR(VLOOKUP(D110,'Master sheet (Clientes)'!A$6:D$747,2,0)," ")</f>
        <v>NJ</v>
      </c>
      <c r="B110" s="54" t="str">
        <f>IFERROR(VLOOKUP(D110,'Master sheet (Clientes)'!A$6:D$747,3,0)," ")</f>
        <v>C/O Realty</v>
      </c>
      <c r="C110" s="54" t="str">
        <f>IFERROR(VLOOKUP(D110,'Master sheet (Clientes)'!A$6:D$747,4,0)," ")</f>
        <v>N-O</v>
      </c>
      <c r="D110" s="54" t="s">
        <v>212</v>
      </c>
      <c r="E110" s="54">
        <v>1414</v>
      </c>
      <c r="F110" s="54"/>
      <c r="G110" s="54" t="s">
        <v>853</v>
      </c>
      <c r="H110" s="54" t="s">
        <v>1302</v>
      </c>
      <c r="I110" s="54" t="s">
        <v>880</v>
      </c>
      <c r="J110" s="54" t="s">
        <v>869</v>
      </c>
      <c r="K110" s="54" t="s">
        <v>1301</v>
      </c>
      <c r="L110" s="54"/>
      <c r="M110" s="54"/>
      <c r="N110" s="54" t="s">
        <v>1266</v>
      </c>
    </row>
    <row r="111" spans="1:17" ht="70.5">
      <c r="A111" s="54" t="str">
        <f>IFERROR(VLOOKUP(D111,'Master sheet (Clientes)'!A$6:D$747,2,0)," ")</f>
        <v>NJ</v>
      </c>
      <c r="B111" s="54" t="str">
        <f>IFERROR(VLOOKUP(D111,'Master sheet (Clientes)'!A$6:D$747,3,0)," ")</f>
        <v>C/O Realty</v>
      </c>
      <c r="C111" s="54" t="str">
        <f>IFERROR(VLOOKUP(D111,'Master sheet (Clientes)'!A$6:D$747,4,0)," ")</f>
        <v>N-O</v>
      </c>
      <c r="D111" s="54" t="s">
        <v>229</v>
      </c>
      <c r="E111" s="54" t="s">
        <v>915</v>
      </c>
      <c r="F111" s="54"/>
      <c r="G111" s="54"/>
      <c r="H111" s="54" t="s">
        <v>1123</v>
      </c>
      <c r="I111" s="54" t="s">
        <v>1260</v>
      </c>
      <c r="J111" s="54" t="s">
        <v>869</v>
      </c>
      <c r="K111" s="54" t="s">
        <v>916</v>
      </c>
      <c r="L111" s="54"/>
      <c r="M111" s="54"/>
      <c r="N111" s="54" t="s">
        <v>1268</v>
      </c>
    </row>
    <row r="112" spans="1:17" ht="70.5">
      <c r="A112" s="54" t="str">
        <f>IFERROR(VLOOKUP(D112,'Master sheet (Clientes)'!A$6:D$747,2,0)," ")</f>
        <v>NJ</v>
      </c>
      <c r="B112" s="54" t="str">
        <f>IFERROR(VLOOKUP(D112,'Master sheet (Clientes)'!A$6:D$747,3,0)," ")</f>
        <v>C/O Realty</v>
      </c>
      <c r="C112" s="54" t="str">
        <f>IFERROR(VLOOKUP(D112,'Master sheet (Clientes)'!A$6:D$747,4,0)," ")</f>
        <v>N-O</v>
      </c>
      <c r="D112" s="54" t="s">
        <v>208</v>
      </c>
      <c r="E112" s="54">
        <v>903</v>
      </c>
      <c r="F112" s="54"/>
      <c r="G112" s="54" t="s">
        <v>853</v>
      </c>
      <c r="H112" s="54" t="s">
        <v>927</v>
      </c>
      <c r="I112" s="54" t="s">
        <v>1261</v>
      </c>
      <c r="J112" s="54" t="s">
        <v>869</v>
      </c>
      <c r="K112" s="54" t="s">
        <v>975</v>
      </c>
      <c r="L112" s="54"/>
      <c r="M112" s="54"/>
      <c r="N112" s="54" t="s">
        <v>1268</v>
      </c>
    </row>
    <row r="113" spans="1:17" ht="47">
      <c r="A113" s="54" t="str">
        <f>IFERROR(VLOOKUP(D113,'Master sheet (Clientes)'!A$6:D$747,2,0)," ")</f>
        <v>NJ</v>
      </c>
      <c r="B113" s="54" t="str">
        <f>IFERROR(VLOOKUP(D113,'Master sheet (Clientes)'!A$6:D$747,3,0)," ")</f>
        <v>C/O Realty</v>
      </c>
      <c r="C113" s="54" t="str">
        <f>IFERROR(VLOOKUP(D113,'Master sheet (Clientes)'!A$6:D$747,4,0)," ")</f>
        <v>N-O</v>
      </c>
      <c r="D113" s="54" t="s">
        <v>220</v>
      </c>
      <c r="E113" s="54">
        <v>2905</v>
      </c>
      <c r="F113" s="54" t="s">
        <v>854</v>
      </c>
      <c r="G113" s="54" t="s">
        <v>853</v>
      </c>
      <c r="H113" s="54" t="s">
        <v>955</v>
      </c>
      <c r="I113" s="54" t="s">
        <v>1262</v>
      </c>
      <c r="J113" s="54" t="s">
        <v>869</v>
      </c>
      <c r="K113" s="54"/>
      <c r="L113" s="54"/>
      <c r="M113" s="54"/>
      <c r="N113" s="54" t="s">
        <v>1266</v>
      </c>
    </row>
    <row r="114" spans="1:17" s="94" customFormat="1" ht="70.5">
      <c r="A114" s="92" t="str">
        <f>IFERROR(VLOOKUP(D114,'Master sheet (Clientes)'!A$6:D$747,2,0)," ")</f>
        <v>NJ</v>
      </c>
      <c r="B114" s="92" t="str">
        <f>IFERROR(VLOOKUP(D114,'Master sheet (Clientes)'!A$6:D$747,3,0)," ")</f>
        <v>C/O Realty</v>
      </c>
      <c r="C114" s="92" t="str">
        <f>IFERROR(VLOOKUP(D114,'Master sheet (Clientes)'!A$6:D$747,4,0)," ")</f>
        <v>N-O</v>
      </c>
      <c r="D114" s="92" t="s">
        <v>220</v>
      </c>
      <c r="E114" s="92" t="s">
        <v>1002</v>
      </c>
      <c r="F114" s="92"/>
      <c r="G114" s="92"/>
      <c r="H114" s="92" t="s">
        <v>1003</v>
      </c>
      <c r="I114" s="92" t="s">
        <v>880</v>
      </c>
      <c r="J114" s="92" t="s">
        <v>869</v>
      </c>
      <c r="K114" s="92"/>
      <c r="L114" s="92"/>
      <c r="M114" s="92" t="s">
        <v>1004</v>
      </c>
      <c r="N114" s="92" t="s">
        <v>1291</v>
      </c>
      <c r="O114" s="93"/>
      <c r="P114" s="93"/>
      <c r="Q114" s="93"/>
    </row>
    <row r="115" spans="1:17" ht="47">
      <c r="A115" s="54" t="str">
        <f>IFERROR(VLOOKUP(D115,'Master sheet (Clientes)'!A$6:D$747,2,0)," ")</f>
        <v>NJ</v>
      </c>
      <c r="B115" s="54" t="str">
        <f>IFERROR(VLOOKUP(D115,'Master sheet (Clientes)'!A$6:D$747,3,0)," ")</f>
        <v>C/O Realty</v>
      </c>
      <c r="C115" s="54" t="str">
        <f>IFERROR(VLOOKUP(D115,'Master sheet (Clientes)'!A$6:D$747,4,0)," ")</f>
        <v>N-O</v>
      </c>
      <c r="D115" s="54" t="s">
        <v>220</v>
      </c>
      <c r="E115" s="54" t="s">
        <v>1057</v>
      </c>
      <c r="F115" s="54"/>
      <c r="G115" s="54"/>
      <c r="H115" s="54" t="s">
        <v>1059</v>
      </c>
      <c r="I115" s="54" t="s">
        <v>1263</v>
      </c>
      <c r="J115" s="54" t="s">
        <v>840</v>
      </c>
      <c r="K115" s="54" t="s">
        <v>1058</v>
      </c>
      <c r="L115" s="54"/>
      <c r="M115" s="54" t="s">
        <v>1060</v>
      </c>
      <c r="N115" s="54" t="s">
        <v>1266</v>
      </c>
    </row>
    <row r="116" spans="1:17" s="94" customFormat="1" ht="211.5">
      <c r="A116" s="92" t="str">
        <f>IFERROR(VLOOKUP(D116,'Master sheet (Clientes)'!A$6:D$747,2,0)," ")</f>
        <v>NJ</v>
      </c>
      <c r="B116" s="92" t="str">
        <f>IFERROR(VLOOKUP(D116,'Master sheet (Clientes)'!A$6:D$747,3,0)," ")</f>
        <v>C/O Realty</v>
      </c>
      <c r="C116" s="92" t="str">
        <f>IFERROR(VLOOKUP(D116,'Master sheet (Clientes)'!A$6:D$747,4,0)," ")</f>
        <v>N-O</v>
      </c>
      <c r="D116" s="92" t="s">
        <v>220</v>
      </c>
      <c r="E116" s="92" t="s">
        <v>1078</v>
      </c>
      <c r="F116" s="92"/>
      <c r="G116" s="92"/>
      <c r="H116" s="92" t="s">
        <v>1292</v>
      </c>
      <c r="I116" s="92" t="s">
        <v>880</v>
      </c>
      <c r="J116" s="92" t="s">
        <v>869</v>
      </c>
      <c r="K116" s="92" t="s">
        <v>1079</v>
      </c>
      <c r="L116" s="92"/>
      <c r="M116" s="92"/>
      <c r="N116" s="92" t="s">
        <v>1291</v>
      </c>
      <c r="O116" s="93"/>
      <c r="P116" s="93"/>
      <c r="Q116" s="93"/>
    </row>
    <row r="117" spans="1:17" ht="70.5">
      <c r="A117" s="54" t="str">
        <f>IFERROR(VLOOKUP(D117,'Master sheet (Clientes)'!A$6:D$747,2,0)," ")</f>
        <v>NJ</v>
      </c>
      <c r="B117" s="54" t="str">
        <f>IFERROR(VLOOKUP(D117,'Master sheet (Clientes)'!A$6:D$747,3,0)," ")</f>
        <v>C/O Realty</v>
      </c>
      <c r="C117" s="54" t="str">
        <f>IFERROR(VLOOKUP(D117,'Master sheet (Clientes)'!A$6:D$747,4,0)," ")</f>
        <v>N-O</v>
      </c>
      <c r="D117" s="54" t="s">
        <v>211</v>
      </c>
      <c r="E117" s="54">
        <v>211</v>
      </c>
      <c r="F117" s="54"/>
      <c r="G117" s="54" t="s">
        <v>917</v>
      </c>
      <c r="H117" s="54" t="s">
        <v>976</v>
      </c>
      <c r="I117" s="54" t="s">
        <v>1264</v>
      </c>
      <c r="J117" s="54" t="s">
        <v>869</v>
      </c>
      <c r="K117" s="54" t="s">
        <v>977</v>
      </c>
      <c r="L117" s="54"/>
      <c r="M117" s="54"/>
      <c r="N117" s="54" t="s">
        <v>1268</v>
      </c>
    </row>
    <row r="118" spans="1:17" ht="70.5">
      <c r="A118" s="54" t="str">
        <f>IFERROR(VLOOKUP(D118,'Master sheet (Clientes)'!A$6:D$747,2,0)," ")</f>
        <v>NJ</v>
      </c>
      <c r="B118" s="54" t="str">
        <f>IFERROR(VLOOKUP(D118,'Master sheet (Clientes)'!A$6:D$747,3,0)," ")</f>
        <v>C/O Realty</v>
      </c>
      <c r="C118" s="54" t="str">
        <f>IFERROR(VLOOKUP(D118,'Master sheet (Clientes)'!A$6:D$747,4,0)," ")</f>
        <v>N-O</v>
      </c>
      <c r="D118" s="54" t="s">
        <v>221</v>
      </c>
      <c r="E118" s="54">
        <v>607</v>
      </c>
      <c r="F118" s="54"/>
      <c r="G118" s="54" t="s">
        <v>837</v>
      </c>
      <c r="H118" s="54" t="s">
        <v>1124</v>
      </c>
      <c r="I118" s="54" t="s">
        <v>1293</v>
      </c>
      <c r="J118" s="54" t="s">
        <v>840</v>
      </c>
      <c r="K118" s="54" t="s">
        <v>886</v>
      </c>
      <c r="L118" s="54"/>
      <c r="M118" s="54" t="s">
        <v>1397</v>
      </c>
      <c r="N118" s="54" t="s">
        <v>1268</v>
      </c>
    </row>
    <row r="119" spans="1:17" ht="70.5">
      <c r="A119" s="54" t="str">
        <f>IFERROR(VLOOKUP(D119,'Master sheet (Clientes)'!A$6:D$747,2,0)," ")</f>
        <v>NJ</v>
      </c>
      <c r="B119" s="54" t="str">
        <f>IFERROR(VLOOKUP(D119,'Master sheet (Clientes)'!A$6:D$747,3,0)," ")</f>
        <v>C/O Realty</v>
      </c>
      <c r="C119" s="54" t="str">
        <f>IFERROR(VLOOKUP(D119,'Master sheet (Clientes)'!A$6:D$747,4,0)," ")</f>
        <v>N-O</v>
      </c>
      <c r="D119" s="54" t="s">
        <v>221</v>
      </c>
      <c r="E119" s="54"/>
      <c r="F119" s="54"/>
      <c r="G119" s="54"/>
      <c r="H119" s="54" t="s">
        <v>929</v>
      </c>
      <c r="I119" s="54" t="s">
        <v>930</v>
      </c>
      <c r="J119" s="54" t="s">
        <v>869</v>
      </c>
      <c r="K119" s="54" t="s">
        <v>931</v>
      </c>
      <c r="L119" s="54"/>
      <c r="M119" s="54" t="s">
        <v>932</v>
      </c>
      <c r="N119" s="54" t="s">
        <v>1269</v>
      </c>
    </row>
    <row r="120" spans="1:17">
      <c r="A120" s="1"/>
      <c r="B120" s="1"/>
      <c r="C120" s="1"/>
      <c r="D120" s="1"/>
      <c r="E120" s="1"/>
      <c r="F120" s="1"/>
      <c r="G120" s="1"/>
      <c r="H120" s="1"/>
      <c r="I120" s="1"/>
      <c r="J120" s="1"/>
      <c r="K120" s="1"/>
      <c r="L120" s="1"/>
      <c r="M120" s="1"/>
      <c r="N120" s="1"/>
    </row>
    <row r="121" spans="1:17" s="1" customFormat="1" ht="47">
      <c r="A121" s="4" t="s">
        <v>8</v>
      </c>
      <c r="B121" s="4" t="s">
        <v>9</v>
      </c>
      <c r="C121" s="4" t="s">
        <v>10</v>
      </c>
      <c r="D121" s="4" t="s">
        <v>11</v>
      </c>
      <c r="E121" s="4" t="s">
        <v>12</v>
      </c>
      <c r="F121" s="4" t="s">
        <v>13</v>
      </c>
      <c r="G121" s="38" t="s">
        <v>14</v>
      </c>
      <c r="H121" s="4" t="s">
        <v>15</v>
      </c>
      <c r="I121" s="38" t="s">
        <v>16</v>
      </c>
      <c r="J121" s="38" t="s">
        <v>17</v>
      </c>
      <c r="K121" s="38" t="s">
        <v>18</v>
      </c>
      <c r="L121" s="38" t="s">
        <v>19</v>
      </c>
      <c r="M121" s="38" t="s">
        <v>20</v>
      </c>
      <c r="N121" s="38" t="s">
        <v>21</v>
      </c>
    </row>
    <row r="122" spans="1:17" ht="70.5">
      <c r="A122" s="54" t="str">
        <f>IFERROR(VLOOKUP(D122,'Master sheet (Clientes)'!A$6:D$747,2,0)," ")</f>
        <v>NJ</v>
      </c>
      <c r="B122" s="54" t="str">
        <f>IFERROR(VLOOKUP(D122,'Master sheet (Clientes)'!A$6:D$747,3,0)," ")</f>
        <v>C/O Realty</v>
      </c>
      <c r="C122" s="54" t="str">
        <f>IFERROR(VLOOKUP(D122,'Master sheet (Clientes)'!A$6:D$747,4,0)," ")</f>
        <v>N-O</v>
      </c>
      <c r="D122" s="54" t="s">
        <v>217</v>
      </c>
      <c r="E122" s="54">
        <v>1907</v>
      </c>
      <c r="F122" s="54" t="s">
        <v>45</v>
      </c>
      <c r="G122" s="54" t="s">
        <v>853</v>
      </c>
      <c r="H122" s="54" t="s">
        <v>871</v>
      </c>
      <c r="I122" s="54" t="s">
        <v>1093</v>
      </c>
      <c r="J122" s="54" t="s">
        <v>869</v>
      </c>
      <c r="K122" s="54" t="s">
        <v>870</v>
      </c>
      <c r="L122" s="54"/>
      <c r="M122" s="54"/>
      <c r="N122" s="54"/>
    </row>
    <row r="123" spans="1:17">
      <c r="A123" s="1"/>
      <c r="B123" s="1"/>
      <c r="C123" s="1"/>
      <c r="D123" s="1"/>
      <c r="E123" s="1"/>
      <c r="F123" s="1"/>
      <c r="G123" s="1"/>
      <c r="H123" s="1"/>
      <c r="I123" s="1"/>
      <c r="J123" s="1"/>
      <c r="K123" s="1"/>
      <c r="L123" s="1"/>
      <c r="M123" s="1"/>
      <c r="N123" s="1"/>
    </row>
    <row r="124" spans="1:17" s="1" customFormat="1" ht="47">
      <c r="A124" s="4" t="s">
        <v>8</v>
      </c>
      <c r="B124" s="4" t="s">
        <v>9</v>
      </c>
      <c r="C124" s="4" t="s">
        <v>10</v>
      </c>
      <c r="D124" s="4" t="s">
        <v>11</v>
      </c>
      <c r="E124" s="4" t="s">
        <v>12</v>
      </c>
      <c r="F124" s="4" t="s">
        <v>13</v>
      </c>
      <c r="G124" s="38" t="s">
        <v>14</v>
      </c>
      <c r="H124" s="4" t="s">
        <v>15</v>
      </c>
      <c r="I124" s="38" t="s">
        <v>16</v>
      </c>
      <c r="J124" s="38" t="s">
        <v>17</v>
      </c>
      <c r="K124" s="38" t="s">
        <v>18</v>
      </c>
      <c r="L124" s="38" t="s">
        <v>19</v>
      </c>
      <c r="M124" s="38" t="s">
        <v>20</v>
      </c>
      <c r="N124" s="38" t="s">
        <v>21</v>
      </c>
    </row>
    <row r="125" spans="1:17" ht="70.5">
      <c r="A125" s="54" t="str">
        <f>IFERROR(VLOOKUP(D125,'Master sheet (Clientes)'!A$6:D$747,2,0)," ")</f>
        <v>NJ</v>
      </c>
      <c r="B125" s="54" t="str">
        <f>IFERROR(VLOOKUP(D125,'Master sheet (Clientes)'!A$6:D$747,3,0)," ")</f>
        <v>C/O Realty</v>
      </c>
      <c r="C125" s="54" t="str">
        <f>IFERROR(VLOOKUP(D125,'Master sheet (Clientes)'!A$6:D$747,4,0)," ")</f>
        <v>N-O</v>
      </c>
      <c r="D125" s="54" t="s">
        <v>217</v>
      </c>
      <c r="E125" s="54">
        <v>1409</v>
      </c>
      <c r="F125" s="54" t="s">
        <v>854</v>
      </c>
      <c r="G125" s="54" t="s">
        <v>853</v>
      </c>
      <c r="H125" s="54" t="s">
        <v>872</v>
      </c>
      <c r="I125" s="54" t="s">
        <v>942</v>
      </c>
      <c r="J125" s="54" t="s">
        <v>869</v>
      </c>
      <c r="K125" s="54" t="s">
        <v>943</v>
      </c>
      <c r="L125" s="54"/>
      <c r="M125" s="54"/>
      <c r="N125" s="54" t="s">
        <v>1268</v>
      </c>
    </row>
    <row r="126" spans="1:17">
      <c r="A126" s="1"/>
      <c r="B126" s="1"/>
      <c r="C126" s="1"/>
      <c r="D126" s="1"/>
      <c r="E126" s="1"/>
      <c r="F126" s="1"/>
      <c r="G126" s="1"/>
      <c r="H126" s="1"/>
      <c r="I126" s="1"/>
      <c r="J126" s="1"/>
      <c r="K126" s="1"/>
      <c r="L126" s="1"/>
      <c r="M126" s="1"/>
      <c r="N126" s="1"/>
    </row>
    <row r="127" spans="1:17" s="1" customFormat="1" ht="47">
      <c r="A127" s="4" t="s">
        <v>8</v>
      </c>
      <c r="B127" s="4" t="s">
        <v>9</v>
      </c>
      <c r="C127" s="4" t="s">
        <v>10</v>
      </c>
      <c r="D127" s="4" t="s">
        <v>11</v>
      </c>
      <c r="E127" s="4" t="s">
        <v>12</v>
      </c>
      <c r="F127" s="4" t="s">
        <v>13</v>
      </c>
      <c r="G127" s="38" t="s">
        <v>14</v>
      </c>
      <c r="H127" s="4" t="s">
        <v>15</v>
      </c>
      <c r="I127" s="38" t="s">
        <v>16</v>
      </c>
      <c r="J127" s="38" t="s">
        <v>17</v>
      </c>
      <c r="K127" s="38" t="s">
        <v>18</v>
      </c>
      <c r="L127" s="38" t="s">
        <v>19</v>
      </c>
      <c r="M127" s="38" t="s">
        <v>20</v>
      </c>
      <c r="N127" s="38" t="s">
        <v>21</v>
      </c>
    </row>
    <row r="128" spans="1:17" ht="70.5">
      <c r="A128" s="54" t="str">
        <f>IFERROR(VLOOKUP(D128,'Master sheet (Clientes)'!A$6:D$747,2,0)," ")</f>
        <v>NJ</v>
      </c>
      <c r="B128" s="54" t="str">
        <f>IFERROR(VLOOKUP(D128,'Master sheet (Clientes)'!A$6:D$747,3,0)," ")</f>
        <v>C/O Realty</v>
      </c>
      <c r="C128" s="54" t="str">
        <f>IFERROR(VLOOKUP(D128,'Master sheet (Clientes)'!A$6:D$747,4,0)," ")</f>
        <v>N-O</v>
      </c>
      <c r="D128" s="54" t="s">
        <v>218</v>
      </c>
      <c r="E128" s="54">
        <v>2512</v>
      </c>
      <c r="F128" s="54" t="s">
        <v>854</v>
      </c>
      <c r="G128" s="54" t="s">
        <v>853</v>
      </c>
      <c r="H128" s="54" t="s">
        <v>1400</v>
      </c>
      <c r="I128" s="54" t="s">
        <v>950</v>
      </c>
      <c r="J128" s="54" t="s">
        <v>840</v>
      </c>
      <c r="K128" s="54"/>
      <c r="L128" s="54"/>
      <c r="M128" s="54"/>
      <c r="N128" s="54" t="s">
        <v>1268</v>
      </c>
    </row>
    <row r="129" spans="1:14" ht="70.5">
      <c r="A129" s="54" t="str">
        <f>IFERROR(VLOOKUP(D129,'Master sheet (Clientes)'!A$6:D$747,2,0)," ")</f>
        <v>NJ</v>
      </c>
      <c r="B129" s="54" t="str">
        <f>IFERROR(VLOOKUP(D129,'Master sheet (Clientes)'!A$6:D$747,3,0)," ")</f>
        <v>C/O Realty</v>
      </c>
      <c r="C129" s="54" t="str">
        <f>IFERROR(VLOOKUP(D129,'Master sheet (Clientes)'!A$6:D$747,4,0)," ")</f>
        <v>N-O</v>
      </c>
      <c r="D129" s="54" t="s">
        <v>218</v>
      </c>
      <c r="E129" s="54">
        <v>2402</v>
      </c>
      <c r="F129" s="99" t="s">
        <v>946</v>
      </c>
      <c r="G129" s="54" t="s">
        <v>853</v>
      </c>
      <c r="H129" s="54" t="s">
        <v>1399</v>
      </c>
      <c r="I129" s="54" t="s">
        <v>950</v>
      </c>
      <c r="J129" s="54" t="s">
        <v>840</v>
      </c>
      <c r="K129" s="54"/>
      <c r="L129" s="54"/>
      <c r="M129" s="54"/>
      <c r="N129" s="54" t="s">
        <v>1268</v>
      </c>
    </row>
    <row r="130" spans="1:14">
      <c r="A130" s="1"/>
      <c r="B130" s="1"/>
      <c r="C130" s="1"/>
      <c r="D130" s="1"/>
      <c r="E130" s="1"/>
      <c r="F130" s="1"/>
      <c r="G130" s="1"/>
      <c r="H130" s="1"/>
      <c r="I130" s="1"/>
      <c r="J130" s="1"/>
      <c r="K130" s="1"/>
      <c r="L130" s="1"/>
      <c r="M130" s="1"/>
      <c r="N130" s="1"/>
    </row>
    <row r="131" spans="1:14" s="1" customFormat="1" ht="47">
      <c r="A131" s="4" t="s">
        <v>8</v>
      </c>
      <c r="B131" s="4" t="s">
        <v>9</v>
      </c>
      <c r="C131" s="4" t="s">
        <v>10</v>
      </c>
      <c r="D131" s="4" t="s">
        <v>11</v>
      </c>
      <c r="E131" s="4" t="s">
        <v>12</v>
      </c>
      <c r="F131" s="4" t="s">
        <v>13</v>
      </c>
      <c r="G131" s="38" t="s">
        <v>14</v>
      </c>
      <c r="H131" s="4" t="s">
        <v>15</v>
      </c>
      <c r="I131" s="38" t="s">
        <v>16</v>
      </c>
      <c r="J131" s="38" t="s">
        <v>17</v>
      </c>
      <c r="K131" s="38" t="s">
        <v>18</v>
      </c>
      <c r="L131" s="38" t="s">
        <v>19</v>
      </c>
      <c r="M131" s="38" t="s">
        <v>20</v>
      </c>
      <c r="N131" s="38" t="s">
        <v>21</v>
      </c>
    </row>
    <row r="132" spans="1:14" ht="47">
      <c r="A132" s="54" t="str">
        <f>IFERROR(VLOOKUP(D132,'Master sheet (Clientes)'!A$6:D$747,2,0)," ")</f>
        <v>NJ</v>
      </c>
      <c r="B132" s="54" t="str">
        <f>IFERROR(VLOOKUP(D132,'Master sheet (Clientes)'!A$6:D$747,3,0)," ")</f>
        <v>C/O Realty</v>
      </c>
      <c r="C132" s="54" t="str">
        <f>IFERROR(VLOOKUP(D132,'Master sheet (Clientes)'!A$6:D$747,4,0)," ")</f>
        <v>N-O</v>
      </c>
      <c r="D132" s="54" t="s">
        <v>209</v>
      </c>
      <c r="E132" s="54">
        <v>2707</v>
      </c>
      <c r="F132" s="54" t="s">
        <v>45</v>
      </c>
      <c r="G132" s="54" t="s">
        <v>853</v>
      </c>
      <c r="H132" s="54" t="s">
        <v>1072</v>
      </c>
      <c r="I132" s="54" t="s">
        <v>839</v>
      </c>
      <c r="J132" s="54" t="s">
        <v>840</v>
      </c>
      <c r="K132" s="54"/>
      <c r="L132" s="54"/>
      <c r="M132" s="54"/>
      <c r="N132" s="54" t="s">
        <v>1268</v>
      </c>
    </row>
    <row r="133" spans="1:14" ht="47">
      <c r="A133" s="54" t="str">
        <f>IFERROR(VLOOKUP(D133,'Master sheet (Clientes)'!A$6:D$747,2,0)," ")</f>
        <v>NJ</v>
      </c>
      <c r="B133" s="54" t="str">
        <f>IFERROR(VLOOKUP(D133,'Master sheet (Clientes)'!A$6:D$747,3,0)," ")</f>
        <v>C/O Realty</v>
      </c>
      <c r="C133" s="54" t="str">
        <f>IFERROR(VLOOKUP(D133,'Master sheet (Clientes)'!A$6:D$747,4,0)," ")</f>
        <v>N-O</v>
      </c>
      <c r="D133" s="54" t="s">
        <v>209</v>
      </c>
      <c r="E133" s="54">
        <v>2609</v>
      </c>
      <c r="F133" s="54" t="s">
        <v>946</v>
      </c>
      <c r="G133" s="54" t="s">
        <v>853</v>
      </c>
      <c r="H133" s="54" t="s">
        <v>1077</v>
      </c>
      <c r="I133" s="54" t="s">
        <v>839</v>
      </c>
      <c r="J133" s="54" t="s">
        <v>840</v>
      </c>
      <c r="K133" s="54"/>
      <c r="L133" s="54"/>
      <c r="M133" s="54"/>
      <c r="N133" s="54" t="s">
        <v>1268</v>
      </c>
    </row>
    <row r="134" spans="1:14" ht="70.5">
      <c r="A134" s="54" t="str">
        <f>IFERROR(VLOOKUP(D134,'Master sheet (Clientes)'!A$6:D$747,2,0)," ")</f>
        <v>NJ</v>
      </c>
      <c r="B134" s="54" t="str">
        <f>IFERROR(VLOOKUP(D134,'Master sheet (Clientes)'!A$6:D$747,3,0)," ")</f>
        <v>C/O Realty</v>
      </c>
      <c r="C134" s="54" t="str">
        <f>IFERROR(VLOOKUP(D134,'Master sheet (Clientes)'!A$6:D$747,4,0)," ")</f>
        <v>N-O</v>
      </c>
      <c r="D134" s="54" t="s">
        <v>219</v>
      </c>
      <c r="E134" s="54">
        <v>2406</v>
      </c>
      <c r="F134" s="54" t="s">
        <v>946</v>
      </c>
      <c r="G134" s="54" t="s">
        <v>853</v>
      </c>
      <c r="H134" s="54" t="s">
        <v>1276</v>
      </c>
      <c r="I134" s="54" t="s">
        <v>839</v>
      </c>
      <c r="J134" s="54" t="s">
        <v>840</v>
      </c>
      <c r="K134" s="54"/>
      <c r="L134" s="54"/>
      <c r="M134" s="54"/>
      <c r="N134" s="54" t="s">
        <v>1268</v>
      </c>
    </row>
    <row r="135" spans="1:14">
      <c r="A135" s="54" t="str">
        <f>IFERROR(VLOOKUP(D135,'Master sheet (Clientes)'!A$6:D$747,2,0)," ")</f>
        <v xml:space="preserve"> </v>
      </c>
      <c r="B135" s="54" t="str">
        <f>IFERROR(VLOOKUP(D135,'Master sheet (Clientes)'!A$6:D$747,3,0)," ")</f>
        <v xml:space="preserve"> </v>
      </c>
      <c r="C135" s="54" t="str">
        <f>IFERROR(VLOOKUP(D135,'Master sheet (Clientes)'!A$6:D$747,4,0)," ")</f>
        <v xml:space="preserve"> </v>
      </c>
      <c r="D135" s="1"/>
      <c r="E135" s="1"/>
      <c r="F135" s="1"/>
      <c r="G135" s="1"/>
      <c r="H135" s="1"/>
      <c r="I135" s="1"/>
      <c r="J135" s="1"/>
      <c r="K135" s="1"/>
      <c r="L135" s="1"/>
      <c r="M135" s="1"/>
      <c r="N135" s="1"/>
    </row>
    <row r="136" spans="1:14" s="1" customFormat="1" ht="47">
      <c r="A136" s="4" t="s">
        <v>8</v>
      </c>
      <c r="B136" s="4" t="s">
        <v>9</v>
      </c>
      <c r="C136" s="4" t="s">
        <v>10</v>
      </c>
      <c r="D136" s="4" t="s">
        <v>11</v>
      </c>
      <c r="E136" s="4" t="s">
        <v>12</v>
      </c>
      <c r="F136" s="4" t="s">
        <v>13</v>
      </c>
      <c r="G136" s="38" t="s">
        <v>14</v>
      </c>
      <c r="H136" s="4" t="s">
        <v>15</v>
      </c>
      <c r="I136" s="38" t="s">
        <v>16</v>
      </c>
      <c r="J136" s="38" t="s">
        <v>17</v>
      </c>
      <c r="K136" s="38" t="s">
        <v>18</v>
      </c>
      <c r="L136" s="38" t="s">
        <v>19</v>
      </c>
      <c r="M136" s="38" t="s">
        <v>20</v>
      </c>
      <c r="N136" s="38" t="s">
        <v>21</v>
      </c>
    </row>
    <row r="137" spans="1:14" ht="70.5">
      <c r="A137" s="54" t="str">
        <f>IFERROR(VLOOKUP(D137,'Master sheet (Clientes)'!A$6:D$747,2,0)," ")</f>
        <v>NJ</v>
      </c>
      <c r="B137" s="54" t="str">
        <f>IFERROR(VLOOKUP(D137,'Master sheet (Clientes)'!A$6:D$747,3,0)," ")</f>
        <v>C/O Realty</v>
      </c>
      <c r="C137" s="54" t="str">
        <f>IFERROR(VLOOKUP(D137,'Master sheet (Clientes)'!A$6:D$747,4,0)," ")</f>
        <v>N-O</v>
      </c>
      <c r="D137" s="54" t="s">
        <v>220</v>
      </c>
      <c r="E137" s="54" t="s">
        <v>1057</v>
      </c>
      <c r="F137" s="54"/>
      <c r="G137" s="54"/>
      <c r="H137" s="54" t="s">
        <v>1125</v>
      </c>
      <c r="I137" s="54" t="s">
        <v>1061</v>
      </c>
      <c r="J137" s="54" t="s">
        <v>840</v>
      </c>
      <c r="K137" s="54" t="s">
        <v>1058</v>
      </c>
      <c r="L137" s="54"/>
      <c r="M137" s="54"/>
      <c r="N137" s="54" t="s">
        <v>1268</v>
      </c>
    </row>
    <row r="138" spans="1:14" s="1" customFormat="1">
      <c r="A138" s="3"/>
      <c r="B138" s="3"/>
      <c r="C138" s="3"/>
      <c r="D138" s="3"/>
      <c r="E138" s="3"/>
      <c r="F138" s="3"/>
      <c r="G138" s="3"/>
      <c r="H138" s="3"/>
      <c r="I138" s="3"/>
      <c r="J138" s="3"/>
    </row>
    <row r="139" spans="1:14" s="1" customFormat="1" ht="47">
      <c r="A139" s="4" t="s">
        <v>8</v>
      </c>
      <c r="B139" s="4" t="s">
        <v>9</v>
      </c>
      <c r="C139" s="4" t="s">
        <v>10</v>
      </c>
      <c r="D139" s="4" t="s">
        <v>11</v>
      </c>
      <c r="E139" s="4" t="s">
        <v>12</v>
      </c>
      <c r="F139" s="4" t="s">
        <v>13</v>
      </c>
      <c r="G139" s="38" t="s">
        <v>14</v>
      </c>
      <c r="H139" s="4" t="s">
        <v>15</v>
      </c>
      <c r="I139" s="38" t="s">
        <v>16</v>
      </c>
      <c r="J139" s="38" t="s">
        <v>17</v>
      </c>
      <c r="K139" s="38" t="s">
        <v>18</v>
      </c>
      <c r="L139" s="38" t="s">
        <v>19</v>
      </c>
      <c r="M139" s="38" t="s">
        <v>20</v>
      </c>
      <c r="N139" s="38" t="s">
        <v>21</v>
      </c>
    </row>
    <row r="140" spans="1:14" ht="70.5">
      <c r="A140" s="54" t="str">
        <f>IFERROR(VLOOKUP(D140,'Master sheet (Clientes)'!A$6:D$747,2,0)," ")</f>
        <v>NJ</v>
      </c>
      <c r="B140" s="54" t="str">
        <f>IFERROR(VLOOKUP(D140,'Master sheet (Clientes)'!A$6:D$747,3,0)," ")</f>
        <v>C/O Realty</v>
      </c>
      <c r="C140" s="54" t="str">
        <f>IFERROR(VLOOKUP(D140,'Master sheet (Clientes)'!A$6:D$747,4,0)," ")</f>
        <v>N-O</v>
      </c>
      <c r="D140" s="54" t="s">
        <v>221</v>
      </c>
      <c r="E140" s="54">
        <v>607</v>
      </c>
      <c r="F140" s="54"/>
      <c r="G140" s="54" t="s">
        <v>837</v>
      </c>
      <c r="H140" s="54" t="s">
        <v>1126</v>
      </c>
      <c r="I140" s="54" t="s">
        <v>885</v>
      </c>
      <c r="J140" s="54" t="s">
        <v>840</v>
      </c>
      <c r="K140" s="54" t="s">
        <v>886</v>
      </c>
      <c r="L140" s="54"/>
      <c r="M140" s="54"/>
      <c r="N140" s="54" t="s">
        <v>1268</v>
      </c>
    </row>
    <row r="142" spans="1:14" s="1" customFormat="1" ht="47">
      <c r="A142" s="4" t="s">
        <v>8</v>
      </c>
      <c r="B142" s="4" t="s">
        <v>9</v>
      </c>
      <c r="C142" s="4" t="s">
        <v>10</v>
      </c>
      <c r="D142" s="4" t="s">
        <v>11</v>
      </c>
      <c r="E142" s="4" t="s">
        <v>12</v>
      </c>
      <c r="F142" s="4" t="s">
        <v>13</v>
      </c>
      <c r="G142" s="38" t="s">
        <v>14</v>
      </c>
      <c r="H142" s="4" t="s">
        <v>15</v>
      </c>
      <c r="I142" s="38" t="s">
        <v>16</v>
      </c>
      <c r="J142" s="38" t="s">
        <v>17</v>
      </c>
      <c r="K142" s="38" t="s">
        <v>18</v>
      </c>
      <c r="L142" s="38" t="s">
        <v>19</v>
      </c>
      <c r="M142" s="38" t="s">
        <v>20</v>
      </c>
      <c r="N142" s="38" t="s">
        <v>21</v>
      </c>
    </row>
    <row r="143" spans="1:14" ht="70.5">
      <c r="A143" s="54" t="str">
        <f>IFERROR(VLOOKUP(D143,'Master sheet (Clientes)'!A$6:D$747,2,0)," ")</f>
        <v>NJ</v>
      </c>
      <c r="B143" s="54" t="str">
        <f>IFERROR(VLOOKUP(D143,'Master sheet (Clientes)'!A$6:D$747,3,0)," ")</f>
        <v xml:space="preserve">BuildCare </v>
      </c>
      <c r="C143" s="54" t="str">
        <f>IFERROR(VLOOKUP(D143,'Master sheet (Clientes)'!A$6:D$747,4,0)," ")</f>
        <v>N/A</v>
      </c>
      <c r="D143" s="54" t="s">
        <v>198</v>
      </c>
      <c r="E143" s="54"/>
      <c r="F143" s="54"/>
      <c r="G143" s="54"/>
      <c r="H143" s="54" t="s">
        <v>1386</v>
      </c>
      <c r="I143" s="54" t="s">
        <v>1067</v>
      </c>
      <c r="J143" s="54" t="s">
        <v>991</v>
      </c>
      <c r="K143" s="54"/>
      <c r="L143" s="54"/>
      <c r="M143" s="54" t="s">
        <v>1387</v>
      </c>
      <c r="N143" s="54" t="s">
        <v>1269</v>
      </c>
    </row>
    <row r="144" spans="1:14" ht="47">
      <c r="A144" s="54" t="str">
        <f>IFERROR(VLOOKUP(D144,'Master sheet (Clientes)'!A$6:D$747,2,0)," ")</f>
        <v>NJ</v>
      </c>
      <c r="B144" s="54" t="str">
        <f>IFERROR(VLOOKUP(D144,'Master sheet (Clientes)'!A$6:D$747,3,0)," ")</f>
        <v>C/O Realty</v>
      </c>
      <c r="C144" s="54" t="str">
        <f>IFERROR(VLOOKUP(D144,'Master sheet (Clientes)'!A$6:D$747,4,0)," ")</f>
        <v>N-O</v>
      </c>
      <c r="D144" s="54" t="s">
        <v>209</v>
      </c>
      <c r="E144" s="54" t="s">
        <v>1065</v>
      </c>
      <c r="F144" s="54"/>
      <c r="G144" s="54"/>
      <c r="H144" s="54" t="s">
        <v>1127</v>
      </c>
      <c r="I144" s="54" t="s">
        <v>990</v>
      </c>
      <c r="J144" s="54" t="s">
        <v>840</v>
      </c>
      <c r="K144" s="54" t="s">
        <v>1066</v>
      </c>
      <c r="L144" s="54"/>
      <c r="M144" s="54"/>
      <c r="N144" s="54" t="s">
        <v>1268</v>
      </c>
    </row>
    <row r="145" spans="1:17">
      <c r="A145" s="1"/>
      <c r="B145" s="1"/>
      <c r="C145" s="1"/>
      <c r="D145" s="1"/>
      <c r="E145" s="1"/>
      <c r="F145" s="1"/>
      <c r="G145" s="1"/>
      <c r="H145" s="1"/>
      <c r="I145" s="1"/>
      <c r="K145" s="1"/>
      <c r="L145" s="1"/>
      <c r="M145" s="1"/>
      <c r="N145" s="1"/>
    </row>
    <row r="146" spans="1:17" ht="26">
      <c r="A146" s="33"/>
      <c r="B146" s="33"/>
      <c r="C146" s="33"/>
      <c r="D146" s="127" t="s">
        <v>28</v>
      </c>
      <c r="E146" s="127"/>
      <c r="F146" s="127"/>
      <c r="G146" s="127"/>
      <c r="H146" s="127"/>
      <c r="I146" s="127"/>
      <c r="J146" s="127"/>
      <c r="K146" s="127"/>
      <c r="L146" s="127"/>
      <c r="M146" s="16"/>
      <c r="N146" s="16"/>
    </row>
    <row r="147" spans="1:17" s="5" customFormat="1" ht="26">
      <c r="A147" s="43"/>
      <c r="B147" s="43"/>
      <c r="C147" s="43"/>
      <c r="D147" s="128" t="s">
        <v>29</v>
      </c>
      <c r="E147" s="128"/>
      <c r="F147" s="128"/>
      <c r="G147" s="128"/>
      <c r="H147" s="128"/>
      <c r="I147" s="128"/>
      <c r="J147" s="128"/>
      <c r="K147" s="128"/>
      <c r="L147" s="128"/>
      <c r="M147" s="44"/>
      <c r="N147" s="44"/>
      <c r="O147" s="35"/>
      <c r="P147" s="35"/>
      <c r="Q147" s="35"/>
    </row>
    <row r="148" spans="1:17">
      <c r="A148" s="3"/>
      <c r="B148" s="3"/>
      <c r="C148" s="3"/>
      <c r="D148" s="3"/>
      <c r="E148" s="3"/>
      <c r="F148" s="3"/>
      <c r="G148" s="3"/>
      <c r="H148" s="3"/>
      <c r="I148" s="3"/>
      <c r="K148" s="1"/>
      <c r="L148" s="1"/>
      <c r="M148" s="1"/>
      <c r="N148" s="1"/>
    </row>
    <row r="149" spans="1:17" s="1" customFormat="1" ht="47">
      <c r="A149" s="4" t="s">
        <v>8</v>
      </c>
      <c r="B149" s="4" t="s">
        <v>9</v>
      </c>
      <c r="C149" s="4" t="s">
        <v>10</v>
      </c>
      <c r="D149" s="4" t="s">
        <v>11</v>
      </c>
      <c r="E149" s="4" t="s">
        <v>12</v>
      </c>
      <c r="F149" s="4" t="s">
        <v>13</v>
      </c>
      <c r="G149" s="38" t="s">
        <v>14</v>
      </c>
      <c r="H149" s="4" t="s">
        <v>15</v>
      </c>
      <c r="I149" s="38" t="s">
        <v>16</v>
      </c>
      <c r="J149" s="38" t="s">
        <v>17</v>
      </c>
      <c r="K149" s="38" t="s">
        <v>18</v>
      </c>
      <c r="L149" s="38" t="s">
        <v>19</v>
      </c>
      <c r="M149" s="38" t="s">
        <v>20</v>
      </c>
      <c r="N149" s="38" t="s">
        <v>21</v>
      </c>
    </row>
    <row r="150" spans="1:17" ht="94">
      <c r="A150" s="54" t="str">
        <f>IFERROR(VLOOKUP(D150,'Master sheet (Clientes)'!A$6:D$747,2,0)," ")</f>
        <v>NJ</v>
      </c>
      <c r="B150" s="54" t="str">
        <f>IFERROR(VLOOKUP(D150,'Master sheet (Clientes)'!A$6:D$747,3,0)," ")</f>
        <v xml:space="preserve">KRE Group Management </v>
      </c>
      <c r="C150" s="54" t="str">
        <f>IFERROR(VLOOKUP(D150,'Master sheet (Clientes)'!A$6:D$747,4,0)," ")</f>
        <v>A-V</v>
      </c>
      <c r="D150" s="54" t="s">
        <v>383</v>
      </c>
      <c r="E150" s="54"/>
      <c r="F150" s="54"/>
      <c r="G150" s="54"/>
      <c r="H150" s="54" t="s">
        <v>1013</v>
      </c>
      <c r="I150" s="54" t="s">
        <v>1014</v>
      </c>
      <c r="J150" s="54" t="s">
        <v>48</v>
      </c>
      <c r="K150" s="54"/>
      <c r="L150" s="54"/>
      <c r="M150" s="54"/>
      <c r="N150" s="54" t="s">
        <v>1266</v>
      </c>
    </row>
    <row r="151" spans="1:17" ht="70.5">
      <c r="A151" s="54" t="str">
        <f>IFERROR(VLOOKUP(D151,'Master sheet (Clientes)'!A$6:D$747,2,0)," ")</f>
        <v>NJ</v>
      </c>
      <c r="B151" s="54" t="str">
        <f>IFERROR(VLOOKUP(D151,'Master sheet (Clientes)'!A$6:D$747,3,0)," ")</f>
        <v>Greystar</v>
      </c>
      <c r="C151" s="54" t="str">
        <f>IFERROR(VLOOKUP(D151,'Master sheet (Clientes)'!A$6:D$747,4,0)," ")</f>
        <v>A-V</v>
      </c>
      <c r="D151" s="54" t="s">
        <v>350</v>
      </c>
      <c r="E151" s="54">
        <v>526</v>
      </c>
      <c r="F151" s="54" t="s">
        <v>874</v>
      </c>
      <c r="G151" s="54" t="s">
        <v>853</v>
      </c>
      <c r="H151" s="54" t="s">
        <v>1089</v>
      </c>
      <c r="I151" s="54" t="s">
        <v>1101</v>
      </c>
      <c r="J151" s="54" t="s">
        <v>48</v>
      </c>
      <c r="K151" s="54"/>
      <c r="L151" s="54"/>
      <c r="M151" s="54" t="s">
        <v>961</v>
      </c>
      <c r="N151" s="54" t="s">
        <v>1265</v>
      </c>
    </row>
    <row r="152" spans="1:17" ht="70.5">
      <c r="A152" s="54" t="str">
        <f>IFERROR(VLOOKUP(D152,'Master sheet (Clientes)'!A$6:D$747,2,0)," ")</f>
        <v>NJ</v>
      </c>
      <c r="B152" s="54" t="str">
        <f>IFERROR(VLOOKUP(D152,'Master sheet (Clientes)'!A$6:D$747,3,0)," ")</f>
        <v>Greystar</v>
      </c>
      <c r="C152" s="54" t="str">
        <f>IFERROR(VLOOKUP(D152,'Master sheet (Clientes)'!A$6:D$747,4,0)," ")</f>
        <v>A-V</v>
      </c>
      <c r="D152" s="54" t="s">
        <v>338</v>
      </c>
      <c r="E152" s="54"/>
      <c r="F152" s="54"/>
      <c r="G152" s="54"/>
      <c r="H152" s="54" t="s">
        <v>1247</v>
      </c>
      <c r="I152" s="54" t="s">
        <v>1248</v>
      </c>
      <c r="J152" s="54" t="s">
        <v>48</v>
      </c>
      <c r="K152" s="54"/>
      <c r="L152" s="54"/>
      <c r="M152" s="54"/>
      <c r="N152" s="54" t="s">
        <v>1268</v>
      </c>
    </row>
    <row r="153" spans="1:17">
      <c r="A153" s="3"/>
      <c r="B153" s="3"/>
      <c r="C153" s="3"/>
      <c r="D153" s="3"/>
      <c r="E153" s="3"/>
      <c r="F153" s="3"/>
      <c r="G153" s="3"/>
      <c r="H153" s="3"/>
      <c r="I153" s="3"/>
      <c r="K153" s="1"/>
      <c r="L153" s="1"/>
      <c r="M153" s="1"/>
      <c r="N153" s="1"/>
    </row>
    <row r="154" spans="1:17" s="1" customFormat="1" ht="47">
      <c r="A154" s="4" t="s">
        <v>8</v>
      </c>
      <c r="B154" s="4" t="s">
        <v>9</v>
      </c>
      <c r="C154" s="4" t="s">
        <v>10</v>
      </c>
      <c r="D154" s="4" t="s">
        <v>11</v>
      </c>
      <c r="E154" s="4" t="s">
        <v>12</v>
      </c>
      <c r="F154" s="4" t="s">
        <v>13</v>
      </c>
      <c r="G154" s="38" t="s">
        <v>14</v>
      </c>
      <c r="H154" s="4" t="s">
        <v>15</v>
      </c>
      <c r="I154" s="38" t="s">
        <v>16</v>
      </c>
      <c r="J154" s="38" t="s">
        <v>17</v>
      </c>
      <c r="K154" s="38" t="s">
        <v>18</v>
      </c>
      <c r="L154" s="38" t="s">
        <v>19</v>
      </c>
      <c r="M154" s="38" t="s">
        <v>20</v>
      </c>
      <c r="N154" s="38" t="s">
        <v>21</v>
      </c>
    </row>
    <row r="155" spans="1:17" ht="117.5">
      <c r="A155" s="54" t="str">
        <f>IFERROR(VLOOKUP(D155,'Master sheet (Clientes)'!A$6:D$747,2,0)," ")</f>
        <v>NJ</v>
      </c>
      <c r="B155" s="54" t="str">
        <f>IFERROR(VLOOKUP(D155,'Master sheet (Clientes)'!A$6:D$747,3,0)," ")</f>
        <v>Willow Bridge P.C.</v>
      </c>
      <c r="C155" s="54" t="str">
        <f>IFERROR(VLOOKUP(D155,'Master sheet (Clientes)'!A$6:D$747,4,0)," ")</f>
        <v>N-O</v>
      </c>
      <c r="D155" s="54" t="s">
        <v>253</v>
      </c>
      <c r="E155" s="54">
        <v>6104</v>
      </c>
      <c r="F155" s="54"/>
      <c r="G155" s="54" t="s">
        <v>837</v>
      </c>
      <c r="H155" s="54" t="s">
        <v>1345</v>
      </c>
      <c r="I155" s="54" t="s">
        <v>1100</v>
      </c>
      <c r="J155" s="54" t="s">
        <v>48</v>
      </c>
      <c r="K155" s="54"/>
      <c r="L155" s="54"/>
      <c r="M155" s="54" t="s">
        <v>1288</v>
      </c>
      <c r="N155" s="54" t="s">
        <v>1268</v>
      </c>
    </row>
    <row r="156" spans="1:17">
      <c r="A156" s="1"/>
      <c r="B156" s="1"/>
      <c r="C156" s="1"/>
      <c r="D156" s="1"/>
      <c r="E156" s="1"/>
      <c r="F156" s="1"/>
      <c r="G156" s="1"/>
      <c r="H156" s="1"/>
      <c r="I156" s="1"/>
      <c r="J156" s="1"/>
      <c r="K156" s="1"/>
      <c r="L156" s="1"/>
      <c r="M156" s="1"/>
      <c r="N156" s="1"/>
    </row>
    <row r="157" spans="1:17" s="1" customFormat="1" ht="47">
      <c r="A157" s="4" t="s">
        <v>8</v>
      </c>
      <c r="B157" s="4" t="s">
        <v>9</v>
      </c>
      <c r="C157" s="4" t="s">
        <v>10</v>
      </c>
      <c r="D157" s="4" t="s">
        <v>11</v>
      </c>
      <c r="E157" s="4" t="s">
        <v>12</v>
      </c>
      <c r="F157" s="4" t="s">
        <v>13</v>
      </c>
      <c r="G157" s="38" t="s">
        <v>14</v>
      </c>
      <c r="H157" s="4" t="s">
        <v>15</v>
      </c>
      <c r="I157" s="38" t="s">
        <v>16</v>
      </c>
      <c r="J157" s="38" t="s">
        <v>17</v>
      </c>
      <c r="K157" s="38" t="s">
        <v>18</v>
      </c>
      <c r="L157" s="38" t="s">
        <v>19</v>
      </c>
      <c r="M157" s="38" t="s">
        <v>20</v>
      </c>
      <c r="N157" s="38" t="s">
        <v>21</v>
      </c>
    </row>
    <row r="158" spans="1:17" ht="94">
      <c r="A158" s="54" t="str">
        <f>IFERROR(VLOOKUP(D158,'Master sheet (Clientes)'!A$6:D$747,2,0)," ")</f>
        <v>NJ</v>
      </c>
      <c r="B158" s="54" t="str">
        <f>IFERROR(VLOOKUP(D158,'Master sheet (Clientes)'!A$6:D$747,3,0)," ")</f>
        <v>No Charge / Courtesy Job</v>
      </c>
      <c r="C158" s="54" t="str">
        <f>IFERROR(VLOOKUP(D158,'Master sheet (Clientes)'!A$6:D$747,4,0)," ")</f>
        <v>N/A</v>
      </c>
      <c r="D158" s="54" t="s">
        <v>941</v>
      </c>
      <c r="E158" s="54" t="s">
        <v>968</v>
      </c>
      <c r="F158" s="54"/>
      <c r="G158" s="54"/>
      <c r="H158" s="54" t="s">
        <v>1235</v>
      </c>
      <c r="I158" s="54" t="s">
        <v>960</v>
      </c>
      <c r="J158" s="54" t="s">
        <v>969</v>
      </c>
      <c r="K158" s="54" t="s">
        <v>970</v>
      </c>
      <c r="L158" s="54"/>
      <c r="M158" s="54" t="s">
        <v>971</v>
      </c>
      <c r="N158" s="54" t="s">
        <v>1268</v>
      </c>
    </row>
    <row r="159" spans="1:17">
      <c r="A159" s="1"/>
      <c r="B159" s="1"/>
      <c r="C159" s="1"/>
      <c r="D159" s="1"/>
      <c r="E159" s="1"/>
      <c r="F159" s="1"/>
      <c r="G159" s="1"/>
      <c r="H159" s="1"/>
      <c r="I159" s="1"/>
      <c r="J159" s="1"/>
      <c r="K159" s="1"/>
      <c r="L159" s="1"/>
      <c r="M159" s="1"/>
      <c r="N159" s="1"/>
    </row>
    <row r="160" spans="1:17" s="1" customFormat="1" ht="47">
      <c r="A160" s="4" t="s">
        <v>8</v>
      </c>
      <c r="B160" s="4" t="s">
        <v>9</v>
      </c>
      <c r="C160" s="4" t="s">
        <v>10</v>
      </c>
      <c r="D160" s="4" t="s">
        <v>11</v>
      </c>
      <c r="E160" s="4" t="s">
        <v>12</v>
      </c>
      <c r="F160" s="4" t="s">
        <v>13</v>
      </c>
      <c r="G160" s="38" t="s">
        <v>14</v>
      </c>
      <c r="H160" s="4" t="s">
        <v>15</v>
      </c>
      <c r="I160" s="38" t="s">
        <v>16</v>
      </c>
      <c r="J160" s="38" t="s">
        <v>17</v>
      </c>
      <c r="K160" s="38" t="s">
        <v>18</v>
      </c>
      <c r="L160" s="38" t="s">
        <v>19</v>
      </c>
      <c r="M160" s="38" t="s">
        <v>20</v>
      </c>
      <c r="N160" s="38" t="s">
        <v>21</v>
      </c>
    </row>
    <row r="161" spans="1:17" ht="70.5">
      <c r="A161" s="54" t="str">
        <f>IFERROR(VLOOKUP(D161,'Master sheet (Clientes)'!A$6:D$747,2,0)," ")</f>
        <v>NJ</v>
      </c>
      <c r="B161" s="54" t="str">
        <f>IFERROR(VLOOKUP(D161,'Master sheet (Clientes)'!A$6:D$747,3,0)," ")</f>
        <v>Greystar</v>
      </c>
      <c r="C161" s="54" t="str">
        <f>IFERROR(VLOOKUP(D161,'Master sheet (Clientes)'!A$6:D$747,4,0)," ")</f>
        <v>A-V</v>
      </c>
      <c r="D161" s="54" t="s">
        <v>350</v>
      </c>
      <c r="E161" s="54">
        <v>551</v>
      </c>
      <c r="F161" s="54" t="s">
        <v>45</v>
      </c>
      <c r="G161" s="54" t="s">
        <v>853</v>
      </c>
      <c r="H161" s="54" t="s">
        <v>1128</v>
      </c>
      <c r="I161" s="54" t="s">
        <v>1095</v>
      </c>
      <c r="J161" s="54" t="s">
        <v>48</v>
      </c>
      <c r="K161" s="54"/>
      <c r="L161" s="54"/>
      <c r="M161" s="54"/>
      <c r="N161" s="54" t="s">
        <v>1268</v>
      </c>
    </row>
    <row r="162" spans="1:17" ht="70.5">
      <c r="A162" s="54" t="str">
        <f>IFERROR(VLOOKUP(D162,'Master sheet (Clientes)'!A$6:D$747,2,0)," ")</f>
        <v>NJ</v>
      </c>
      <c r="B162" s="54" t="str">
        <f>IFERROR(VLOOKUP(D162,'Master sheet (Clientes)'!A$6:D$747,3,0)," ")</f>
        <v>Greystar</v>
      </c>
      <c r="C162" s="54" t="str">
        <f>IFERROR(VLOOKUP(D162,'Master sheet (Clientes)'!A$6:D$747,4,0)," ")</f>
        <v>A-V</v>
      </c>
      <c r="D162" s="54" t="s">
        <v>350</v>
      </c>
      <c r="E162" s="54">
        <v>509</v>
      </c>
      <c r="F162" s="54" t="s">
        <v>874</v>
      </c>
      <c r="G162" s="54" t="s">
        <v>853</v>
      </c>
      <c r="H162" s="54" t="s">
        <v>1128</v>
      </c>
      <c r="I162" s="54" t="s">
        <v>1095</v>
      </c>
      <c r="J162" s="54" t="s">
        <v>48</v>
      </c>
      <c r="K162" s="54"/>
      <c r="L162" s="54"/>
      <c r="M162" s="54"/>
      <c r="N162" s="54" t="s">
        <v>1268</v>
      </c>
    </row>
    <row r="163" spans="1:17" ht="70.5">
      <c r="A163" s="54" t="str">
        <f>IFERROR(VLOOKUP(D163,'Master sheet (Clientes)'!A$6:D$747,2,0)," ")</f>
        <v>NJ</v>
      </c>
      <c r="B163" s="54" t="str">
        <f>IFERROR(VLOOKUP(D163,'Master sheet (Clientes)'!A$6:D$747,3,0)," ")</f>
        <v>Vivmark Residential</v>
      </c>
      <c r="C163" s="54" t="str">
        <f>IFERROR(VLOOKUP(D163,'Master sheet (Clientes)'!A$6:D$747,4,0)," ")</f>
        <v>N-O</v>
      </c>
      <c r="D163" s="54" t="s">
        <v>80</v>
      </c>
      <c r="E163" s="54">
        <v>201</v>
      </c>
      <c r="F163" s="54" t="s">
        <v>45</v>
      </c>
      <c r="G163" s="54" t="s">
        <v>853</v>
      </c>
      <c r="H163" s="54" t="s">
        <v>857</v>
      </c>
      <c r="I163" s="54" t="s">
        <v>1095</v>
      </c>
      <c r="J163" s="54" t="s">
        <v>48</v>
      </c>
      <c r="K163" s="54"/>
      <c r="L163" s="54"/>
      <c r="M163" s="54"/>
      <c r="N163" s="54" t="s">
        <v>1268</v>
      </c>
    </row>
    <row r="164" spans="1:17">
      <c r="A164" s="1"/>
      <c r="B164" s="1"/>
      <c r="C164" s="1"/>
      <c r="D164" s="1"/>
      <c r="E164" s="1"/>
      <c r="F164" s="1"/>
      <c r="G164" s="1"/>
      <c r="H164" s="1"/>
      <c r="I164" s="1"/>
      <c r="J164" s="1"/>
      <c r="K164" s="1"/>
      <c r="L164" s="1"/>
      <c r="M164" s="1"/>
      <c r="N164" s="1"/>
    </row>
    <row r="165" spans="1:17" s="1" customFormat="1" ht="47">
      <c r="A165" s="4" t="s">
        <v>8</v>
      </c>
      <c r="B165" s="4" t="s">
        <v>9</v>
      </c>
      <c r="C165" s="4" t="s">
        <v>10</v>
      </c>
      <c r="D165" s="4" t="s">
        <v>11</v>
      </c>
      <c r="E165" s="4" t="s">
        <v>12</v>
      </c>
      <c r="F165" s="4" t="s">
        <v>13</v>
      </c>
      <c r="G165" s="38" t="s">
        <v>14</v>
      </c>
      <c r="H165" s="4" t="s">
        <v>15</v>
      </c>
      <c r="I165" s="38" t="s">
        <v>16</v>
      </c>
      <c r="J165" s="38" t="s">
        <v>17</v>
      </c>
      <c r="K165" s="38" t="s">
        <v>18</v>
      </c>
      <c r="L165" s="38" t="s">
        <v>19</v>
      </c>
      <c r="M165" s="38" t="s">
        <v>20</v>
      </c>
      <c r="N165" s="38" t="s">
        <v>21</v>
      </c>
    </row>
    <row r="166" spans="1:17" s="94" customFormat="1" ht="70.5">
      <c r="A166" s="92" t="str">
        <f>IFERROR(VLOOKUP(D166,'Master sheet (Clientes)'!A$6:D$747,2,0)," ")</f>
        <v>NJ</v>
      </c>
      <c r="B166" s="92" t="str">
        <f>IFERROR(VLOOKUP(D166,'Master sheet (Clientes)'!A$6:D$747,3,0)," ")</f>
        <v>Willow Bridge P.C.</v>
      </c>
      <c r="C166" s="92" t="str">
        <f>IFERROR(VLOOKUP(D166,'Master sheet (Clientes)'!A$6:D$747,4,0)," ")</f>
        <v>N-O</v>
      </c>
      <c r="D166" s="92" t="s">
        <v>253</v>
      </c>
      <c r="E166" s="92">
        <v>6104</v>
      </c>
      <c r="F166" s="92"/>
      <c r="G166" s="92" t="s">
        <v>837</v>
      </c>
      <c r="H166" s="92" t="s">
        <v>949</v>
      </c>
      <c r="I166" s="92" t="s">
        <v>950</v>
      </c>
      <c r="J166" s="92" t="s">
        <v>48</v>
      </c>
      <c r="K166" s="92"/>
      <c r="L166" s="92"/>
      <c r="M166" s="92"/>
      <c r="N166" s="92" t="s">
        <v>1392</v>
      </c>
      <c r="O166" s="93"/>
      <c r="P166" s="93"/>
      <c r="Q166" s="93"/>
    </row>
    <row r="167" spans="1:17">
      <c r="A167" s="1"/>
      <c r="B167" s="1"/>
      <c r="C167" s="1"/>
      <c r="D167" s="1"/>
      <c r="E167" s="1"/>
      <c r="F167" s="1"/>
      <c r="G167" s="1"/>
      <c r="H167" s="1"/>
      <c r="I167" s="1"/>
      <c r="J167" s="1"/>
      <c r="K167" s="1"/>
      <c r="L167" s="1"/>
      <c r="M167" s="1"/>
      <c r="N167" s="1"/>
    </row>
    <row r="168" spans="1:17" s="1" customFormat="1" ht="47">
      <c r="A168" s="4" t="s">
        <v>8</v>
      </c>
      <c r="B168" s="4" t="s">
        <v>9</v>
      </c>
      <c r="C168" s="4" t="s">
        <v>10</v>
      </c>
      <c r="D168" s="4" t="s">
        <v>11</v>
      </c>
      <c r="E168" s="4" t="s">
        <v>12</v>
      </c>
      <c r="F168" s="4" t="s">
        <v>13</v>
      </c>
      <c r="G168" s="38" t="s">
        <v>14</v>
      </c>
      <c r="H168" s="4" t="s">
        <v>15</v>
      </c>
      <c r="I168" s="38" t="s">
        <v>16</v>
      </c>
      <c r="J168" s="38" t="s">
        <v>17</v>
      </c>
      <c r="K168" s="38" t="s">
        <v>18</v>
      </c>
      <c r="L168" s="38" t="s">
        <v>19</v>
      </c>
      <c r="M168" s="38" t="s">
        <v>20</v>
      </c>
      <c r="N168" s="38" t="s">
        <v>21</v>
      </c>
    </row>
    <row r="169" spans="1:17" s="87" customFormat="1" ht="67.5">
      <c r="A169" s="84" t="str">
        <f>IFERROR(VLOOKUP(D169,'Master sheet (Clientes)'!A$6:D$747,2,0)," ")</f>
        <v>NJ</v>
      </c>
      <c r="B169" s="84" t="str">
        <f>IFERROR(VLOOKUP(D169,'Master sheet (Clientes)'!A$6:D$747,3,0)," ")</f>
        <v xml:space="preserve">Sparrow </v>
      </c>
      <c r="C169" s="84" t="str">
        <f>IFERROR(VLOOKUP(D169,'Master sheet (Clientes)'!A$6:D$747,4,0)," ")</f>
        <v>A-V</v>
      </c>
      <c r="D169" s="84" t="s">
        <v>741</v>
      </c>
      <c r="E169" s="85">
        <v>325</v>
      </c>
      <c r="F169" s="85" t="s">
        <v>874</v>
      </c>
      <c r="G169" s="85" t="s">
        <v>853</v>
      </c>
      <c r="H169" s="84" t="s">
        <v>1138</v>
      </c>
      <c r="I169" s="85" t="s">
        <v>1137</v>
      </c>
      <c r="J169" s="85" t="s">
        <v>48</v>
      </c>
      <c r="K169" s="84"/>
      <c r="L169" s="84"/>
      <c r="M169" s="84"/>
      <c r="N169" s="84" t="s">
        <v>1295</v>
      </c>
      <c r="O169" s="86"/>
      <c r="P169" s="86"/>
      <c r="Q169" s="86"/>
    </row>
    <row r="170" spans="1:17">
      <c r="A170" s="1"/>
      <c r="B170" s="1"/>
      <c r="C170" s="1"/>
      <c r="D170" s="1"/>
      <c r="E170" s="1"/>
      <c r="F170" s="1"/>
      <c r="G170" s="1"/>
      <c r="H170" s="1"/>
      <c r="I170" s="1"/>
      <c r="J170" s="1"/>
      <c r="K170" s="1"/>
      <c r="L170" s="1"/>
      <c r="M170" s="1"/>
      <c r="N170" s="1"/>
    </row>
    <row r="171" spans="1:17" s="1" customFormat="1" ht="47">
      <c r="A171" s="4" t="s">
        <v>8</v>
      </c>
      <c r="B171" s="4" t="s">
        <v>9</v>
      </c>
      <c r="C171" s="4" t="s">
        <v>10</v>
      </c>
      <c r="D171" s="4" t="s">
        <v>11</v>
      </c>
      <c r="E171" s="4" t="s">
        <v>12</v>
      </c>
      <c r="F171" s="4" t="s">
        <v>13</v>
      </c>
      <c r="G171" s="38" t="s">
        <v>14</v>
      </c>
      <c r="H171" s="4" t="s">
        <v>15</v>
      </c>
      <c r="I171" s="38" t="s">
        <v>16</v>
      </c>
      <c r="J171" s="38" t="s">
        <v>17</v>
      </c>
      <c r="K171" s="38" t="s">
        <v>18</v>
      </c>
      <c r="L171" s="38" t="s">
        <v>19</v>
      </c>
      <c r="M171" s="38" t="s">
        <v>20</v>
      </c>
      <c r="N171" s="38" t="s">
        <v>21</v>
      </c>
    </row>
    <row r="172" spans="1:17" s="94" customFormat="1" ht="70.5">
      <c r="A172" s="92" t="str">
        <f>IFERROR(VLOOKUP(D172,'Master sheet (Clientes)'!A$6:D$747,2,0)," ")</f>
        <v>NJ</v>
      </c>
      <c r="B172" s="92" t="str">
        <f>IFERROR(VLOOKUP(D172,'Master sheet (Clientes)'!A$6:D$747,3,0)," ")</f>
        <v>Willow Bridge P.C.</v>
      </c>
      <c r="C172" s="92" t="str">
        <f>IFERROR(VLOOKUP(D172,'Master sheet (Clientes)'!A$6:D$747,4,0)," ")</f>
        <v>N-O</v>
      </c>
      <c r="D172" s="92" t="s">
        <v>253</v>
      </c>
      <c r="E172" s="92">
        <v>6104</v>
      </c>
      <c r="F172" s="92"/>
      <c r="G172" s="92" t="s">
        <v>837</v>
      </c>
      <c r="H172" s="92" t="s">
        <v>1393</v>
      </c>
      <c r="I172" s="92" t="s">
        <v>948</v>
      </c>
      <c r="J172" s="92" t="s">
        <v>48</v>
      </c>
      <c r="K172" s="92"/>
      <c r="L172" s="92"/>
      <c r="M172" s="92"/>
      <c r="N172" s="92" t="s">
        <v>1392</v>
      </c>
      <c r="O172" s="93"/>
      <c r="P172" s="93"/>
      <c r="Q172" s="93"/>
    </row>
    <row r="173" spans="1:17">
      <c r="A173" s="1"/>
      <c r="B173" s="1"/>
      <c r="C173" s="1"/>
      <c r="D173" s="1"/>
      <c r="E173" s="1"/>
      <c r="F173" s="1"/>
      <c r="G173" s="1"/>
      <c r="H173" s="1"/>
      <c r="I173" s="1"/>
      <c r="K173" s="1"/>
      <c r="L173" s="1"/>
      <c r="M173" s="1"/>
      <c r="N173" s="1"/>
    </row>
    <row r="174" spans="1:17" ht="26">
      <c r="A174" s="33"/>
      <c r="B174" s="33"/>
      <c r="C174" s="33"/>
      <c r="D174" s="127" t="s">
        <v>30</v>
      </c>
      <c r="E174" s="127"/>
      <c r="F174" s="127"/>
      <c r="G174" s="127"/>
      <c r="H174" s="127"/>
      <c r="I174" s="127"/>
      <c r="J174" s="127"/>
      <c r="K174" s="127"/>
      <c r="L174" s="127"/>
      <c r="M174" s="16"/>
      <c r="N174" s="16"/>
    </row>
    <row r="175" spans="1:17" s="5" customFormat="1" ht="26">
      <c r="A175" s="43"/>
      <c r="B175" s="43"/>
      <c r="C175" s="43"/>
      <c r="D175" s="128" t="s">
        <v>31</v>
      </c>
      <c r="E175" s="128"/>
      <c r="F175" s="128"/>
      <c r="G175" s="128"/>
      <c r="H175" s="128"/>
      <c r="I175" s="128"/>
      <c r="J175" s="128"/>
      <c r="K175" s="128"/>
      <c r="L175" s="128"/>
      <c r="M175" s="44"/>
      <c r="N175" s="44"/>
      <c r="O175" s="35"/>
      <c r="P175" s="35"/>
      <c r="Q175" s="35"/>
    </row>
    <row r="176" spans="1:17">
      <c r="A176" s="3"/>
      <c r="B176" s="3"/>
      <c r="C176" s="3"/>
      <c r="D176" s="3"/>
      <c r="E176" s="3"/>
      <c r="F176" s="3"/>
      <c r="G176" s="3"/>
      <c r="H176" s="3"/>
      <c r="I176" s="3"/>
      <c r="K176" s="1"/>
      <c r="L176" s="1"/>
      <c r="M176" s="1"/>
      <c r="N176" s="1"/>
    </row>
    <row r="177" spans="1:14" s="1" customFormat="1" ht="47">
      <c r="A177" s="4" t="s">
        <v>8</v>
      </c>
      <c r="B177" s="4" t="s">
        <v>9</v>
      </c>
      <c r="C177" s="4" t="s">
        <v>10</v>
      </c>
      <c r="D177" s="4" t="s">
        <v>11</v>
      </c>
      <c r="E177" s="4" t="s">
        <v>12</v>
      </c>
      <c r="F177" s="4" t="s">
        <v>13</v>
      </c>
      <c r="G177" s="38" t="s">
        <v>14</v>
      </c>
      <c r="H177" s="4" t="s">
        <v>15</v>
      </c>
      <c r="I177" s="38" t="s">
        <v>16</v>
      </c>
      <c r="J177" s="38" t="s">
        <v>17</v>
      </c>
      <c r="K177" s="38" t="s">
        <v>18</v>
      </c>
      <c r="L177" s="38" t="s">
        <v>19</v>
      </c>
      <c r="M177" s="38" t="s">
        <v>20</v>
      </c>
      <c r="N177" s="38" t="s">
        <v>21</v>
      </c>
    </row>
    <row r="178" spans="1:14" ht="47">
      <c r="A178" s="54" t="str">
        <f>IFERROR(VLOOKUP(D178,'Master sheet (Clientes)'!A$6:D$747,2,0)," ")</f>
        <v>NJ</v>
      </c>
      <c r="B178" s="54" t="str">
        <f>IFERROR(VLOOKUP(D178,'Master sheet (Clientes)'!A$6:D$747,3,0)," ")</f>
        <v xml:space="preserve">KRE Group Management </v>
      </c>
      <c r="C178" s="54" t="str">
        <f>IFERROR(VLOOKUP(D178,'Master sheet (Clientes)'!A$6:D$747,4,0)," ")</f>
        <v>A-V</v>
      </c>
      <c r="D178" s="54" t="s">
        <v>384</v>
      </c>
      <c r="E178" s="54"/>
      <c r="F178" s="54"/>
      <c r="G178" s="54"/>
      <c r="H178" s="54" t="s">
        <v>1017</v>
      </c>
      <c r="I178" s="54" t="s">
        <v>1018</v>
      </c>
      <c r="J178" s="54" t="s">
        <v>48</v>
      </c>
      <c r="K178" s="54"/>
      <c r="L178" s="54"/>
      <c r="M178" s="54"/>
      <c r="N178" s="54" t="s">
        <v>1269</v>
      </c>
    </row>
    <row r="179" spans="1:14" ht="70.5">
      <c r="A179" s="54" t="str">
        <f>IFERROR(VLOOKUP(D179,'Master sheet (Clientes)'!A$6:D$747,2,0)," ")</f>
        <v>NJ</v>
      </c>
      <c r="B179" s="54" t="str">
        <f>IFERROR(VLOOKUP(D179,'Master sheet (Clientes)'!A$6:D$747,3,0)," ")</f>
        <v xml:space="preserve">KRE Group Management </v>
      </c>
      <c r="C179" s="54" t="str">
        <f>IFERROR(VLOOKUP(D179,'Master sheet (Clientes)'!A$6:D$747,4,0)," ")</f>
        <v>A-V</v>
      </c>
      <c r="D179" s="54" t="s">
        <v>392</v>
      </c>
      <c r="E179" s="54"/>
      <c r="F179" s="54"/>
      <c r="G179" s="54"/>
      <c r="H179" s="54" t="s">
        <v>1015</v>
      </c>
      <c r="I179" s="54" t="s">
        <v>1019</v>
      </c>
      <c r="J179" s="54" t="s">
        <v>48</v>
      </c>
      <c r="K179" s="54"/>
      <c r="L179" s="54"/>
      <c r="M179" s="54" t="s">
        <v>1020</v>
      </c>
      <c r="N179" s="54" t="s">
        <v>1269</v>
      </c>
    </row>
    <row r="180" spans="1:14" ht="47">
      <c r="A180" s="54" t="str">
        <f>IFERROR(VLOOKUP(D180,'Master sheet (Clientes)'!A$6:D$747,2,0)," ")</f>
        <v>NJ</v>
      </c>
      <c r="B180" s="54" t="str">
        <f>IFERROR(VLOOKUP(D180,'Master sheet (Clientes)'!A$6:D$747,3,0)," ")</f>
        <v>Greystar</v>
      </c>
      <c r="C180" s="54" t="str">
        <f>IFERROR(VLOOKUP(D180,'Master sheet (Clientes)'!A$6:D$747,4,0)," ")</f>
        <v>A-V</v>
      </c>
      <c r="D180" s="54" t="s">
        <v>302</v>
      </c>
      <c r="E180" s="54">
        <v>304</v>
      </c>
      <c r="F180" s="54" t="s">
        <v>45</v>
      </c>
      <c r="G180" s="54" t="s">
        <v>853</v>
      </c>
      <c r="H180" s="54" t="s">
        <v>877</v>
      </c>
      <c r="I180" s="54" t="s">
        <v>1099</v>
      </c>
      <c r="J180" s="54" t="s">
        <v>48</v>
      </c>
      <c r="K180" s="54"/>
      <c r="L180" s="54"/>
      <c r="M180" s="54"/>
      <c r="N180" s="54" t="s">
        <v>1265</v>
      </c>
    </row>
    <row r="181" spans="1:14" ht="164.5">
      <c r="A181" s="54" t="str">
        <f>IFERROR(VLOOKUP(D181,'Master sheet (Clientes)'!A$6:D$747,2,0)," ")</f>
        <v>NJ</v>
      </c>
      <c r="B181" s="54" t="str">
        <f>IFERROR(VLOOKUP(D181,'Master sheet (Clientes)'!A$6:D$747,3,0)," ")</f>
        <v>Private Job</v>
      </c>
      <c r="C181" s="54" t="str">
        <f>IFERROR(VLOOKUP(D181,'Master sheet (Clientes)'!A$6:D$747,4,0)," ")</f>
        <v>A-V</v>
      </c>
      <c r="D181" s="54" t="s">
        <v>967</v>
      </c>
      <c r="E181" s="54"/>
      <c r="F181" s="54"/>
      <c r="G181" s="54"/>
      <c r="H181" s="54" t="s">
        <v>1129</v>
      </c>
      <c r="I181" s="54" t="s">
        <v>1097</v>
      </c>
      <c r="J181" s="54" t="s">
        <v>48</v>
      </c>
      <c r="K181" s="54" t="s">
        <v>1034</v>
      </c>
      <c r="L181" s="54"/>
      <c r="M181" s="54" t="s">
        <v>1150</v>
      </c>
      <c r="N181" s="54" t="s">
        <v>1269</v>
      </c>
    </row>
    <row r="182" spans="1:14" ht="70.5">
      <c r="A182" s="54" t="str">
        <f>IFERROR(VLOOKUP(D182,'Master sheet (Clientes)'!A$6:D$747,2,0)," ")</f>
        <v>NJ</v>
      </c>
      <c r="B182" s="54" t="str">
        <f>IFERROR(VLOOKUP(D182,'Master sheet (Clientes)'!A$6:D$747,3,0)," ")</f>
        <v>Bozzuto</v>
      </c>
      <c r="C182" s="54" t="str">
        <f>IFERROR(VLOOKUP(D182,'Master sheet (Clientes)'!A$6:D$747,4,0)," ")</f>
        <v>N-O</v>
      </c>
      <c r="D182" s="54" t="s">
        <v>185</v>
      </c>
      <c r="E182" s="54">
        <v>422</v>
      </c>
      <c r="F182" s="54"/>
      <c r="G182" s="54" t="s">
        <v>837</v>
      </c>
      <c r="H182" s="54" t="s">
        <v>1070</v>
      </c>
      <c r="I182" s="54" t="s">
        <v>1098</v>
      </c>
      <c r="J182" s="54" t="s">
        <v>48</v>
      </c>
      <c r="K182" s="54"/>
      <c r="L182" s="54"/>
      <c r="M182" s="54"/>
      <c r="N182" s="54" t="s">
        <v>1268</v>
      </c>
    </row>
    <row r="183" spans="1:14" ht="47">
      <c r="A183" s="54" t="str">
        <f>IFERROR(VLOOKUP(D183,'Master sheet (Clientes)'!A$6:D$747,2,0)," ")</f>
        <v>NJ</v>
      </c>
      <c r="B183" s="54" t="str">
        <f>IFERROR(VLOOKUP(D183,'Master sheet (Clientes)'!A$6:D$747,3,0)," ")</f>
        <v>Paramount Assets</v>
      </c>
      <c r="C183" s="54" t="str">
        <f>IFERROR(VLOOKUP(D183,'Master sheet (Clientes)'!A$6:D$747,4,0)," ")</f>
        <v>A-V</v>
      </c>
      <c r="D183" s="54" t="s">
        <v>608</v>
      </c>
      <c r="E183" s="54"/>
      <c r="F183" s="54"/>
      <c r="G183" s="54"/>
      <c r="H183" s="54" t="s">
        <v>1332</v>
      </c>
      <c r="I183" s="54" t="s">
        <v>911</v>
      </c>
      <c r="J183" s="54" t="s">
        <v>48</v>
      </c>
      <c r="K183" s="54"/>
      <c r="L183" s="54"/>
      <c r="M183" s="54" t="s">
        <v>1331</v>
      </c>
      <c r="N183" s="54" t="s">
        <v>1268</v>
      </c>
    </row>
    <row r="184" spans="1:14">
      <c r="A184" s="3"/>
      <c r="B184" s="3"/>
      <c r="C184" s="3"/>
      <c r="D184" s="3"/>
      <c r="E184" s="3"/>
      <c r="F184" s="3"/>
      <c r="G184" s="3"/>
      <c r="H184" s="3"/>
      <c r="I184" s="3"/>
      <c r="K184" s="1"/>
      <c r="L184" s="1"/>
      <c r="M184" s="1"/>
      <c r="N184" s="1"/>
    </row>
    <row r="185" spans="1:14" s="1" customFormat="1" ht="47">
      <c r="A185" s="4" t="s">
        <v>8</v>
      </c>
      <c r="B185" s="4" t="s">
        <v>9</v>
      </c>
      <c r="C185" s="4" t="s">
        <v>10</v>
      </c>
      <c r="D185" s="4" t="s">
        <v>11</v>
      </c>
      <c r="E185" s="4" t="s">
        <v>12</v>
      </c>
      <c r="F185" s="4" t="s">
        <v>13</v>
      </c>
      <c r="G185" s="38" t="s">
        <v>14</v>
      </c>
      <c r="H185" s="4" t="s">
        <v>15</v>
      </c>
      <c r="I185" s="38" t="s">
        <v>16</v>
      </c>
      <c r="J185" s="38" t="s">
        <v>17</v>
      </c>
      <c r="K185" s="38" t="s">
        <v>18</v>
      </c>
      <c r="L185" s="38" t="s">
        <v>19</v>
      </c>
      <c r="M185" s="38" t="s">
        <v>20</v>
      </c>
      <c r="N185" s="38" t="s">
        <v>21</v>
      </c>
    </row>
    <row r="186" spans="1:14" ht="70.5">
      <c r="A186" s="54" t="str">
        <f>IFERROR(VLOOKUP(D186,'Master sheet (Clientes)'!A$6:D$747,2,0)," ")</f>
        <v>NJ</v>
      </c>
      <c r="B186" s="54" t="str">
        <f>IFERROR(VLOOKUP(D186,'Master sheet (Clientes)'!A$6:D$747,3,0)," ")</f>
        <v>Vivmark Residential</v>
      </c>
      <c r="C186" s="54" t="str">
        <f>IFERROR(VLOOKUP(D186,'Master sheet (Clientes)'!A$6:D$747,4,0)," ")</f>
        <v>N-O</v>
      </c>
      <c r="D186" s="54" t="s">
        <v>95</v>
      </c>
      <c r="E186" s="54" t="s">
        <v>959</v>
      </c>
      <c r="F186" s="54"/>
      <c r="G186" s="54"/>
      <c r="H186" s="54" t="s">
        <v>1130</v>
      </c>
      <c r="I186" s="54" t="s">
        <v>1062</v>
      </c>
      <c r="J186" s="54" t="s">
        <v>48</v>
      </c>
      <c r="K186" s="54"/>
      <c r="L186" s="54"/>
      <c r="M186" s="54"/>
      <c r="N186" s="54" t="s">
        <v>1268</v>
      </c>
    </row>
    <row r="187" spans="1:14" ht="94">
      <c r="A187" s="54" t="str">
        <f>IFERROR(VLOOKUP(D187,'Master sheet (Clientes)'!A$6:D$747,2,0)," ")</f>
        <v>NJ</v>
      </c>
      <c r="B187" s="54" t="str">
        <f>IFERROR(VLOOKUP(D187,'Master sheet (Clientes)'!A$6:D$747,3,0)," ")</f>
        <v>Vivmark Residential</v>
      </c>
      <c r="C187" s="54" t="str">
        <f>IFERROR(VLOOKUP(D187,'Master sheet (Clientes)'!A$6:D$747,4,0)," ")</f>
        <v>N-O</v>
      </c>
      <c r="D187" s="54" t="s">
        <v>87</v>
      </c>
      <c r="E187" s="54" t="s">
        <v>979</v>
      </c>
      <c r="F187" s="54"/>
      <c r="G187" s="54"/>
      <c r="H187" s="54" t="s">
        <v>1131</v>
      </c>
      <c r="I187" s="54" t="s">
        <v>1233</v>
      </c>
      <c r="J187" s="54" t="s">
        <v>48</v>
      </c>
      <c r="K187" s="54"/>
      <c r="L187" s="54"/>
      <c r="M187" s="92" t="s">
        <v>1234</v>
      </c>
      <c r="N187" s="54" t="s">
        <v>1266</v>
      </c>
    </row>
    <row r="188" spans="1:14">
      <c r="A188" s="1"/>
      <c r="B188" s="1"/>
      <c r="C188" s="1"/>
      <c r="D188" s="1"/>
      <c r="E188" s="1"/>
      <c r="F188" s="1"/>
      <c r="G188" s="1"/>
      <c r="H188" s="1"/>
      <c r="I188" s="1"/>
      <c r="J188" s="1"/>
      <c r="K188" s="1"/>
      <c r="L188" s="1"/>
      <c r="M188" s="1"/>
      <c r="N188" s="1"/>
    </row>
    <row r="189" spans="1:14" s="1" customFormat="1" ht="47">
      <c r="A189" s="4" t="s">
        <v>8</v>
      </c>
      <c r="B189" s="4" t="s">
        <v>9</v>
      </c>
      <c r="C189" s="4" t="s">
        <v>10</v>
      </c>
      <c r="D189" s="4" t="s">
        <v>11</v>
      </c>
      <c r="E189" s="4" t="s">
        <v>12</v>
      </c>
      <c r="F189" s="4" t="s">
        <v>13</v>
      </c>
      <c r="G189" s="38" t="s">
        <v>14</v>
      </c>
      <c r="H189" s="4" t="s">
        <v>15</v>
      </c>
      <c r="I189" s="38" t="s">
        <v>16</v>
      </c>
      <c r="J189" s="38" t="s">
        <v>17</v>
      </c>
      <c r="K189" s="38" t="s">
        <v>18</v>
      </c>
      <c r="L189" s="38" t="s">
        <v>19</v>
      </c>
      <c r="M189" s="38" t="s">
        <v>20</v>
      </c>
      <c r="N189" s="38" t="s">
        <v>21</v>
      </c>
    </row>
    <row r="190" spans="1:14" ht="70.5">
      <c r="A190" s="54" t="str">
        <f>IFERROR(VLOOKUP(D190,'Master sheet (Clientes)'!A$6:D$747,2,0)," ")</f>
        <v>NJ</v>
      </c>
      <c r="B190" s="54" t="str">
        <f>IFERROR(VLOOKUP(D190,'Master sheet (Clientes)'!A$6:D$747,3,0)," ")</f>
        <v xml:space="preserve">KRE Group Management </v>
      </c>
      <c r="C190" s="54" t="str">
        <f>IFERROR(VLOOKUP(D190,'Master sheet (Clientes)'!A$6:D$747,4,0)," ")</f>
        <v>A-V</v>
      </c>
      <c r="D190" s="54" t="s">
        <v>380</v>
      </c>
      <c r="E190" s="54"/>
      <c r="F190" s="54"/>
      <c r="G190" s="54"/>
      <c r="H190" s="54" t="s">
        <v>1015</v>
      </c>
      <c r="I190" s="54" t="s">
        <v>1016</v>
      </c>
      <c r="J190" s="54" t="s">
        <v>48</v>
      </c>
      <c r="K190" s="54"/>
      <c r="L190" s="54"/>
      <c r="M190" s="54" t="s">
        <v>1135</v>
      </c>
      <c r="N190" s="54" t="s">
        <v>1266</v>
      </c>
    </row>
    <row r="191" spans="1:14" ht="47">
      <c r="A191" s="54" t="str">
        <f>IFERROR(VLOOKUP(D191,'Master sheet (Clientes)'!A$6:D$747,2,0)," ")</f>
        <v>NJ</v>
      </c>
      <c r="B191" s="54" t="str">
        <f>IFERROR(VLOOKUP(D191,'Master sheet (Clientes)'!A$6:D$747,3,0)," ")</f>
        <v>Bozzuto</v>
      </c>
      <c r="C191" s="54" t="str">
        <f>IFERROR(VLOOKUP(D191,'Master sheet (Clientes)'!A$6:D$747,4,0)," ")</f>
        <v>N-O</v>
      </c>
      <c r="D191" s="54" t="s">
        <v>179</v>
      </c>
      <c r="E191" s="54"/>
      <c r="F191" s="54"/>
      <c r="G191" s="54"/>
      <c r="H191" s="54" t="s">
        <v>1136</v>
      </c>
      <c r="I191" s="54" t="s">
        <v>1056</v>
      </c>
      <c r="J191" s="54" t="s">
        <v>48</v>
      </c>
      <c r="K191" s="54"/>
      <c r="L191" s="54"/>
      <c r="M191" s="54" t="s">
        <v>1135</v>
      </c>
      <c r="N191" s="54" t="s">
        <v>1266</v>
      </c>
    </row>
    <row r="192" spans="1:14">
      <c r="A192" s="1"/>
      <c r="B192" s="1"/>
      <c r="C192" s="1"/>
      <c r="D192" s="1"/>
      <c r="E192" s="1"/>
      <c r="F192" s="1"/>
      <c r="G192" s="1"/>
      <c r="H192" s="1"/>
      <c r="I192" s="1"/>
      <c r="J192" s="1"/>
      <c r="K192" s="1"/>
      <c r="L192" s="1"/>
      <c r="M192" s="1"/>
      <c r="N192" s="1"/>
    </row>
    <row r="193" spans="1:17" s="1" customFormat="1" ht="47">
      <c r="A193" s="4" t="s">
        <v>8</v>
      </c>
      <c r="B193" s="4" t="s">
        <v>9</v>
      </c>
      <c r="C193" s="4" t="s">
        <v>10</v>
      </c>
      <c r="D193" s="4" t="s">
        <v>11</v>
      </c>
      <c r="E193" s="4" t="s">
        <v>12</v>
      </c>
      <c r="F193" s="4" t="s">
        <v>13</v>
      </c>
      <c r="G193" s="38" t="s">
        <v>14</v>
      </c>
      <c r="H193" s="4" t="s">
        <v>15</v>
      </c>
      <c r="I193" s="38" t="s">
        <v>16</v>
      </c>
      <c r="J193" s="38" t="s">
        <v>17</v>
      </c>
      <c r="K193" s="38" t="s">
        <v>18</v>
      </c>
      <c r="L193" s="38" t="s">
        <v>19</v>
      </c>
      <c r="M193" s="38" t="s">
        <v>20</v>
      </c>
      <c r="N193" s="38" t="s">
        <v>21</v>
      </c>
    </row>
    <row r="194" spans="1:17" ht="70.5">
      <c r="A194" s="54" t="str">
        <f>IFERROR(VLOOKUP(D194,'Master sheet (Clientes)'!A$6:D$747,2,0)," ")</f>
        <v>NJ</v>
      </c>
      <c r="B194" s="54" t="str">
        <f>IFERROR(VLOOKUP(D194,'Master sheet (Clientes)'!A$6:D$747,3,0)," ")</f>
        <v>Vivmark Residential</v>
      </c>
      <c r="C194" s="54" t="str">
        <f>IFERROR(VLOOKUP(D194,'Master sheet (Clientes)'!A$6:D$747,4,0)," ")</f>
        <v>N-O</v>
      </c>
      <c r="D194" s="54" t="s">
        <v>95</v>
      </c>
      <c r="E194" s="54" t="s">
        <v>959</v>
      </c>
      <c r="F194" s="54"/>
      <c r="G194" s="54"/>
      <c r="H194" s="54" t="s">
        <v>1094</v>
      </c>
      <c r="I194" s="54" t="s">
        <v>960</v>
      </c>
      <c r="J194" s="54" t="s">
        <v>48</v>
      </c>
      <c r="K194" s="54"/>
      <c r="L194" s="54"/>
      <c r="M194" s="54"/>
      <c r="N194" s="54" t="s">
        <v>1268</v>
      </c>
    </row>
    <row r="195" spans="1:17">
      <c r="A195" s="1"/>
      <c r="B195" s="1"/>
      <c r="C195" s="1"/>
      <c r="D195" s="1"/>
      <c r="E195" s="1"/>
      <c r="F195" s="1"/>
      <c r="G195" s="1"/>
      <c r="H195" s="1"/>
      <c r="I195" s="1"/>
      <c r="J195" s="1"/>
      <c r="K195" s="1"/>
      <c r="L195" s="1"/>
      <c r="M195" s="1"/>
      <c r="N195" s="1"/>
    </row>
    <row r="196" spans="1:17" s="1" customFormat="1" ht="47">
      <c r="A196" s="4" t="s">
        <v>8</v>
      </c>
      <c r="B196" s="4" t="s">
        <v>9</v>
      </c>
      <c r="C196" s="4" t="s">
        <v>10</v>
      </c>
      <c r="D196" s="4" t="s">
        <v>11</v>
      </c>
      <c r="E196" s="4" t="s">
        <v>12</v>
      </c>
      <c r="F196" s="4" t="s">
        <v>13</v>
      </c>
      <c r="G196" s="38" t="s">
        <v>14</v>
      </c>
      <c r="H196" s="4" t="s">
        <v>15</v>
      </c>
      <c r="I196" s="38" t="s">
        <v>16</v>
      </c>
      <c r="J196" s="38" t="s">
        <v>17</v>
      </c>
      <c r="K196" s="38" t="s">
        <v>18</v>
      </c>
      <c r="L196" s="38" t="s">
        <v>19</v>
      </c>
      <c r="M196" s="38" t="s">
        <v>20</v>
      </c>
      <c r="N196" s="38" t="s">
        <v>21</v>
      </c>
    </row>
    <row r="197" spans="1:17" ht="70.5">
      <c r="A197" s="54" t="str">
        <f>IFERROR(VLOOKUP(D197,'Master sheet (Clientes)'!A$6:D$747,2,0)," ")</f>
        <v>NJ</v>
      </c>
      <c r="B197" s="54" t="str">
        <f>IFERROR(VLOOKUP(D197,'Master sheet (Clientes)'!A$6:D$747,3,0)," ")</f>
        <v>Vivmark Residential</v>
      </c>
      <c r="C197" s="54" t="str">
        <f>IFERROR(VLOOKUP(D197,'Master sheet (Clientes)'!A$6:D$747,4,0)," ")</f>
        <v>N-O</v>
      </c>
      <c r="D197" s="54" t="s">
        <v>87</v>
      </c>
      <c r="E197" s="54">
        <v>123</v>
      </c>
      <c r="F197" s="54" t="s">
        <v>45</v>
      </c>
      <c r="G197" s="54" t="s">
        <v>853</v>
      </c>
      <c r="H197" s="54" t="s">
        <v>856</v>
      </c>
      <c r="I197" s="54" t="s">
        <v>1096</v>
      </c>
      <c r="J197" s="54" t="s">
        <v>855</v>
      </c>
      <c r="K197" s="54"/>
      <c r="L197" s="54"/>
      <c r="M197" s="54"/>
      <c r="N197" s="54" t="s">
        <v>1268</v>
      </c>
    </row>
    <row r="198" spans="1:17" ht="70.5">
      <c r="A198" s="54" t="str">
        <f>IFERROR(VLOOKUP(D198,'Master sheet (Clientes)'!A$6:D$747,2,0)," ")</f>
        <v>NJ</v>
      </c>
      <c r="B198" s="54" t="str">
        <f>IFERROR(VLOOKUP(D198,'Master sheet (Clientes)'!A$6:D$747,3,0)," ")</f>
        <v>Vivmark Residential</v>
      </c>
      <c r="C198" s="54" t="str">
        <f>IFERROR(VLOOKUP(D198,'Master sheet (Clientes)'!A$6:D$747,4,0)," ")</f>
        <v>N-O</v>
      </c>
      <c r="D198" s="54" t="s">
        <v>87</v>
      </c>
      <c r="E198" s="54">
        <v>343</v>
      </c>
      <c r="F198" s="54" t="s">
        <v>45</v>
      </c>
      <c r="G198" s="54" t="s">
        <v>853</v>
      </c>
      <c r="H198" s="54" t="s">
        <v>856</v>
      </c>
      <c r="I198" s="54" t="s">
        <v>1096</v>
      </c>
      <c r="J198" s="54" t="s">
        <v>855</v>
      </c>
      <c r="K198" s="54"/>
      <c r="L198" s="54"/>
      <c r="M198" s="54"/>
      <c r="N198" s="54" t="s">
        <v>1268</v>
      </c>
    </row>
    <row r="199" spans="1:17" ht="70.5">
      <c r="A199" s="54" t="str">
        <f>IFERROR(VLOOKUP(D199,'Master sheet (Clientes)'!A$6:D$747,2,0)," ")</f>
        <v>NJ</v>
      </c>
      <c r="B199" s="54" t="str">
        <f>IFERROR(VLOOKUP(D199,'Master sheet (Clientes)'!A$6:D$747,3,0)," ")</f>
        <v>Vivmark Residential</v>
      </c>
      <c r="C199" s="54" t="str">
        <f>IFERROR(VLOOKUP(D199,'Master sheet (Clientes)'!A$6:D$747,4,0)," ")</f>
        <v>N-O</v>
      </c>
      <c r="D199" s="54" t="s">
        <v>90</v>
      </c>
      <c r="E199" s="54">
        <v>7301</v>
      </c>
      <c r="F199" s="54" t="s">
        <v>864</v>
      </c>
      <c r="G199" s="54" t="s">
        <v>853</v>
      </c>
      <c r="H199" s="54" t="s">
        <v>865</v>
      </c>
      <c r="I199" s="54" t="s">
        <v>1096</v>
      </c>
      <c r="J199" s="54" t="s">
        <v>866</v>
      </c>
      <c r="K199" s="54"/>
      <c r="L199" s="54"/>
      <c r="M199" s="54"/>
      <c r="N199" s="54" t="s">
        <v>1268</v>
      </c>
    </row>
    <row r="200" spans="1:17" ht="47">
      <c r="A200" s="54" t="str">
        <f>IFERROR(VLOOKUP(D200,'Master sheet (Clientes)'!A$6:D$747,2,0)," ")</f>
        <v>NJ</v>
      </c>
      <c r="B200" s="54" t="str">
        <f>IFERROR(VLOOKUP(D200,'Master sheet (Clientes)'!A$6:D$747,3,0)," ")</f>
        <v>Greystar</v>
      </c>
      <c r="C200" s="54" t="str">
        <f>IFERROR(VLOOKUP(D200,'Master sheet (Clientes)'!A$6:D$747,4,0)," ")</f>
        <v>A-V</v>
      </c>
      <c r="D200" s="54" t="s">
        <v>302</v>
      </c>
      <c r="E200" s="54">
        <v>304</v>
      </c>
      <c r="F200" s="54" t="s">
        <v>876</v>
      </c>
      <c r="G200" s="54" t="s">
        <v>853</v>
      </c>
      <c r="H200" s="54" t="s">
        <v>1132</v>
      </c>
      <c r="I200" s="54" t="s">
        <v>1096</v>
      </c>
      <c r="J200" s="54" t="s">
        <v>48</v>
      </c>
      <c r="K200" s="54"/>
      <c r="L200" s="54"/>
      <c r="M200" s="54"/>
      <c r="N200" s="54" t="s">
        <v>1268</v>
      </c>
    </row>
    <row r="201" spans="1:17" ht="70.5">
      <c r="A201" s="54" t="str">
        <f>IFERROR(VLOOKUP(D201,'Master sheet (Clientes)'!A$6:D$747,2,0)," ")</f>
        <v>NJ</v>
      </c>
      <c r="B201" s="54" t="str">
        <f>IFERROR(VLOOKUP(D201,'Master sheet (Clientes)'!A$6:D$747,3,0)," ")</f>
        <v xml:space="preserve">KRE Group Management </v>
      </c>
      <c r="C201" s="54" t="str">
        <f>IFERROR(VLOOKUP(D201,'Master sheet (Clientes)'!A$6:D$747,4,0)," ")</f>
        <v>A-V</v>
      </c>
      <c r="D201" s="54" t="s">
        <v>380</v>
      </c>
      <c r="E201" s="54" t="s">
        <v>1069</v>
      </c>
      <c r="F201" s="54" t="s">
        <v>854</v>
      </c>
      <c r="G201" s="54" t="s">
        <v>853</v>
      </c>
      <c r="H201" s="54" t="s">
        <v>1081</v>
      </c>
      <c r="I201" s="54" t="s">
        <v>1096</v>
      </c>
      <c r="J201" s="54" t="s">
        <v>48</v>
      </c>
      <c r="K201" s="54"/>
      <c r="L201" s="54"/>
      <c r="M201" s="54"/>
      <c r="N201" s="54" t="s">
        <v>1268</v>
      </c>
    </row>
    <row r="202" spans="1:17" s="94" customFormat="1" ht="164.5">
      <c r="A202" s="92" t="str">
        <f>IFERROR(VLOOKUP(D202,'Master sheet (Clientes)'!A$6:D$747,2,0)," ")</f>
        <v>NJ</v>
      </c>
      <c r="B202" s="92" t="str">
        <f>IFERROR(VLOOKUP(D202,'Master sheet (Clientes)'!A$6:D$747,3,0)," ")</f>
        <v>Bozzuto</v>
      </c>
      <c r="C202" s="92" t="str">
        <f>IFERROR(VLOOKUP(D202,'Master sheet (Clientes)'!A$6:D$747,4,0)," ")</f>
        <v>N-O</v>
      </c>
      <c r="D202" s="92" t="s">
        <v>168</v>
      </c>
      <c r="E202" s="92">
        <v>203</v>
      </c>
      <c r="F202" s="92" t="s">
        <v>876</v>
      </c>
      <c r="G202" s="92" t="s">
        <v>853</v>
      </c>
      <c r="H202" s="92" t="s">
        <v>865</v>
      </c>
      <c r="I202" s="92" t="s">
        <v>1096</v>
      </c>
      <c r="J202" s="92" t="s">
        <v>48</v>
      </c>
      <c r="K202" s="92"/>
      <c r="L202" s="92"/>
      <c r="M202" s="92" t="s">
        <v>1246</v>
      </c>
      <c r="N202" s="92" t="s">
        <v>1245</v>
      </c>
      <c r="O202" s="93"/>
      <c r="P202" s="93"/>
      <c r="Q202" s="93"/>
    </row>
    <row r="203" spans="1:17" ht="70.5">
      <c r="A203" s="54" t="str">
        <f>IFERROR(VLOOKUP(D203,'Master sheet (Clientes)'!A$6:D$747,2,0)," ")</f>
        <v>NJ</v>
      </c>
      <c r="B203" s="54" t="str">
        <f>IFERROR(VLOOKUP(D203,'Master sheet (Clientes)'!A$6:D$747,3,0)," ")</f>
        <v>Vivmark Residential</v>
      </c>
      <c r="C203" s="54" t="str">
        <f>IFERROR(VLOOKUP(D203,'Master sheet (Clientes)'!A$6:D$747,4,0)," ")</f>
        <v>A-V</v>
      </c>
      <c r="D203" s="54" t="s">
        <v>287</v>
      </c>
      <c r="E203" s="54">
        <v>131</v>
      </c>
      <c r="F203" s="54" t="s">
        <v>854</v>
      </c>
      <c r="G203" s="54" t="s">
        <v>853</v>
      </c>
      <c r="H203" s="54" t="s">
        <v>857</v>
      </c>
      <c r="I203" s="54" t="s">
        <v>1096</v>
      </c>
      <c r="J203" s="54" t="s">
        <v>858</v>
      </c>
      <c r="K203" s="54"/>
      <c r="L203" s="54"/>
      <c r="M203" s="54"/>
      <c r="N203" s="54" t="s">
        <v>1268</v>
      </c>
    </row>
    <row r="204" spans="1:17" ht="70.5">
      <c r="A204" s="54" t="str">
        <f>IFERROR(VLOOKUP(D204,'Master sheet (Clientes)'!A$6:D$747,2,0)," ")</f>
        <v>NJ</v>
      </c>
      <c r="B204" s="54" t="str">
        <f>IFERROR(VLOOKUP(D204,'Master sheet (Clientes)'!A$6:D$747,3,0)," ")</f>
        <v>Greystar</v>
      </c>
      <c r="C204" s="54" t="str">
        <f>IFERROR(VLOOKUP(D204,'Master sheet (Clientes)'!A$6:D$747,4,0)," ")</f>
        <v>A-V</v>
      </c>
      <c r="D204" s="54" t="s">
        <v>1091</v>
      </c>
      <c r="E204" s="54">
        <v>310</v>
      </c>
      <c r="F204" s="54" t="s">
        <v>1092</v>
      </c>
      <c r="G204" s="54" t="s">
        <v>46</v>
      </c>
      <c r="H204" s="54" t="s">
        <v>857</v>
      </c>
      <c r="I204" s="54" t="s">
        <v>1096</v>
      </c>
      <c r="J204" s="54" t="s">
        <v>48</v>
      </c>
      <c r="K204" s="54"/>
      <c r="L204" s="54"/>
      <c r="M204" s="54"/>
      <c r="N204" s="54" t="s">
        <v>1268</v>
      </c>
    </row>
    <row r="205" spans="1:17" s="91" customFormat="1" ht="47">
      <c r="A205" s="54" t="str">
        <f>IFERROR(VLOOKUP(D205,'Master sheet (Clientes)'!A$6:D$747,2,0)," ")</f>
        <v>NJ</v>
      </c>
      <c r="B205" s="54" t="str">
        <f>IFERROR(VLOOKUP(D205,'Master sheet (Clientes)'!A$6:D$747,3,0)," ")</f>
        <v>Greystar</v>
      </c>
      <c r="C205" s="54" t="str">
        <f>IFERROR(VLOOKUP(D205,'Master sheet (Clientes)'!A$6:D$747,4,0)," ")</f>
        <v>A-V</v>
      </c>
      <c r="D205" s="88" t="s">
        <v>310</v>
      </c>
      <c r="E205" s="88">
        <v>228</v>
      </c>
      <c r="F205" s="88" t="s">
        <v>854</v>
      </c>
      <c r="G205" s="88" t="s">
        <v>853</v>
      </c>
      <c r="H205" s="88" t="s">
        <v>1138</v>
      </c>
      <c r="I205" s="89" t="s">
        <v>1137</v>
      </c>
      <c r="J205" s="88" t="s">
        <v>48</v>
      </c>
      <c r="K205" s="88"/>
      <c r="L205" s="88"/>
      <c r="M205" s="88"/>
      <c r="N205" s="54" t="s">
        <v>1268</v>
      </c>
      <c r="O205" s="90"/>
      <c r="P205" s="90"/>
      <c r="Q205" s="90"/>
    </row>
    <row r="206" spans="1:17">
      <c r="A206" s="1"/>
      <c r="B206" s="1"/>
      <c r="C206" s="1"/>
      <c r="D206" s="1"/>
      <c r="E206" s="1"/>
      <c r="F206" s="1"/>
      <c r="G206" s="1"/>
      <c r="H206" s="1"/>
      <c r="I206" s="1"/>
      <c r="J206" s="1"/>
      <c r="K206" s="1"/>
      <c r="L206" s="1"/>
      <c r="M206" s="1"/>
      <c r="N206" s="1"/>
    </row>
    <row r="207" spans="1:17" s="1" customFormat="1" ht="47">
      <c r="A207" s="4" t="s">
        <v>8</v>
      </c>
      <c r="B207" s="4" t="s">
        <v>9</v>
      </c>
      <c r="C207" s="4" t="s">
        <v>10</v>
      </c>
      <c r="D207" s="4" t="s">
        <v>11</v>
      </c>
      <c r="E207" s="4" t="s">
        <v>12</v>
      </c>
      <c r="F207" s="4" t="s">
        <v>13</v>
      </c>
      <c r="G207" s="38" t="s">
        <v>14</v>
      </c>
      <c r="H207" s="4" t="s">
        <v>15</v>
      </c>
      <c r="I207" s="38" t="s">
        <v>16</v>
      </c>
      <c r="J207" s="38" t="s">
        <v>17</v>
      </c>
      <c r="K207" s="38" t="s">
        <v>18</v>
      </c>
      <c r="L207" s="38" t="s">
        <v>19</v>
      </c>
      <c r="M207" s="38" t="s">
        <v>20</v>
      </c>
      <c r="N207" s="38" t="s">
        <v>21</v>
      </c>
    </row>
    <row r="208" spans="1:17" ht="70.5">
      <c r="A208" s="54" t="str">
        <f>IFERROR(VLOOKUP(D208,'Master sheet (Clientes)'!A$6:D$747,2,0)," ")</f>
        <v>NJ</v>
      </c>
      <c r="B208" s="54" t="str">
        <f>IFERROR(VLOOKUP(D208,'Master sheet (Clientes)'!A$6:D$747,3,0)," ")</f>
        <v xml:space="preserve">Sparrow </v>
      </c>
      <c r="C208" s="54" t="str">
        <f>IFERROR(VLOOKUP(D208,'Master sheet (Clientes)'!A$6:D$747,4,0)," ")</f>
        <v>A-V</v>
      </c>
      <c r="D208" s="54" t="s">
        <v>924</v>
      </c>
      <c r="E208" s="54">
        <v>403</v>
      </c>
      <c r="F208" s="54" t="s">
        <v>45</v>
      </c>
      <c r="G208" s="54" t="s">
        <v>853</v>
      </c>
      <c r="H208" s="54" t="s">
        <v>857</v>
      </c>
      <c r="I208" s="54" t="s">
        <v>950</v>
      </c>
      <c r="J208" s="54" t="s">
        <v>48</v>
      </c>
      <c r="K208" s="54"/>
      <c r="L208" s="54"/>
      <c r="M208" s="54"/>
      <c r="N208" s="54" t="s">
        <v>1268</v>
      </c>
    </row>
    <row r="209" spans="1:17" ht="70.5">
      <c r="A209" s="54" t="str">
        <f>IFERROR(VLOOKUP(D209,'Master sheet (Clientes)'!A$6:D$747,2,0)," ")</f>
        <v>NJ</v>
      </c>
      <c r="B209" s="54" t="str">
        <f>IFERROR(VLOOKUP(D209,'Master sheet (Clientes)'!A$6:D$747,3,0)," ")</f>
        <v xml:space="preserve">Sparrow </v>
      </c>
      <c r="C209" s="54" t="str">
        <f>IFERROR(VLOOKUP(D209,'Master sheet (Clientes)'!A$6:D$747,4,0)," ")</f>
        <v>A-V</v>
      </c>
      <c r="D209" s="54" t="s">
        <v>924</v>
      </c>
      <c r="E209" s="54">
        <v>406</v>
      </c>
      <c r="F209" s="54" t="s">
        <v>45</v>
      </c>
      <c r="G209" s="54" t="s">
        <v>853</v>
      </c>
      <c r="H209" s="54" t="s">
        <v>857</v>
      </c>
      <c r="I209" s="54" t="s">
        <v>950</v>
      </c>
      <c r="J209" s="54" t="s">
        <v>48</v>
      </c>
      <c r="K209" s="54"/>
      <c r="L209" s="54"/>
      <c r="M209" s="54"/>
      <c r="N209" s="54" t="s">
        <v>1268</v>
      </c>
    </row>
    <row r="210" spans="1:17" ht="70.5">
      <c r="A210" s="54" t="str">
        <f>IFERROR(VLOOKUP(D210,'Master sheet (Clientes)'!A$6:D$747,2,0)," ")</f>
        <v>NJ</v>
      </c>
      <c r="B210" s="54" t="str">
        <f>IFERROR(VLOOKUP(D210,'Master sheet (Clientes)'!A$6:D$747,3,0)," ")</f>
        <v xml:space="preserve">Sparrow </v>
      </c>
      <c r="C210" s="54" t="str">
        <f>IFERROR(VLOOKUP(D210,'Master sheet (Clientes)'!A$6:D$747,4,0)," ")</f>
        <v>A-V</v>
      </c>
      <c r="D210" s="54" t="s">
        <v>924</v>
      </c>
      <c r="E210" s="54">
        <v>410</v>
      </c>
      <c r="F210" s="54" t="s">
        <v>45</v>
      </c>
      <c r="G210" s="54" t="s">
        <v>853</v>
      </c>
      <c r="H210" s="54" t="s">
        <v>857</v>
      </c>
      <c r="I210" s="54" t="s">
        <v>950</v>
      </c>
      <c r="J210" s="54" t="s">
        <v>48</v>
      </c>
      <c r="K210" s="54"/>
      <c r="L210" s="54"/>
      <c r="M210" s="54"/>
      <c r="N210" s="54" t="s">
        <v>1268</v>
      </c>
    </row>
    <row r="211" spans="1:17" ht="70.5">
      <c r="A211" s="54" t="str">
        <f>IFERROR(VLOOKUP(D211,'Master sheet (Clientes)'!A$6:D$747,2,0)," ")</f>
        <v>NJ</v>
      </c>
      <c r="B211" s="54" t="str">
        <f>IFERROR(VLOOKUP(D211,'Master sheet (Clientes)'!A$6:D$747,3,0)," ")</f>
        <v xml:space="preserve">Sparrow </v>
      </c>
      <c r="C211" s="54" t="str">
        <f>IFERROR(VLOOKUP(D211,'Master sheet (Clientes)'!A$6:D$747,4,0)," ")</f>
        <v>A-V</v>
      </c>
      <c r="D211" s="54" t="s">
        <v>924</v>
      </c>
      <c r="E211" s="54">
        <v>302</v>
      </c>
      <c r="F211" s="54" t="s">
        <v>854</v>
      </c>
      <c r="G211" s="54" t="s">
        <v>853</v>
      </c>
      <c r="H211" s="54" t="s">
        <v>857</v>
      </c>
      <c r="I211" s="54" t="s">
        <v>950</v>
      </c>
      <c r="J211" s="54" t="s">
        <v>48</v>
      </c>
      <c r="K211" s="54"/>
      <c r="L211" s="54"/>
      <c r="M211" s="54"/>
      <c r="N211" s="54" t="s">
        <v>1268</v>
      </c>
    </row>
    <row r="212" spans="1:17" ht="70.5">
      <c r="A212" s="54" t="str">
        <f>IFERROR(VLOOKUP(D212,'Master sheet (Clientes)'!A$6:D$747,2,0)," ")</f>
        <v>NJ</v>
      </c>
      <c r="B212" s="54" t="str">
        <f>IFERROR(VLOOKUP(D212,'Master sheet (Clientes)'!A$6:D$747,3,0)," ")</f>
        <v xml:space="preserve">Sparrow </v>
      </c>
      <c r="C212" s="54" t="str">
        <f>IFERROR(VLOOKUP(D212,'Master sheet (Clientes)'!A$6:D$747,4,0)," ")</f>
        <v>A-V</v>
      </c>
      <c r="D212" s="54" t="s">
        <v>924</v>
      </c>
      <c r="E212" s="54">
        <v>509</v>
      </c>
      <c r="F212" s="54" t="s">
        <v>854</v>
      </c>
      <c r="G212" s="54" t="s">
        <v>853</v>
      </c>
      <c r="H212" s="54" t="s">
        <v>857</v>
      </c>
      <c r="I212" s="54" t="s">
        <v>950</v>
      </c>
      <c r="J212" s="54" t="s">
        <v>48</v>
      </c>
      <c r="K212" s="54"/>
      <c r="L212" s="54"/>
      <c r="M212" s="54"/>
      <c r="N212" s="54" t="s">
        <v>1268</v>
      </c>
    </row>
    <row r="213" spans="1:17" ht="70.5">
      <c r="A213" s="54" t="str">
        <f>IFERROR(VLOOKUP(D213,'Master sheet (Clientes)'!A$6:D$747,2,0)," ")</f>
        <v>NJ</v>
      </c>
      <c r="B213" s="54" t="str">
        <f>IFERROR(VLOOKUP(D213,'Master sheet (Clientes)'!A$6:D$747,3,0)," ")</f>
        <v>Vivmark Residential</v>
      </c>
      <c r="C213" s="54" t="str">
        <f>IFERROR(VLOOKUP(D213,'Master sheet (Clientes)'!A$6:D$747,4,0)," ")</f>
        <v>N-O</v>
      </c>
      <c r="D213" s="54" t="s">
        <v>95</v>
      </c>
      <c r="E213" s="54">
        <v>6106</v>
      </c>
      <c r="F213" s="99" t="s">
        <v>45</v>
      </c>
      <c r="G213" s="54" t="s">
        <v>853</v>
      </c>
      <c r="H213" s="54" t="s">
        <v>1398</v>
      </c>
      <c r="I213" s="54" t="s">
        <v>950</v>
      </c>
      <c r="J213" s="54" t="s">
        <v>48</v>
      </c>
      <c r="K213" s="54"/>
      <c r="L213" s="54"/>
      <c r="M213" s="54"/>
      <c r="N213" s="54" t="s">
        <v>1268</v>
      </c>
    </row>
    <row r="214" spans="1:17" ht="70.5">
      <c r="A214" s="54" t="str">
        <f>IFERROR(VLOOKUP(D214,'Master sheet (Clientes)'!A$6:D$747,2,0)," ")</f>
        <v>NJ</v>
      </c>
      <c r="B214" s="54" t="str">
        <f>IFERROR(VLOOKUP(D214,'Master sheet (Clientes)'!A$6:D$747,3,0)," ")</f>
        <v>Vivmark Residential</v>
      </c>
      <c r="C214" s="54" t="str">
        <f>IFERROR(VLOOKUP(D214,'Master sheet (Clientes)'!A$6:D$747,4,0)," ")</f>
        <v>N-O</v>
      </c>
      <c r="D214" s="54" t="s">
        <v>95</v>
      </c>
      <c r="E214" s="54">
        <v>1106</v>
      </c>
      <c r="F214" s="99" t="s">
        <v>45</v>
      </c>
      <c r="G214" s="54" t="s">
        <v>853</v>
      </c>
      <c r="H214" s="54" t="s">
        <v>1398</v>
      </c>
      <c r="I214" s="54" t="s">
        <v>950</v>
      </c>
      <c r="J214" s="54" t="s">
        <v>48</v>
      </c>
      <c r="K214" s="54"/>
      <c r="L214" s="54"/>
      <c r="M214" s="54"/>
      <c r="N214" s="54" t="s">
        <v>1268</v>
      </c>
    </row>
    <row r="215" spans="1:17">
      <c r="A215" s="1"/>
      <c r="B215" s="1"/>
      <c r="C215" s="1"/>
      <c r="D215" s="1"/>
      <c r="E215" s="1"/>
      <c r="F215" s="1"/>
      <c r="G215" s="1"/>
      <c r="H215" s="1"/>
      <c r="I215" s="1"/>
      <c r="K215" s="1"/>
      <c r="L215" s="1"/>
      <c r="M215" s="1"/>
      <c r="N215" s="1"/>
    </row>
    <row r="216" spans="1:17" s="1" customFormat="1" ht="36">
      <c r="A216" s="45"/>
      <c r="B216" s="45"/>
      <c r="C216" s="45"/>
      <c r="D216" s="131" t="str">
        <f>A1</f>
        <v>BuildCare SCHEDULE MONDAY, AUGUST 31 / 2026</v>
      </c>
      <c r="E216" s="131"/>
      <c r="F216" s="131"/>
      <c r="G216" s="131"/>
      <c r="H216" s="131"/>
      <c r="I216" s="131"/>
      <c r="J216" s="131"/>
      <c r="K216" s="131"/>
      <c r="L216" s="131"/>
      <c r="M216" s="45"/>
      <c r="N216" s="32"/>
    </row>
    <row r="217" spans="1:17">
      <c r="A217" s="1"/>
      <c r="B217" s="1"/>
      <c r="C217" s="1"/>
      <c r="D217" s="1"/>
      <c r="E217" s="1"/>
      <c r="F217" s="1"/>
      <c r="G217" s="1"/>
      <c r="H217" s="1"/>
      <c r="I217" s="1"/>
      <c r="K217" s="1"/>
      <c r="L217" s="1"/>
      <c r="M217" s="1"/>
      <c r="N217" s="1"/>
    </row>
    <row r="218" spans="1:17" ht="28.5">
      <c r="A218" s="34"/>
      <c r="B218" s="34"/>
      <c r="C218" s="34"/>
      <c r="D218" s="126" t="s">
        <v>32</v>
      </c>
      <c r="E218" s="126"/>
      <c r="F218" s="126"/>
      <c r="G218" s="126"/>
      <c r="H218" s="126"/>
      <c r="I218" s="126"/>
      <c r="J218" s="126"/>
      <c r="K218" s="126"/>
      <c r="L218" s="126"/>
      <c r="M218" s="18"/>
      <c r="N218" s="18"/>
    </row>
    <row r="219" spans="1:17" s="5" customFormat="1">
      <c r="A219" s="3"/>
      <c r="B219" s="3"/>
      <c r="C219" s="3"/>
      <c r="D219" s="3"/>
      <c r="E219" s="3"/>
      <c r="F219" s="3"/>
      <c r="G219" s="3"/>
      <c r="H219" s="3"/>
      <c r="I219" s="3"/>
      <c r="J219" s="3"/>
      <c r="K219" s="1"/>
      <c r="L219" s="1"/>
      <c r="M219" s="1"/>
      <c r="N219" s="1"/>
      <c r="O219" s="35"/>
      <c r="P219" s="35"/>
      <c r="Q219" s="35"/>
    </row>
    <row r="220" spans="1:17" s="5" customFormat="1" ht="26">
      <c r="A220" s="33"/>
      <c r="B220" s="33"/>
      <c r="C220" s="33"/>
      <c r="D220" s="127" t="s">
        <v>33</v>
      </c>
      <c r="E220" s="127"/>
      <c r="F220" s="127"/>
      <c r="G220" s="127"/>
      <c r="H220" s="127"/>
      <c r="I220" s="127"/>
      <c r="J220" s="127"/>
      <c r="K220" s="127"/>
      <c r="L220" s="127"/>
      <c r="M220" s="16"/>
      <c r="N220" s="16"/>
      <c r="O220" s="35"/>
      <c r="P220" s="35"/>
      <c r="Q220" s="35"/>
    </row>
    <row r="221" spans="1:17" s="5" customFormat="1" ht="26">
      <c r="A221" s="43"/>
      <c r="B221" s="43"/>
      <c r="C221" s="43"/>
      <c r="D221" s="128" t="s">
        <v>34</v>
      </c>
      <c r="E221" s="128"/>
      <c r="F221" s="128"/>
      <c r="G221" s="128"/>
      <c r="H221" s="128"/>
      <c r="I221" s="128"/>
      <c r="J221" s="128"/>
      <c r="K221" s="128"/>
      <c r="L221" s="128"/>
      <c r="M221" s="44"/>
      <c r="N221" s="44"/>
      <c r="O221" s="35"/>
      <c r="P221" s="35"/>
      <c r="Q221" s="35"/>
    </row>
    <row r="222" spans="1:17" s="1" customFormat="1"/>
    <row r="223" spans="1:17" s="1" customFormat="1" ht="26">
      <c r="A223" s="17"/>
      <c r="B223" s="17"/>
      <c r="C223" s="17"/>
      <c r="D223" s="125" t="s">
        <v>35</v>
      </c>
      <c r="E223" s="125"/>
      <c r="F223" s="125"/>
      <c r="G223" s="125"/>
      <c r="H223" s="125"/>
      <c r="I223" s="125"/>
      <c r="J223" s="125"/>
      <c r="K223" s="125"/>
      <c r="L223" s="125"/>
      <c r="M223" s="15"/>
      <c r="N223" s="15"/>
    </row>
    <row r="224" spans="1:17" s="1" customFormat="1" ht="26">
      <c r="A224" s="46"/>
      <c r="B224" s="46"/>
      <c r="C224" s="46"/>
      <c r="D224" s="125" t="s">
        <v>36</v>
      </c>
      <c r="E224" s="125"/>
      <c r="F224" s="125"/>
      <c r="G224" s="125"/>
      <c r="H224" s="125"/>
      <c r="I224" s="125"/>
      <c r="J224" s="17"/>
      <c r="K224" s="17"/>
      <c r="L224" s="17"/>
      <c r="M224" s="15"/>
      <c r="N224" s="15"/>
    </row>
    <row r="225" spans="1:20" s="1" customFormat="1" ht="26">
      <c r="A225" s="17"/>
      <c r="B225" s="17"/>
      <c r="C225" s="17"/>
      <c r="D225" s="125" t="s">
        <v>4</v>
      </c>
      <c r="E225" s="125"/>
      <c r="F225" s="125"/>
      <c r="G225" s="125"/>
      <c r="H225" s="125"/>
      <c r="I225" s="125"/>
      <c r="J225" s="17"/>
      <c r="K225" s="17"/>
      <c r="L225" s="17"/>
      <c r="M225" s="15"/>
      <c r="N225" s="15"/>
    </row>
    <row r="226" spans="1:20" s="1" customFormat="1">
      <c r="A226" s="3"/>
      <c r="B226" s="3"/>
      <c r="C226" s="3"/>
      <c r="D226" s="3"/>
      <c r="E226" s="3"/>
      <c r="F226" s="3"/>
      <c r="G226" s="3"/>
      <c r="H226" s="3"/>
      <c r="I226" s="3"/>
      <c r="J226" s="3"/>
    </row>
    <row r="227" spans="1:20" s="1" customFormat="1" ht="47">
      <c r="A227" s="4" t="s">
        <v>8</v>
      </c>
      <c r="B227" s="4" t="s">
        <v>9</v>
      </c>
      <c r="C227" s="4" t="s">
        <v>10</v>
      </c>
      <c r="D227" s="4" t="s">
        <v>11</v>
      </c>
      <c r="E227" s="4" t="s">
        <v>12</v>
      </c>
      <c r="F227" s="4" t="s">
        <v>13</v>
      </c>
      <c r="G227" s="38" t="s">
        <v>14</v>
      </c>
      <c r="H227" s="4" t="s">
        <v>15</v>
      </c>
      <c r="I227" s="38" t="s">
        <v>16</v>
      </c>
      <c r="J227" s="38" t="s">
        <v>17</v>
      </c>
      <c r="K227" s="38" t="s">
        <v>18</v>
      </c>
      <c r="L227" s="38" t="s">
        <v>19</v>
      </c>
      <c r="M227" s="38" t="s">
        <v>20</v>
      </c>
      <c r="N227" s="38" t="s">
        <v>21</v>
      </c>
    </row>
    <row r="228" spans="1:20" s="12" customFormat="1" ht="70.5">
      <c r="A228" s="54" t="str">
        <f>IFERROR(VLOOKUP(D228,'Master sheet (Clientes)'!A$6:D$747,2,0)," ")</f>
        <v>PA</v>
      </c>
      <c r="B228" s="54" t="str">
        <f>IFERROR(VLOOKUP(D228,'Master sheet (Clientes)'!A$6:D$747,3,0)," ")</f>
        <v>Greystar</v>
      </c>
      <c r="C228" s="54" t="str">
        <f>IFERROR(VLOOKUP(D228,'Master sheet (Clientes)'!A$6:D$747,4,0)," ")</f>
        <v>A-V</v>
      </c>
      <c r="D228" s="54" t="s">
        <v>319</v>
      </c>
      <c r="E228" s="54">
        <v>1115</v>
      </c>
      <c r="F228" s="54"/>
      <c r="G228" s="54" t="s">
        <v>917</v>
      </c>
      <c r="H228" s="54" t="s">
        <v>918</v>
      </c>
      <c r="I228" s="54" t="s">
        <v>1272</v>
      </c>
      <c r="J228" s="54" t="s">
        <v>48</v>
      </c>
      <c r="K228" s="54"/>
      <c r="L228" s="54"/>
      <c r="M228" s="54"/>
      <c r="N228" s="54" t="s">
        <v>1268</v>
      </c>
      <c r="O228" s="1"/>
      <c r="P228" s="1"/>
      <c r="Q228" s="1"/>
      <c r="R228" s="11"/>
      <c r="S228" s="11"/>
      <c r="T228" s="11"/>
    </row>
    <row r="229" spans="1:20" s="12" customFormat="1" ht="70.5">
      <c r="A229" s="54" t="str">
        <f>IFERROR(VLOOKUP(D229,'Master sheet (Clientes)'!A$6:D$747,2,0)," ")</f>
        <v>PA</v>
      </c>
      <c r="B229" s="54" t="str">
        <f>IFERROR(VLOOKUP(D229,'Master sheet (Clientes)'!A$6:D$747,3,0)," ")</f>
        <v>Post Brothers</v>
      </c>
      <c r="C229" s="54" t="str">
        <f>IFERROR(VLOOKUP(D229,'Master sheet (Clientes)'!A$6:D$747,4,0)," ")</f>
        <v>A-V</v>
      </c>
      <c r="D229" s="54" t="s">
        <v>623</v>
      </c>
      <c r="E229" s="54"/>
      <c r="F229" s="54"/>
      <c r="G229" s="54"/>
      <c r="H229" s="54" t="s">
        <v>1021</v>
      </c>
      <c r="I229" s="54" t="s">
        <v>1022</v>
      </c>
      <c r="J229" s="54" t="s">
        <v>48</v>
      </c>
      <c r="K229" s="54"/>
      <c r="L229" s="54"/>
      <c r="M229" s="54" t="s">
        <v>1023</v>
      </c>
      <c r="N229" s="54" t="s">
        <v>1269</v>
      </c>
      <c r="O229" s="1"/>
      <c r="P229" s="1"/>
      <c r="Q229" s="1"/>
      <c r="R229" s="11"/>
      <c r="S229" s="11"/>
      <c r="T229" s="11"/>
    </row>
    <row r="230" spans="1:20" s="12" customFormat="1" ht="70.5">
      <c r="A230" s="54" t="str">
        <f>IFERROR(VLOOKUP(D230,'Master sheet (Clientes)'!A$6:D$747,2,0)," ")</f>
        <v>PA</v>
      </c>
      <c r="B230" s="54" t="str">
        <f>IFERROR(VLOOKUP(D230,'Master sheet (Clientes)'!A$6:D$747,3,0)," ")</f>
        <v>Post Brothers</v>
      </c>
      <c r="C230" s="54" t="str">
        <f>IFERROR(VLOOKUP(D230,'Master sheet (Clientes)'!A$6:D$747,4,0)," ")</f>
        <v>A-V</v>
      </c>
      <c r="D230" s="54" t="s">
        <v>619</v>
      </c>
      <c r="E230" s="54"/>
      <c r="F230" s="54"/>
      <c r="G230" s="54"/>
      <c r="H230" s="54" t="s">
        <v>1052</v>
      </c>
      <c r="I230" s="54" t="s">
        <v>1274</v>
      </c>
      <c r="J230" s="54" t="s">
        <v>48</v>
      </c>
      <c r="K230" s="54"/>
      <c r="L230" s="54"/>
      <c r="M230" s="54" t="s">
        <v>1060</v>
      </c>
      <c r="N230" s="54" t="s">
        <v>1269</v>
      </c>
      <c r="O230" s="1"/>
      <c r="P230" s="1"/>
      <c r="Q230" s="1"/>
      <c r="R230" s="11"/>
      <c r="S230" s="11"/>
      <c r="T230" s="11"/>
    </row>
    <row r="231" spans="1:20" s="12" customFormat="1" ht="47">
      <c r="A231" s="54" t="str">
        <f>IFERROR(VLOOKUP(D231,'Master sheet (Clientes)'!A$6:D$747,2,0)," ")</f>
        <v>PA</v>
      </c>
      <c r="B231" s="54" t="str">
        <f>IFERROR(VLOOKUP(D231,'Master sheet (Clientes)'!A$6:D$747,3,0)," ")</f>
        <v>Post Brothers</v>
      </c>
      <c r="C231" s="54" t="str">
        <f>IFERROR(VLOOKUP(D231,'Master sheet (Clientes)'!A$6:D$747,4,0)," ")</f>
        <v>A-V</v>
      </c>
      <c r="D231" s="54" t="s">
        <v>628</v>
      </c>
      <c r="E231" s="54"/>
      <c r="F231" s="54"/>
      <c r="G231" s="54"/>
      <c r="H231" s="54" t="s">
        <v>1068</v>
      </c>
      <c r="I231" s="54" t="s">
        <v>1273</v>
      </c>
      <c r="J231" s="54" t="s">
        <v>48</v>
      </c>
      <c r="K231" s="54"/>
      <c r="L231" s="54"/>
      <c r="M231" s="54"/>
      <c r="N231" s="54" t="s">
        <v>1268</v>
      </c>
      <c r="O231" s="1"/>
      <c r="P231" s="1"/>
      <c r="Q231" s="1"/>
      <c r="R231" s="11"/>
      <c r="S231" s="11"/>
      <c r="T231" s="11"/>
    </row>
    <row r="232" spans="1:20">
      <c r="A232" s="1"/>
      <c r="B232" s="1"/>
      <c r="C232" s="1"/>
      <c r="D232" s="1"/>
      <c r="E232" s="1"/>
      <c r="F232" s="1"/>
      <c r="G232" s="1"/>
      <c r="H232" s="1"/>
      <c r="I232" s="1"/>
      <c r="J232" s="1"/>
      <c r="K232" s="1"/>
      <c r="L232" s="1"/>
      <c r="M232" s="1"/>
      <c r="N232" s="1"/>
    </row>
    <row r="233" spans="1:20" s="1" customFormat="1" ht="47">
      <c r="A233" s="4" t="s">
        <v>8</v>
      </c>
      <c r="B233" s="4" t="s">
        <v>9</v>
      </c>
      <c r="C233" s="4" t="s">
        <v>10</v>
      </c>
      <c r="D233" s="4" t="s">
        <v>11</v>
      </c>
      <c r="E233" s="4" t="s">
        <v>12</v>
      </c>
      <c r="F233" s="4" t="s">
        <v>13</v>
      </c>
      <c r="G233" s="38" t="s">
        <v>14</v>
      </c>
      <c r="H233" s="4" t="s">
        <v>15</v>
      </c>
      <c r="I233" s="38" t="s">
        <v>16</v>
      </c>
      <c r="J233" s="38" t="s">
        <v>17</v>
      </c>
      <c r="K233" s="38" t="s">
        <v>18</v>
      </c>
      <c r="L233" s="38" t="s">
        <v>19</v>
      </c>
      <c r="M233" s="38" t="s">
        <v>20</v>
      </c>
      <c r="N233" s="38" t="s">
        <v>21</v>
      </c>
    </row>
    <row r="234" spans="1:20" s="12" customFormat="1" ht="70.5">
      <c r="A234" s="54" t="str">
        <f>IFERROR(VLOOKUP(D234,'Master sheet (Clientes)'!A$6:D$747,2,0)," ")</f>
        <v>PA</v>
      </c>
      <c r="B234" s="54" t="str">
        <f>IFERROR(VLOOKUP(D234,'Master sheet (Clientes)'!A$6:D$747,3,0)," ")</f>
        <v>Post Brothers</v>
      </c>
      <c r="C234" s="54" t="str">
        <f>IFERROR(VLOOKUP(D234,'Master sheet (Clientes)'!A$6:D$747,4,0)," ")</f>
        <v>A-V</v>
      </c>
      <c r="D234" s="54" t="s">
        <v>619</v>
      </c>
      <c r="E234" s="54"/>
      <c r="F234" s="54"/>
      <c r="G234" s="54"/>
      <c r="H234" s="54" t="s">
        <v>986</v>
      </c>
      <c r="I234" s="54" t="s">
        <v>982</v>
      </c>
      <c r="J234" s="54" t="s">
        <v>48</v>
      </c>
      <c r="K234" s="54"/>
      <c r="L234" s="54"/>
      <c r="M234" s="54" t="s">
        <v>900</v>
      </c>
      <c r="N234" s="54" t="s">
        <v>1269</v>
      </c>
      <c r="O234" s="1"/>
      <c r="P234" s="1"/>
      <c r="Q234" s="1"/>
      <c r="R234" s="11"/>
      <c r="S234" s="11"/>
      <c r="T234" s="11"/>
    </row>
    <row r="235" spans="1:20" s="12" customFormat="1" ht="70.5">
      <c r="A235" s="54" t="str">
        <f>IFERROR(VLOOKUP(D235,'Master sheet (Clientes)'!A$6:D$747,2,0)," ")</f>
        <v>PA</v>
      </c>
      <c r="B235" s="54" t="str">
        <f>IFERROR(VLOOKUP(D235,'Master sheet (Clientes)'!A$6:D$747,3,0)," ")</f>
        <v>Post Brothers</v>
      </c>
      <c r="C235" s="54" t="str">
        <f>IFERROR(VLOOKUP(D235,'Master sheet (Clientes)'!A$6:D$747,4,0)," ")</f>
        <v>A-V</v>
      </c>
      <c r="D235" s="54" t="s">
        <v>622</v>
      </c>
      <c r="E235" s="54"/>
      <c r="F235" s="54"/>
      <c r="G235" s="54"/>
      <c r="H235" s="54" t="s">
        <v>983</v>
      </c>
      <c r="I235" s="54" t="s">
        <v>984</v>
      </c>
      <c r="J235" s="54" t="s">
        <v>48</v>
      </c>
      <c r="K235" s="54"/>
      <c r="L235" s="54"/>
      <c r="M235" s="54" t="s">
        <v>985</v>
      </c>
      <c r="N235" s="54" t="s">
        <v>1269</v>
      </c>
      <c r="O235" s="1"/>
      <c r="P235" s="1"/>
      <c r="Q235" s="1"/>
      <c r="R235" s="11"/>
      <c r="S235" s="11"/>
      <c r="T235" s="11"/>
    </row>
    <row r="236" spans="1:20">
      <c r="A236" s="1"/>
      <c r="B236" s="1"/>
      <c r="C236" s="1"/>
      <c r="D236" s="1"/>
      <c r="E236" s="1"/>
      <c r="F236" s="1"/>
      <c r="G236" s="1"/>
      <c r="H236" s="1"/>
      <c r="I236" s="1"/>
      <c r="J236" s="1"/>
      <c r="K236" s="1"/>
      <c r="L236" s="1"/>
      <c r="M236" s="1"/>
      <c r="N236" s="1"/>
    </row>
    <row r="237" spans="1:20" s="1" customFormat="1" ht="47">
      <c r="A237" s="4" t="s">
        <v>8</v>
      </c>
      <c r="B237" s="4" t="s">
        <v>9</v>
      </c>
      <c r="C237" s="4" t="s">
        <v>10</v>
      </c>
      <c r="D237" s="4" t="s">
        <v>11</v>
      </c>
      <c r="E237" s="4" t="s">
        <v>12</v>
      </c>
      <c r="F237" s="4" t="s">
        <v>13</v>
      </c>
      <c r="G237" s="38" t="s">
        <v>14</v>
      </c>
      <c r="H237" s="4" t="s">
        <v>15</v>
      </c>
      <c r="I237" s="38" t="s">
        <v>16</v>
      </c>
      <c r="J237" s="38" t="s">
        <v>17</v>
      </c>
      <c r="K237" s="38" t="s">
        <v>18</v>
      </c>
      <c r="L237" s="38" t="s">
        <v>19</v>
      </c>
      <c r="M237" s="38" t="s">
        <v>20</v>
      </c>
      <c r="N237" s="38" t="s">
        <v>21</v>
      </c>
    </row>
    <row r="238" spans="1:20" s="12" customFormat="1" ht="117.5">
      <c r="A238" s="54" t="str">
        <f>IFERROR(VLOOKUP(D238,'Master sheet (Clientes)'!A$6:D$747,2,0)," ")</f>
        <v>PA</v>
      </c>
      <c r="B238" s="54" t="str">
        <f>IFERROR(VLOOKUP(D238,'Master sheet (Clientes)'!A$6:D$747,3,0)," ")</f>
        <v xml:space="preserve">KRE Group Management </v>
      </c>
      <c r="C238" s="54" t="str">
        <f>IFERROR(VLOOKUP(D238,'Master sheet (Clientes)'!A$6:D$747,4,0)," ")</f>
        <v>A-V</v>
      </c>
      <c r="D238" s="54" t="s">
        <v>389</v>
      </c>
      <c r="E238" s="54"/>
      <c r="F238" s="54"/>
      <c r="G238" s="54"/>
      <c r="H238" s="54" t="s">
        <v>1024</v>
      </c>
      <c r="I238" s="54" t="s">
        <v>1025</v>
      </c>
      <c r="J238" s="54" t="s">
        <v>48</v>
      </c>
      <c r="K238" s="54"/>
      <c r="L238" s="54"/>
      <c r="M238" s="54" t="s">
        <v>1026</v>
      </c>
      <c r="N238" s="54" t="s">
        <v>1269</v>
      </c>
      <c r="O238" s="1"/>
      <c r="P238" s="1"/>
      <c r="Q238" s="1"/>
      <c r="R238" s="11"/>
      <c r="S238" s="11"/>
      <c r="T238" s="11"/>
    </row>
    <row r="239" spans="1:20" s="12" customFormat="1" ht="117.5">
      <c r="A239" s="54" t="str">
        <f>IFERROR(VLOOKUP(D239,'Master sheet (Clientes)'!A$6:D$747,2,0)," ")</f>
        <v>PA</v>
      </c>
      <c r="B239" s="54" t="str">
        <f>IFERROR(VLOOKUP(D239,'Master sheet (Clientes)'!A$6:D$747,3,0)," ")</f>
        <v xml:space="preserve">KRE Group Management </v>
      </c>
      <c r="C239" s="54" t="str">
        <f>IFERROR(VLOOKUP(D239,'Master sheet (Clientes)'!A$6:D$747,4,0)," ")</f>
        <v>A-V</v>
      </c>
      <c r="D239" s="54" t="s">
        <v>388</v>
      </c>
      <c r="E239" s="54"/>
      <c r="F239" s="54"/>
      <c r="G239" s="54"/>
      <c r="H239" s="54" t="s">
        <v>1027</v>
      </c>
      <c r="I239" s="54" t="s">
        <v>1028</v>
      </c>
      <c r="J239" s="54" t="s">
        <v>48</v>
      </c>
      <c r="K239" s="54"/>
      <c r="L239" s="54"/>
      <c r="M239" s="54" t="s">
        <v>1029</v>
      </c>
      <c r="N239" s="54" t="s">
        <v>1269</v>
      </c>
      <c r="O239" s="1"/>
      <c r="P239" s="1"/>
      <c r="Q239" s="1"/>
      <c r="R239" s="11"/>
      <c r="S239" s="11"/>
      <c r="T239" s="11"/>
    </row>
    <row r="240" spans="1:20">
      <c r="A240" s="1"/>
      <c r="B240" s="1"/>
      <c r="C240" s="1"/>
      <c r="D240" s="1"/>
      <c r="E240" s="1"/>
      <c r="F240" s="1"/>
      <c r="G240" s="1"/>
      <c r="H240" s="1"/>
      <c r="I240" s="1"/>
      <c r="K240" s="1"/>
      <c r="L240" s="1"/>
      <c r="M240" s="1"/>
      <c r="N240" s="1"/>
    </row>
    <row r="241" spans="1:17">
      <c r="A241" s="1"/>
      <c r="B241" s="1"/>
      <c r="C241" s="1"/>
      <c r="D241" s="1"/>
      <c r="E241" s="1"/>
      <c r="F241" s="1"/>
      <c r="G241" s="1"/>
      <c r="H241" s="1"/>
      <c r="I241" s="1"/>
      <c r="K241" s="1"/>
      <c r="L241" s="1"/>
      <c r="M241" s="1"/>
      <c r="N241" s="1"/>
    </row>
    <row r="242" spans="1:17" s="5" customFormat="1">
      <c r="A242" s="135"/>
      <c r="B242" s="135"/>
      <c r="C242" s="135"/>
      <c r="D242" s="30" t="s">
        <v>37</v>
      </c>
      <c r="E242" s="30"/>
      <c r="F242" s="30"/>
      <c r="G242" s="30"/>
      <c r="H242" s="2"/>
      <c r="I242" s="3"/>
      <c r="J242" s="3"/>
      <c r="K242" s="2"/>
      <c r="L242" s="2"/>
      <c r="M242" s="3"/>
      <c r="N242" s="7"/>
      <c r="O242" s="35"/>
      <c r="P242" s="35"/>
      <c r="Q242" s="35"/>
    </row>
    <row r="243" spans="1:17" s="5" customFormat="1">
      <c r="A243" s="136"/>
      <c r="B243" s="136"/>
      <c r="C243" s="136"/>
      <c r="D243" s="140" t="s">
        <v>38</v>
      </c>
      <c r="E243" s="140"/>
      <c r="F243" s="140"/>
      <c r="G243" s="2"/>
      <c r="H243" s="2"/>
      <c r="I243" s="3"/>
      <c r="J243" s="3"/>
      <c r="K243" s="2"/>
      <c r="L243" s="2"/>
      <c r="M243" s="3"/>
      <c r="N243" s="7"/>
      <c r="O243" s="35"/>
      <c r="P243" s="35"/>
      <c r="Q243" s="35"/>
    </row>
    <row r="244" spans="1:17" s="5" customFormat="1">
      <c r="A244" s="138"/>
      <c r="B244" s="138"/>
      <c r="C244" s="138"/>
      <c r="D244" s="140" t="s">
        <v>39</v>
      </c>
      <c r="E244" s="140"/>
      <c r="F244" s="140"/>
      <c r="G244" s="2"/>
      <c r="H244" s="2"/>
      <c r="I244" s="3"/>
      <c r="J244" s="3"/>
      <c r="K244" s="2"/>
      <c r="L244" s="2"/>
      <c r="M244" s="3"/>
      <c r="N244" s="7"/>
      <c r="O244" s="35"/>
      <c r="P244" s="35"/>
      <c r="Q244" s="35"/>
    </row>
    <row r="245" spans="1:17" s="5" customFormat="1">
      <c r="A245" s="132"/>
      <c r="B245" s="132"/>
      <c r="C245" s="132"/>
      <c r="D245" s="140" t="s">
        <v>40</v>
      </c>
      <c r="E245" s="140"/>
      <c r="F245" s="140"/>
      <c r="G245" s="2"/>
      <c r="H245" s="2"/>
      <c r="I245" s="3"/>
      <c r="J245" s="3"/>
      <c r="K245" s="2"/>
      <c r="L245" s="2"/>
      <c r="M245" s="3"/>
      <c r="N245" s="7"/>
      <c r="O245" s="35"/>
      <c r="P245" s="35"/>
      <c r="Q245" s="35"/>
    </row>
    <row r="246" spans="1:17" s="5" customFormat="1">
      <c r="A246" s="134"/>
      <c r="B246" s="134"/>
      <c r="C246" s="134"/>
      <c r="D246" s="30" t="s">
        <v>41</v>
      </c>
      <c r="E246" s="30"/>
      <c r="F246" s="30"/>
      <c r="G246" s="30"/>
      <c r="H246" s="2"/>
      <c r="I246" s="3"/>
      <c r="J246" s="3"/>
      <c r="K246" s="2"/>
      <c r="L246" s="2"/>
      <c r="M246" s="3"/>
      <c r="N246" s="7"/>
      <c r="O246" s="35"/>
      <c r="P246" s="35"/>
      <c r="Q246" s="35"/>
    </row>
    <row r="247" spans="1:17">
      <c r="C247" s="30"/>
      <c r="D247" s="30"/>
      <c r="E247" s="30"/>
      <c r="F247" s="30"/>
      <c r="G247" s="30"/>
      <c r="H247" s="30"/>
    </row>
    <row r="248" spans="1:17">
      <c r="C248" s="30"/>
      <c r="E248" s="30"/>
      <c r="F248" s="30"/>
      <c r="G248" s="30"/>
      <c r="H248" s="30"/>
    </row>
  </sheetData>
  <mergeCells count="33">
    <mergeCell ref="A245:C245"/>
    <mergeCell ref="A246:C246"/>
    <mergeCell ref="D245:F245"/>
    <mergeCell ref="D220:L220"/>
    <mergeCell ref="D223:L223"/>
    <mergeCell ref="D224:I224"/>
    <mergeCell ref="D225:I225"/>
    <mergeCell ref="D244:F244"/>
    <mergeCell ref="A243:C243"/>
    <mergeCell ref="A244:C244"/>
    <mergeCell ref="A1:M1"/>
    <mergeCell ref="A3:L3"/>
    <mergeCell ref="A9:L9"/>
    <mergeCell ref="D243:F243"/>
    <mergeCell ref="A4:L4"/>
    <mergeCell ref="A7:L7"/>
    <mergeCell ref="D12:L12"/>
    <mergeCell ref="D10:L10"/>
    <mergeCell ref="D43:L43"/>
    <mergeCell ref="D146:L146"/>
    <mergeCell ref="D218:L218"/>
    <mergeCell ref="D216:L216"/>
    <mergeCell ref="D175:L175"/>
    <mergeCell ref="D94:L94"/>
    <mergeCell ref="A5:L5"/>
    <mergeCell ref="D13:L13"/>
    <mergeCell ref="D44:L44"/>
    <mergeCell ref="D147:L147"/>
    <mergeCell ref="D221:L221"/>
    <mergeCell ref="A6:L6"/>
    <mergeCell ref="A242:C242"/>
    <mergeCell ref="D174:L174"/>
    <mergeCell ref="D95:L95"/>
  </mergeCells>
  <phoneticPr fontId="12" type="noConversion"/>
  <pageMargins left="0.25" right="0.25" top="0.75" bottom="0.75" header="0.3" footer="0.3"/>
  <pageSetup scale="24" fitToHeight="0" orientation="portrait" horizontalDpi="300" verticalDpi="300" r:id="rId1"/>
  <rowBreaks count="6" manualBreakCount="6">
    <brk id="41" max="12" man="1"/>
    <brk id="71" max="12" man="1"/>
    <brk id="92" max="12" man="1"/>
    <brk id="144" max="12" man="1"/>
    <brk id="172" max="12" man="1"/>
    <brk id="214" max="12" man="1"/>
  </rowBreaks>
  <extLst>
    <ext xmlns:x14="http://schemas.microsoft.com/office/spreadsheetml/2009/9/main" uri="{CCE6A557-97BC-4b89-ADB6-D9C93CAAB3DF}">
      <x14:dataValidations xmlns:xm="http://schemas.microsoft.com/office/excel/2006/main" count="1">
        <x14:dataValidation type="list" allowBlank="1" showInputMessage="1" showErrorMessage="1" xr:uid="{F99989B5-21BA-5143-8E96-106E07C47A85}">
          <x14:formula1>
            <xm:f>'Master sheet (Clientes)'!$A$6:$A$654</xm:f>
          </x14:formula1>
          <xm:sqref>D91:D92 D137 D194 D49:D50 D122 D74:D83 D239 D34:D35 D109:D118 D38 D41 D140 D228 D230:D231 D86:D88 D155 D132:D134 D143:D144 D186 D208:D214 D98 D102 D104:D107 D27:D30 D67:D68 D161:D163 D197:D204 D190:D191 D17:D19 D22:D23 D53:D57 D71 D169:D172 D60:D64 D166 D125 D128:D129 D180:D183 D150:D152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A5071-1D33-664C-8D08-CA0AF0EA2831}">
  <sheetPr>
    <pageSetUpPr fitToPage="1"/>
  </sheetPr>
  <dimension ref="A1:T276"/>
  <sheetViews>
    <sheetView topLeftCell="A26" zoomScale="55" zoomScaleNormal="55" workbookViewId="0">
      <selection activeCell="D89" sqref="D89:L90"/>
    </sheetView>
  </sheetViews>
  <sheetFormatPr baseColWidth="10" defaultColWidth="10.83203125" defaultRowHeight="23.5"/>
  <cols>
    <col min="1" max="1" width="8" style="2" customWidth="1"/>
    <col min="2" max="2" width="27.33203125" style="2" customWidth="1"/>
    <col min="3" max="3" width="9.5" style="2" customWidth="1"/>
    <col min="4" max="4" width="43.83203125" style="2" customWidth="1"/>
    <col min="5" max="7" width="18.83203125" style="2" customWidth="1"/>
    <col min="8" max="8" width="153.33203125" style="2" customWidth="1"/>
    <col min="9" max="9" width="40.83203125" style="2" customWidth="1"/>
    <col min="10" max="10" width="24.5" style="3" bestFit="1" customWidth="1"/>
    <col min="11" max="12" width="23.1640625" style="3" customWidth="1"/>
    <col min="13" max="13" width="40.83203125" style="2" customWidth="1"/>
    <col min="14" max="14" width="22.83203125" style="3" customWidth="1"/>
    <col min="15" max="17" width="27.1640625" style="1" customWidth="1"/>
    <col min="18" max="16384" width="10.83203125" style="2"/>
  </cols>
  <sheetData>
    <row r="1" spans="1:20" s="1" customFormat="1" ht="36">
      <c r="A1" s="129" t="s">
        <v>42</v>
      </c>
      <c r="B1" s="129"/>
      <c r="C1" s="129"/>
      <c r="D1" s="129"/>
      <c r="E1" s="129"/>
      <c r="F1" s="129"/>
      <c r="G1" s="129"/>
      <c r="H1" s="129"/>
      <c r="I1" s="129"/>
      <c r="J1" s="129"/>
      <c r="K1" s="129"/>
      <c r="L1" s="129"/>
      <c r="M1" s="129"/>
      <c r="N1" s="32"/>
    </row>
    <row r="2" spans="1:20" s="1" customFormat="1"/>
    <row r="3" spans="1:20" s="1" customFormat="1" ht="26">
      <c r="A3" s="125" t="s">
        <v>1</v>
      </c>
      <c r="B3" s="125"/>
      <c r="C3" s="125"/>
      <c r="D3" s="125"/>
      <c r="E3" s="125"/>
      <c r="F3" s="125"/>
      <c r="G3" s="125"/>
      <c r="H3" s="125"/>
      <c r="I3" s="125"/>
      <c r="J3" s="125"/>
      <c r="K3" s="125"/>
      <c r="L3" s="125"/>
      <c r="M3" s="15"/>
      <c r="N3" s="15"/>
    </row>
    <row r="4" spans="1:20" s="1" customFormat="1" ht="26">
      <c r="A4" s="130" t="s">
        <v>2</v>
      </c>
      <c r="B4" s="130"/>
      <c r="C4" s="130"/>
      <c r="D4" s="125"/>
      <c r="E4" s="125"/>
      <c r="F4" s="125"/>
      <c r="G4" s="125"/>
      <c r="H4" s="125"/>
      <c r="I4" s="125"/>
      <c r="J4" s="125"/>
      <c r="K4" s="125"/>
      <c r="L4" s="125"/>
      <c r="M4" s="15"/>
      <c r="N4" s="15"/>
    </row>
    <row r="5" spans="1:20" s="1" customFormat="1" ht="26">
      <c r="A5" s="130" t="s">
        <v>3</v>
      </c>
      <c r="B5" s="130"/>
      <c r="C5" s="130"/>
      <c r="D5" s="125"/>
      <c r="E5" s="125"/>
      <c r="F5" s="125"/>
      <c r="G5" s="125"/>
      <c r="H5" s="125"/>
      <c r="I5" s="125"/>
      <c r="J5" s="125"/>
      <c r="K5" s="125"/>
      <c r="L5" s="125"/>
      <c r="M5" s="15"/>
      <c r="N5" s="15"/>
    </row>
    <row r="6" spans="1:20" s="1" customFormat="1" ht="26">
      <c r="A6" s="125" t="s">
        <v>4</v>
      </c>
      <c r="B6" s="125"/>
      <c r="C6" s="125"/>
      <c r="D6" s="125"/>
      <c r="E6" s="125"/>
      <c r="F6" s="125"/>
      <c r="G6" s="125"/>
      <c r="H6" s="125"/>
      <c r="I6" s="125"/>
      <c r="J6" s="125"/>
      <c r="K6" s="125"/>
      <c r="L6" s="125"/>
      <c r="M6" s="15"/>
      <c r="N6" s="15"/>
    </row>
    <row r="7" spans="1:20" s="1" customFormat="1" ht="26">
      <c r="A7" s="19"/>
      <c r="B7" s="19"/>
      <c r="C7" s="17"/>
      <c r="D7" s="17"/>
      <c r="E7" s="17"/>
      <c r="F7" s="17"/>
      <c r="G7" s="17"/>
      <c r="H7" s="17"/>
      <c r="I7" s="17"/>
      <c r="J7" s="17"/>
      <c r="K7" s="17"/>
      <c r="L7" s="17"/>
      <c r="M7" s="15"/>
      <c r="N7" s="15"/>
    </row>
    <row r="8" spans="1:20" s="1" customFormat="1" ht="26">
      <c r="A8" s="125"/>
      <c r="B8" s="125"/>
      <c r="C8" s="125"/>
      <c r="D8" s="125"/>
      <c r="E8" s="125"/>
      <c r="F8" s="125"/>
      <c r="G8" s="125"/>
      <c r="H8" s="125"/>
      <c r="I8" s="125"/>
      <c r="J8" s="125"/>
      <c r="K8" s="125"/>
      <c r="L8" s="125"/>
      <c r="M8" s="15"/>
      <c r="N8" s="15"/>
    </row>
    <row r="9" spans="1:20" ht="28.5">
      <c r="A9" s="34"/>
      <c r="B9" s="34"/>
      <c r="C9" s="34"/>
      <c r="D9" s="126" t="s">
        <v>5</v>
      </c>
      <c r="E9" s="126"/>
      <c r="F9" s="126"/>
      <c r="G9" s="126"/>
      <c r="H9" s="126"/>
      <c r="I9" s="126"/>
      <c r="J9" s="126"/>
      <c r="K9" s="126"/>
      <c r="L9" s="126"/>
      <c r="M9" s="18"/>
      <c r="N9" s="18"/>
    </row>
    <row r="10" spans="1:20" s="5" customFormat="1">
      <c r="A10" s="3"/>
      <c r="B10" s="3"/>
      <c r="C10" s="3"/>
      <c r="D10" s="3"/>
      <c r="E10" s="3"/>
      <c r="F10" s="3"/>
      <c r="G10" s="3"/>
      <c r="H10" s="3"/>
      <c r="I10" s="3"/>
      <c r="J10" s="3"/>
      <c r="K10" s="1"/>
      <c r="L10" s="1"/>
      <c r="M10" s="1"/>
      <c r="N10" s="1"/>
      <c r="O10" s="35"/>
      <c r="P10" s="35"/>
      <c r="Q10" s="35"/>
    </row>
    <row r="11" spans="1:20" s="5" customFormat="1" ht="26">
      <c r="A11" s="33"/>
      <c r="B11" s="33"/>
      <c r="C11" s="33"/>
      <c r="D11" s="127" t="s">
        <v>6</v>
      </c>
      <c r="E11" s="127"/>
      <c r="F11" s="127"/>
      <c r="G11" s="127"/>
      <c r="H11" s="127"/>
      <c r="I11" s="127"/>
      <c r="J11" s="127"/>
      <c r="K11" s="127"/>
      <c r="L11" s="127"/>
      <c r="M11" s="16"/>
      <c r="N11" s="16"/>
      <c r="O11" s="35"/>
      <c r="P11" s="35"/>
      <c r="Q11" s="35"/>
    </row>
    <row r="12" spans="1:20" s="5" customFormat="1" ht="26">
      <c r="A12" s="43"/>
      <c r="B12" s="43"/>
      <c r="C12" s="43"/>
      <c r="D12" s="128" t="s">
        <v>7</v>
      </c>
      <c r="E12" s="128"/>
      <c r="F12" s="128"/>
      <c r="G12" s="128"/>
      <c r="H12" s="128"/>
      <c r="I12" s="128"/>
      <c r="J12" s="128"/>
      <c r="K12" s="128"/>
      <c r="L12" s="128"/>
      <c r="M12" s="44"/>
      <c r="N12" s="44"/>
      <c r="O12" s="35"/>
      <c r="P12" s="35"/>
      <c r="Q12" s="35"/>
    </row>
    <row r="13" spans="1:20" s="1" customFormat="1">
      <c r="A13" s="3"/>
      <c r="B13" s="3"/>
      <c r="C13" s="3"/>
      <c r="D13" s="3"/>
      <c r="E13" s="3"/>
      <c r="F13" s="3"/>
      <c r="G13" s="3"/>
      <c r="H13" s="3"/>
      <c r="I13" s="3"/>
      <c r="J13" s="3"/>
    </row>
    <row r="14" spans="1:20" s="1" customFormat="1" ht="47">
      <c r="A14" s="4" t="s">
        <v>8</v>
      </c>
      <c r="B14" s="4" t="s">
        <v>9</v>
      </c>
      <c r="C14" s="4" t="s">
        <v>10</v>
      </c>
      <c r="D14" s="4" t="s">
        <v>11</v>
      </c>
      <c r="E14" s="4" t="s">
        <v>12</v>
      </c>
      <c r="F14" s="4" t="s">
        <v>13</v>
      </c>
      <c r="G14" s="38" t="s">
        <v>14</v>
      </c>
      <c r="H14" s="4" t="s">
        <v>15</v>
      </c>
      <c r="I14" s="38" t="s">
        <v>16</v>
      </c>
      <c r="J14" s="38" t="s">
        <v>17</v>
      </c>
      <c r="K14" s="38" t="s">
        <v>18</v>
      </c>
      <c r="L14" s="38" t="s">
        <v>19</v>
      </c>
      <c r="M14" s="38" t="s">
        <v>20</v>
      </c>
      <c r="N14" s="38" t="s">
        <v>21</v>
      </c>
    </row>
    <row r="15" spans="1:20" s="12" customFormat="1" ht="117.5">
      <c r="A15" s="54" t="str">
        <f>IFERROR(VLOOKUP(D15,'Master sheet (Clientes)'!A$6:D$747,2,0)," ")</f>
        <v>NJ</v>
      </c>
      <c r="B15" s="54" t="str">
        <f>IFERROR(VLOOKUP(D15,'Master sheet (Clientes)'!A$6:D$747,3,0)," ")</f>
        <v>Vivmark Residential</v>
      </c>
      <c r="C15" s="54" t="str">
        <f>IFERROR(VLOOKUP(D15,'Master sheet (Clientes)'!A$6:D$747,4,0)," ")</f>
        <v>N-O</v>
      </c>
      <c r="D15" s="54" t="s">
        <v>78</v>
      </c>
      <c r="E15" s="54">
        <v>104</v>
      </c>
      <c r="F15" s="54" t="s">
        <v>45</v>
      </c>
      <c r="G15" s="54" t="s">
        <v>1054</v>
      </c>
      <c r="H15" s="54" t="s">
        <v>1114</v>
      </c>
      <c r="I15" s="89" t="s">
        <v>1405</v>
      </c>
      <c r="J15" s="54" t="s">
        <v>48</v>
      </c>
      <c r="K15" s="54"/>
      <c r="L15" s="54"/>
      <c r="M15" s="54"/>
      <c r="N15" s="54" t="s">
        <v>1266</v>
      </c>
      <c r="O15" s="1"/>
      <c r="P15" s="1"/>
      <c r="Q15" s="1"/>
      <c r="R15" s="11"/>
      <c r="S15" s="11"/>
      <c r="T15" s="11"/>
    </row>
    <row r="16" spans="1:20" s="12" customFormat="1" ht="70.5">
      <c r="A16" s="54" t="str">
        <f>IFERROR(VLOOKUP(D16,'Master sheet (Clientes)'!A$6:D$747,2,0)," ")</f>
        <v>NJ</v>
      </c>
      <c r="B16" s="54" t="str">
        <f>IFERROR(VLOOKUP(D16,'Master sheet (Clientes)'!A$6:D$747,3,0)," ")</f>
        <v>Vivmark Residential</v>
      </c>
      <c r="C16" s="54" t="str">
        <f>IFERROR(VLOOKUP(D16,'Master sheet (Clientes)'!A$6:D$747,4,0)," ")</f>
        <v>N-O</v>
      </c>
      <c r="D16" s="54" t="s">
        <v>78</v>
      </c>
      <c r="E16" s="54">
        <v>155</v>
      </c>
      <c r="F16" s="54"/>
      <c r="G16" s="54" t="s">
        <v>917</v>
      </c>
      <c r="H16" s="54" t="s">
        <v>1385</v>
      </c>
      <c r="I16" s="89" t="s">
        <v>1410</v>
      </c>
      <c r="J16" s="54" t="s">
        <v>48</v>
      </c>
      <c r="K16" s="54"/>
      <c r="L16" s="54"/>
      <c r="M16" s="54"/>
      <c r="N16" s="54" t="s">
        <v>1266</v>
      </c>
      <c r="O16" s="1"/>
      <c r="P16" s="1"/>
      <c r="Q16" s="1"/>
      <c r="R16" s="11"/>
      <c r="S16" s="11"/>
      <c r="T16" s="11"/>
    </row>
    <row r="17" spans="1:20" s="12" customFormat="1" ht="47">
      <c r="A17" s="54" t="str">
        <f>IFERROR(VLOOKUP(D17,'Master sheet (Clientes)'!A$6:D$747,2,0)," ")</f>
        <v>NJ</v>
      </c>
      <c r="B17" s="54" t="str">
        <f>IFERROR(VLOOKUP(D17,'Master sheet (Clientes)'!A$6:D$747,3,0)," ")</f>
        <v>Vivmark Residential</v>
      </c>
      <c r="C17" s="54" t="str">
        <f>IFERROR(VLOOKUP(D17,'Master sheet (Clientes)'!A$6:D$747,4,0)," ")</f>
        <v>N-O</v>
      </c>
      <c r="D17" s="88" t="s">
        <v>78</v>
      </c>
      <c r="E17" s="89">
        <v>242</v>
      </c>
      <c r="F17" s="89"/>
      <c r="G17" s="89" t="s">
        <v>917</v>
      </c>
      <c r="H17" s="89" t="s">
        <v>993</v>
      </c>
      <c r="I17" s="89" t="s">
        <v>1409</v>
      </c>
      <c r="J17" s="89" t="s">
        <v>48</v>
      </c>
      <c r="K17" s="89"/>
      <c r="L17" s="54"/>
      <c r="M17" s="54"/>
      <c r="N17" s="54" t="s">
        <v>1268</v>
      </c>
      <c r="O17" s="1"/>
      <c r="P17" s="1"/>
      <c r="Q17" s="1"/>
      <c r="R17" s="11"/>
      <c r="S17" s="11"/>
      <c r="T17" s="11"/>
    </row>
    <row r="18" spans="1:20" s="102" customFormat="1" ht="70.5">
      <c r="A18" s="88" t="str">
        <f>IFERROR(VLOOKUP(D18,'Master sheet (Clientes)'!A$6:D$747,2,0)," ")</f>
        <v>NJ</v>
      </c>
      <c r="B18" s="88" t="str">
        <f>IFERROR(VLOOKUP(D18,'Master sheet (Clientes)'!A$6:D$747,3,0)," ")</f>
        <v>Skylight</v>
      </c>
      <c r="C18" s="88" t="str">
        <f>IFERROR(VLOOKUP(D18,'Master sheet (Clientes)'!A$6:D$747,4,0)," ")</f>
        <v>N-O</v>
      </c>
      <c r="D18" s="88" t="s">
        <v>730</v>
      </c>
      <c r="E18" s="89" t="s">
        <v>1305</v>
      </c>
      <c r="F18" s="89"/>
      <c r="G18" s="89" t="s">
        <v>837</v>
      </c>
      <c r="H18" s="89" t="s">
        <v>1306</v>
      </c>
      <c r="I18" s="89" t="s">
        <v>1407</v>
      </c>
      <c r="J18" s="89" t="s">
        <v>48</v>
      </c>
      <c r="K18" s="89"/>
      <c r="L18" s="88"/>
      <c r="M18" s="88"/>
      <c r="N18" s="88" t="s">
        <v>1266</v>
      </c>
      <c r="O18" s="90"/>
      <c r="P18" s="90"/>
      <c r="Q18" s="90"/>
      <c r="R18" s="101"/>
      <c r="S18" s="101"/>
      <c r="T18" s="101"/>
    </row>
    <row r="19" spans="1:20" s="1" customFormat="1">
      <c r="A19" s="3"/>
      <c r="B19" s="3"/>
      <c r="C19" s="3"/>
      <c r="D19" s="3"/>
      <c r="E19" s="3"/>
      <c r="F19" s="3"/>
      <c r="G19" s="3"/>
      <c r="H19" s="3"/>
      <c r="I19" s="3"/>
      <c r="J19" s="3"/>
    </row>
    <row r="20" spans="1:20" s="1" customFormat="1" ht="47">
      <c r="A20" s="4" t="s">
        <v>8</v>
      </c>
      <c r="B20" s="4" t="s">
        <v>9</v>
      </c>
      <c r="C20" s="4" t="s">
        <v>10</v>
      </c>
      <c r="D20" s="4" t="s">
        <v>11</v>
      </c>
      <c r="E20" s="4" t="s">
        <v>12</v>
      </c>
      <c r="F20" s="4" t="s">
        <v>13</v>
      </c>
      <c r="G20" s="38" t="s">
        <v>14</v>
      </c>
      <c r="H20" s="4" t="s">
        <v>15</v>
      </c>
      <c r="I20" s="38" t="s">
        <v>16</v>
      </c>
      <c r="J20" s="38" t="s">
        <v>17</v>
      </c>
      <c r="K20" s="38" t="s">
        <v>18</v>
      </c>
      <c r="L20" s="38" t="s">
        <v>19</v>
      </c>
      <c r="M20" s="38" t="s">
        <v>20</v>
      </c>
      <c r="N20" s="38" t="s">
        <v>21</v>
      </c>
    </row>
    <row r="21" spans="1:20" s="102" customFormat="1" ht="70.5">
      <c r="A21" s="88" t="str">
        <f>IFERROR(VLOOKUP(D21,'Master sheet (Clientes)'!A$6:D$747,2,0)," ")</f>
        <v>NJ</v>
      </c>
      <c r="B21" s="88" t="str">
        <f>IFERROR(VLOOKUP(D21,'Master sheet (Clientes)'!A$6:D$747,3,0)," ")</f>
        <v>Skylight</v>
      </c>
      <c r="C21" s="88" t="str">
        <f>IFERROR(VLOOKUP(D21,'Master sheet (Clientes)'!A$6:D$747,4,0)," ")</f>
        <v>N-O</v>
      </c>
      <c r="D21" s="88" t="s">
        <v>727</v>
      </c>
      <c r="E21" s="89">
        <v>609</v>
      </c>
      <c r="F21" s="89" t="s">
        <v>45</v>
      </c>
      <c r="G21" s="89" t="s">
        <v>853</v>
      </c>
      <c r="H21" s="89" t="s">
        <v>1437</v>
      </c>
      <c r="I21" s="54" t="s">
        <v>1343</v>
      </c>
      <c r="J21" s="89" t="s">
        <v>48</v>
      </c>
      <c r="K21" s="89"/>
      <c r="L21" s="88"/>
      <c r="M21" s="88"/>
      <c r="N21" s="88" t="s">
        <v>1265</v>
      </c>
      <c r="O21" s="90"/>
      <c r="P21" s="90"/>
      <c r="Q21" s="90"/>
      <c r="R21" s="101"/>
      <c r="S21" s="101"/>
      <c r="T21" s="101"/>
    </row>
    <row r="22" spans="1:20" s="1" customFormat="1">
      <c r="A22" s="3"/>
      <c r="B22" s="3"/>
      <c r="C22" s="3"/>
      <c r="D22" s="3"/>
      <c r="E22" s="3"/>
      <c r="F22" s="3"/>
      <c r="G22" s="3"/>
      <c r="H22" s="3"/>
      <c r="I22" s="3"/>
      <c r="J22" s="3"/>
    </row>
    <row r="23" spans="1:20" s="1" customFormat="1" ht="47">
      <c r="A23" s="4" t="s">
        <v>8</v>
      </c>
      <c r="B23" s="4" t="s">
        <v>9</v>
      </c>
      <c r="C23" s="4" t="s">
        <v>10</v>
      </c>
      <c r="D23" s="4" t="s">
        <v>11</v>
      </c>
      <c r="E23" s="4" t="s">
        <v>12</v>
      </c>
      <c r="F23" s="4" t="s">
        <v>13</v>
      </c>
      <c r="G23" s="38" t="s">
        <v>14</v>
      </c>
      <c r="H23" s="4" t="s">
        <v>15</v>
      </c>
      <c r="I23" s="38" t="s">
        <v>16</v>
      </c>
      <c r="J23" s="38" t="s">
        <v>17</v>
      </c>
      <c r="K23" s="38" t="s">
        <v>18</v>
      </c>
      <c r="L23" s="38" t="s">
        <v>19</v>
      </c>
      <c r="M23" s="38" t="s">
        <v>20</v>
      </c>
      <c r="N23" s="38" t="s">
        <v>21</v>
      </c>
    </row>
    <row r="24" spans="1:20" s="12" customFormat="1" ht="47">
      <c r="A24" s="88" t="str">
        <f>IFERROR(VLOOKUP(D24,'Master sheet (Clientes)'!A$6:D$747,2,0)," ")</f>
        <v>NJ</v>
      </c>
      <c r="B24" s="88" t="str">
        <f>IFERROR(VLOOKUP(D24,'Master sheet (Clientes)'!A$6:D$747,3,0)," ")</f>
        <v>No Charge / Courtesy Job</v>
      </c>
      <c r="C24" s="88" t="str">
        <f>IFERROR(VLOOKUP(D24,'Master sheet (Clientes)'!A$6:D$747,4,0)," ")</f>
        <v>N/A</v>
      </c>
      <c r="D24" s="54" t="s">
        <v>465</v>
      </c>
      <c r="E24" s="54"/>
      <c r="F24" s="54"/>
      <c r="G24" s="54"/>
      <c r="H24" s="54" t="s">
        <v>1356</v>
      </c>
      <c r="I24" s="54" t="s">
        <v>1569</v>
      </c>
      <c r="J24" s="54" t="s">
        <v>48</v>
      </c>
      <c r="K24" s="54"/>
      <c r="L24" s="54"/>
      <c r="M24" s="54" t="s">
        <v>1282</v>
      </c>
      <c r="N24" s="54" t="s">
        <v>1266</v>
      </c>
      <c r="O24" s="1"/>
      <c r="P24" s="1"/>
      <c r="Q24" s="1"/>
      <c r="R24" s="11"/>
      <c r="S24" s="11"/>
      <c r="T24" s="11"/>
    </row>
    <row r="25" spans="1:20">
      <c r="A25" s="1"/>
      <c r="B25" s="1"/>
      <c r="C25" s="1"/>
      <c r="D25" s="1"/>
      <c r="E25" s="1"/>
      <c r="F25" s="1"/>
      <c r="G25" s="1"/>
      <c r="H25" s="1"/>
      <c r="I25" s="1"/>
      <c r="J25" s="1"/>
      <c r="K25" s="1"/>
      <c r="L25" s="1"/>
      <c r="M25" s="1"/>
      <c r="N25" s="1"/>
    </row>
    <row r="26" spans="1:20" s="1" customFormat="1" ht="47">
      <c r="A26" s="4" t="s">
        <v>8</v>
      </c>
      <c r="B26" s="4" t="s">
        <v>9</v>
      </c>
      <c r="C26" s="4" t="s">
        <v>10</v>
      </c>
      <c r="D26" s="4" t="s">
        <v>11</v>
      </c>
      <c r="E26" s="4" t="s">
        <v>12</v>
      </c>
      <c r="F26" s="4" t="s">
        <v>13</v>
      </c>
      <c r="G26" s="38" t="s">
        <v>14</v>
      </c>
      <c r="H26" s="4" t="s">
        <v>15</v>
      </c>
      <c r="I26" s="38" t="s">
        <v>16</v>
      </c>
      <c r="J26" s="38" t="s">
        <v>17</v>
      </c>
      <c r="K26" s="38" t="s">
        <v>18</v>
      </c>
      <c r="L26" s="38" t="s">
        <v>19</v>
      </c>
      <c r="M26" s="38" t="s">
        <v>20</v>
      </c>
      <c r="N26" s="38" t="s">
        <v>21</v>
      </c>
    </row>
    <row r="27" spans="1:20" s="12" customFormat="1" ht="94">
      <c r="A27" s="54" t="str">
        <f>IFERROR(VLOOKUP(D27,'Master sheet (Clientes)'!A$6:D$747,2,0)," ")</f>
        <v>NJ</v>
      </c>
      <c r="B27" s="54" t="str">
        <f>IFERROR(VLOOKUP(D27,'Master sheet (Clientes)'!A$6:D$747,3,0)," ")</f>
        <v>Vivmark Residential</v>
      </c>
      <c r="C27" s="54" t="str">
        <f>IFERROR(VLOOKUP(D27,'Master sheet (Clientes)'!A$6:D$747,4,0)," ")</f>
        <v>A-V</v>
      </c>
      <c r="D27" s="54" t="s">
        <v>291</v>
      </c>
      <c r="E27" s="54">
        <v>1101</v>
      </c>
      <c r="F27" s="54" t="s">
        <v>946</v>
      </c>
      <c r="G27" s="54" t="s">
        <v>853</v>
      </c>
      <c r="H27" s="54" t="s">
        <v>857</v>
      </c>
      <c r="I27" s="54" t="s">
        <v>901</v>
      </c>
      <c r="J27" s="54" t="s">
        <v>48</v>
      </c>
      <c r="K27" s="54"/>
      <c r="L27" s="54"/>
      <c r="M27" s="54"/>
      <c r="N27" s="54" t="s">
        <v>1268</v>
      </c>
      <c r="O27" s="1"/>
      <c r="P27" s="1"/>
      <c r="Q27" s="1"/>
      <c r="R27" s="11"/>
      <c r="S27" s="11"/>
      <c r="T27" s="11"/>
    </row>
    <row r="28" spans="1:20" s="12" customFormat="1" ht="70.5">
      <c r="A28" s="54" t="str">
        <f>IFERROR(VLOOKUP(D28,'Master sheet (Clientes)'!A$6:D$747,2,0)," ")</f>
        <v>NJ</v>
      </c>
      <c r="B28" s="54" t="str">
        <f>IFERROR(VLOOKUP(D28,'Master sheet (Clientes)'!A$6:D$747,3,0)," ")</f>
        <v>Greystar</v>
      </c>
      <c r="C28" s="54" t="str">
        <f>IFERROR(VLOOKUP(D28,'Master sheet (Clientes)'!A$6:D$747,4,0)," ")</f>
        <v>A-V</v>
      </c>
      <c r="D28" s="54" t="s">
        <v>341</v>
      </c>
      <c r="E28" s="54">
        <v>407</v>
      </c>
      <c r="F28" s="54" t="s">
        <v>45</v>
      </c>
      <c r="G28" s="54" t="s">
        <v>853</v>
      </c>
      <c r="H28" s="54" t="s">
        <v>857</v>
      </c>
      <c r="I28" s="54" t="s">
        <v>901</v>
      </c>
      <c r="J28" s="54" t="s">
        <v>48</v>
      </c>
      <c r="K28" s="54"/>
      <c r="L28" s="54"/>
      <c r="M28" s="54"/>
      <c r="N28" s="54" t="s">
        <v>1268</v>
      </c>
      <c r="O28" s="1"/>
      <c r="P28" s="1"/>
      <c r="Q28" s="1"/>
      <c r="R28" s="11"/>
      <c r="S28" s="11"/>
      <c r="T28" s="11"/>
    </row>
    <row r="29" spans="1:20" s="12" customFormat="1" ht="47">
      <c r="A29" s="54" t="str">
        <f>IFERROR(VLOOKUP(D29,'Master sheet (Clientes)'!A$6:D$747,2,0)," ")</f>
        <v>NJ</v>
      </c>
      <c r="B29" s="54" t="str">
        <f>IFERROR(VLOOKUP(D29,'Master sheet (Clientes)'!A$6:D$747,3,0)," ")</f>
        <v>Vivmark Residential</v>
      </c>
      <c r="C29" s="54" t="str">
        <f>IFERROR(VLOOKUP(D29,'Master sheet (Clientes)'!A$6:D$747,4,0)," ")</f>
        <v>N-O</v>
      </c>
      <c r="D29" s="54" t="s">
        <v>78</v>
      </c>
      <c r="E29" s="54">
        <v>104</v>
      </c>
      <c r="F29" s="54" t="s">
        <v>45</v>
      </c>
      <c r="G29" s="54" t="s">
        <v>1054</v>
      </c>
      <c r="H29" s="83" t="s">
        <v>1299</v>
      </c>
      <c r="I29" s="54" t="s">
        <v>901</v>
      </c>
      <c r="J29" s="54" t="s">
        <v>48</v>
      </c>
      <c r="K29" s="54"/>
      <c r="L29" s="54"/>
      <c r="M29" s="54"/>
      <c r="N29" s="54" t="s">
        <v>1268</v>
      </c>
      <c r="O29" s="1"/>
      <c r="P29" s="1"/>
      <c r="Q29" s="1"/>
      <c r="R29" s="11"/>
      <c r="S29" s="11"/>
      <c r="T29" s="11"/>
    </row>
    <row r="30" spans="1:20">
      <c r="A30" s="1"/>
      <c r="B30" s="1"/>
      <c r="C30" s="1"/>
      <c r="D30" s="1"/>
      <c r="E30" s="1"/>
      <c r="F30" s="1"/>
      <c r="G30" s="1"/>
      <c r="H30" s="1"/>
      <c r="I30" s="1"/>
      <c r="J30" s="1"/>
      <c r="K30" s="1"/>
      <c r="L30" s="1"/>
      <c r="M30" s="1"/>
      <c r="N30" s="1"/>
    </row>
    <row r="31" spans="1:20" ht="26">
      <c r="A31" s="33"/>
      <c r="B31" s="33"/>
      <c r="C31" s="33"/>
      <c r="D31" s="127" t="s">
        <v>24</v>
      </c>
      <c r="E31" s="127"/>
      <c r="F31" s="127"/>
      <c r="G31" s="127"/>
      <c r="H31" s="127"/>
      <c r="I31" s="127"/>
      <c r="J31" s="127"/>
      <c r="K31" s="127"/>
      <c r="L31" s="127"/>
      <c r="M31" s="16"/>
      <c r="N31" s="16"/>
    </row>
    <row r="32" spans="1:20" s="5" customFormat="1" ht="26">
      <c r="A32" s="43"/>
      <c r="B32" s="43"/>
      <c r="C32" s="43"/>
      <c r="D32" s="128" t="s">
        <v>25</v>
      </c>
      <c r="E32" s="128"/>
      <c r="F32" s="128"/>
      <c r="G32" s="128"/>
      <c r="H32" s="128"/>
      <c r="I32" s="128"/>
      <c r="J32" s="128"/>
      <c r="K32" s="128"/>
      <c r="L32" s="128"/>
      <c r="M32" s="44"/>
      <c r="N32" s="44"/>
      <c r="O32" s="35"/>
      <c r="P32" s="35"/>
      <c r="Q32" s="35"/>
    </row>
    <row r="33" spans="1:14">
      <c r="A33" s="1"/>
      <c r="B33" s="1"/>
      <c r="C33" s="1"/>
      <c r="D33" s="1"/>
      <c r="E33" s="1"/>
      <c r="F33" s="1"/>
      <c r="G33" s="1"/>
      <c r="H33" s="1"/>
      <c r="I33" s="1"/>
      <c r="J33" s="1"/>
      <c r="K33" s="1"/>
      <c r="L33" s="1"/>
      <c r="M33" s="1"/>
      <c r="N33" s="1"/>
    </row>
    <row r="34" spans="1:14" s="1" customFormat="1" ht="47">
      <c r="A34" s="4" t="s">
        <v>8</v>
      </c>
      <c r="B34" s="4" t="s">
        <v>9</v>
      </c>
      <c r="C34" s="4" t="s">
        <v>10</v>
      </c>
      <c r="D34" s="4" t="s">
        <v>11</v>
      </c>
      <c r="E34" s="4" t="s">
        <v>12</v>
      </c>
      <c r="F34" s="4" t="s">
        <v>13</v>
      </c>
      <c r="G34" s="38" t="s">
        <v>14</v>
      </c>
      <c r="H34" s="4" t="s">
        <v>15</v>
      </c>
      <c r="I34" s="38" t="s">
        <v>16</v>
      </c>
      <c r="J34" s="38" t="s">
        <v>17</v>
      </c>
      <c r="K34" s="38" t="s">
        <v>18</v>
      </c>
      <c r="L34" s="38" t="s">
        <v>19</v>
      </c>
      <c r="M34" s="38" t="s">
        <v>20</v>
      </c>
      <c r="N34" s="38" t="s">
        <v>21</v>
      </c>
    </row>
    <row r="35" spans="1:14" ht="70.5">
      <c r="A35" s="54" t="str">
        <f>IFERROR(VLOOKUP(D35,'Master sheet (Clientes)'!A$6:D$747,2,0)," ")</f>
        <v>NJ</v>
      </c>
      <c r="B35" s="54" t="str">
        <f>IFERROR(VLOOKUP(D35,'Master sheet (Clientes)'!A$6:D$747,3,0)," ")</f>
        <v>Skylight</v>
      </c>
      <c r="C35" s="54" t="str">
        <f>IFERROR(VLOOKUP(D35,'Master sheet (Clientes)'!A$6:D$747,4,0)," ")</f>
        <v>N-O</v>
      </c>
      <c r="D35" s="54" t="s">
        <v>726</v>
      </c>
      <c r="E35" s="54"/>
      <c r="F35" s="54"/>
      <c r="G35" s="54"/>
      <c r="H35" s="54" t="s">
        <v>994</v>
      </c>
      <c r="I35" s="54" t="s">
        <v>995</v>
      </c>
      <c r="J35" s="54" t="s">
        <v>48</v>
      </c>
      <c r="K35" s="54"/>
      <c r="L35" s="54"/>
      <c r="M35" s="54" t="s">
        <v>996</v>
      </c>
      <c r="N35" s="54" t="s">
        <v>1266</v>
      </c>
    </row>
    <row r="36" spans="1:14" ht="47">
      <c r="A36" s="54" t="str">
        <f>IFERROR(VLOOKUP(D36,'Master sheet (Clientes)'!A$6:D$747,2,0)," ")</f>
        <v>NJ</v>
      </c>
      <c r="B36" s="54" t="str">
        <f>IFERROR(VLOOKUP(D36,'Master sheet (Clientes)'!A$6:D$747,3,0)," ")</f>
        <v>Skylight</v>
      </c>
      <c r="C36" s="54" t="str">
        <f>IFERROR(VLOOKUP(D36,'Master sheet (Clientes)'!A$6:D$747,4,0)," ")</f>
        <v>N-O</v>
      </c>
      <c r="D36" s="54" t="s">
        <v>726</v>
      </c>
      <c r="E36" s="54"/>
      <c r="F36" s="54"/>
      <c r="G36" s="54"/>
      <c r="H36" s="54" t="s">
        <v>997</v>
      </c>
      <c r="I36" s="54" t="s">
        <v>998</v>
      </c>
      <c r="J36" s="54" t="s">
        <v>48</v>
      </c>
      <c r="K36" s="54"/>
      <c r="L36" s="54"/>
      <c r="M36" s="54" t="s">
        <v>996</v>
      </c>
      <c r="N36" s="54" t="s">
        <v>1266</v>
      </c>
    </row>
    <row r="37" spans="1:14" ht="70.5">
      <c r="A37" s="54" t="str">
        <f>IFERROR(VLOOKUP(D37,'Master sheet (Clientes)'!A$6:D$747,2,0)," ")</f>
        <v>NJ</v>
      </c>
      <c r="B37" s="54" t="str">
        <f>IFERROR(VLOOKUP(D37,'Master sheet (Clientes)'!A$6:D$747,3,0)," ")</f>
        <v xml:space="preserve">Optimum </v>
      </c>
      <c r="C37" s="54" t="str">
        <f>IFERROR(VLOOKUP(D37,'Master sheet (Clientes)'!A$6:D$747,4,0)," ")</f>
        <v>A-V</v>
      </c>
      <c r="D37" s="54" t="s">
        <v>512</v>
      </c>
      <c r="E37" s="54" t="s">
        <v>1083</v>
      </c>
      <c r="F37" s="54"/>
      <c r="G37" s="54" t="s">
        <v>837</v>
      </c>
      <c r="H37" s="54" t="s">
        <v>1134</v>
      </c>
      <c r="I37" s="54" t="s">
        <v>1250</v>
      </c>
      <c r="J37" s="54" t="s">
        <v>48</v>
      </c>
      <c r="K37" s="54"/>
      <c r="L37" s="54"/>
      <c r="M37" s="54"/>
      <c r="N37" s="54" t="s">
        <v>1268</v>
      </c>
    </row>
    <row r="38" spans="1:14" s="1" customFormat="1">
      <c r="A38" s="3"/>
      <c r="B38" s="3"/>
      <c r="C38" s="3"/>
      <c r="D38" s="3"/>
      <c r="E38" s="3"/>
      <c r="F38" s="3"/>
      <c r="G38" s="3"/>
      <c r="H38" s="3"/>
      <c r="I38" s="3"/>
      <c r="J38" s="3"/>
    </row>
    <row r="39" spans="1:14" s="1" customFormat="1" ht="47">
      <c r="A39" s="4" t="s">
        <v>8</v>
      </c>
      <c r="B39" s="4" t="s">
        <v>9</v>
      </c>
      <c r="C39" s="4" t="s">
        <v>10</v>
      </c>
      <c r="D39" s="4" t="s">
        <v>11</v>
      </c>
      <c r="E39" s="4" t="s">
        <v>12</v>
      </c>
      <c r="F39" s="4" t="s">
        <v>13</v>
      </c>
      <c r="G39" s="38" t="s">
        <v>14</v>
      </c>
      <c r="H39" s="4" t="s">
        <v>15</v>
      </c>
      <c r="I39" s="38" t="s">
        <v>16</v>
      </c>
      <c r="J39" s="38" t="s">
        <v>17</v>
      </c>
      <c r="K39" s="38" t="s">
        <v>18</v>
      </c>
      <c r="L39" s="38" t="s">
        <v>19</v>
      </c>
      <c r="M39" s="38" t="s">
        <v>20</v>
      </c>
      <c r="N39" s="38" t="s">
        <v>21</v>
      </c>
    </row>
    <row r="40" spans="1:14" ht="70.5">
      <c r="A40" s="54" t="str">
        <f>IFERROR(VLOOKUP(D40,'Master sheet (Clientes)'!A$6:D$747,2,0)," ")</f>
        <v>NJ</v>
      </c>
      <c r="B40" s="99" t="str">
        <f>IFERROR(VLOOKUP(D40,'Master sheet (Clientes)'!A$6:D$747,3,0)," ")</f>
        <v>Rose Associates</v>
      </c>
      <c r="C40" s="54" t="str">
        <f>IFERROR(VLOOKUP(D40,'Master sheet (Clientes)'!A$6:D$747,4,0)," ")</f>
        <v>A-V</v>
      </c>
      <c r="D40" s="54" t="s">
        <v>1381</v>
      </c>
      <c r="E40" s="54"/>
      <c r="F40" s="54"/>
      <c r="G40" s="54"/>
      <c r="H40" s="54" t="s">
        <v>999</v>
      </c>
      <c r="I40" s="54" t="s">
        <v>1000</v>
      </c>
      <c r="J40" s="54" t="s">
        <v>48</v>
      </c>
      <c r="K40" s="54"/>
      <c r="L40" s="54"/>
      <c r="M40" s="54" t="s">
        <v>1001</v>
      </c>
      <c r="N40" s="54" t="s">
        <v>1269</v>
      </c>
    </row>
    <row r="41" spans="1:14" ht="70.5">
      <c r="A41" s="54" t="str">
        <f>IFERROR(VLOOKUP(D41,'Master sheet (Clientes)'!A$6:D$747,2,0)," ")</f>
        <v>NJ</v>
      </c>
      <c r="B41" s="54" t="str">
        <f>IFERROR(VLOOKUP(D41,'Master sheet (Clientes)'!A$6:D$747,3,0)," ")</f>
        <v>Greystar</v>
      </c>
      <c r="C41" s="54" t="str">
        <f>IFERROR(VLOOKUP(D41,'Master sheet (Clientes)'!A$6:D$747,4,0)," ")</f>
        <v>A-V</v>
      </c>
      <c r="D41" s="54" t="s">
        <v>321</v>
      </c>
      <c r="E41" s="54">
        <v>239</v>
      </c>
      <c r="F41" s="54" t="s">
        <v>854</v>
      </c>
      <c r="G41" s="54" t="s">
        <v>46</v>
      </c>
      <c r="H41" s="54" t="s">
        <v>926</v>
      </c>
      <c r="I41" s="54" t="s">
        <v>1343</v>
      </c>
      <c r="J41" s="54" t="s">
        <v>855</v>
      </c>
      <c r="K41" s="54"/>
      <c r="L41" s="54"/>
      <c r="M41" s="54"/>
      <c r="N41" s="54" t="s">
        <v>1265</v>
      </c>
    </row>
    <row r="42" spans="1:14" ht="70.5">
      <c r="A42" s="54" t="str">
        <f>IFERROR(VLOOKUP(D42,'Master sheet (Clientes)'!A$6:D$747,2,0)," ")</f>
        <v>NJ</v>
      </c>
      <c r="B42" s="54" t="str">
        <f>IFERROR(VLOOKUP(D42,'Master sheet (Clientes)'!A$6:D$747,3,0)," ")</f>
        <v>Greystar</v>
      </c>
      <c r="C42" s="54" t="str">
        <f>IFERROR(VLOOKUP(D42,'Master sheet (Clientes)'!A$6:D$747,4,0)," ")</f>
        <v>A-V</v>
      </c>
      <c r="D42" s="54" t="s">
        <v>321</v>
      </c>
      <c r="E42" s="54">
        <v>147</v>
      </c>
      <c r="F42" s="54" t="s">
        <v>45</v>
      </c>
      <c r="G42" s="54" t="s">
        <v>46</v>
      </c>
      <c r="H42" s="54" t="s">
        <v>926</v>
      </c>
      <c r="I42" s="54" t="s">
        <v>1343</v>
      </c>
      <c r="J42" s="54" t="s">
        <v>855</v>
      </c>
      <c r="K42" s="54"/>
      <c r="L42" s="54"/>
      <c r="M42" s="54"/>
      <c r="N42" s="54" t="s">
        <v>1265</v>
      </c>
    </row>
    <row r="43" spans="1:14" ht="70.5">
      <c r="A43" s="54" t="str">
        <f>IFERROR(VLOOKUP(D43,'Master sheet (Clientes)'!A$6:D$747,2,0)," ")</f>
        <v>NJ</v>
      </c>
      <c r="B43" s="54" t="str">
        <f>IFERROR(VLOOKUP(D43,'Master sheet (Clientes)'!A$6:D$747,3,0)," ")</f>
        <v>Vivmark Residential</v>
      </c>
      <c r="C43" s="54" t="str">
        <f>IFERROR(VLOOKUP(D43,'Master sheet (Clientes)'!A$6:D$747,4,0)," ")</f>
        <v>A-V</v>
      </c>
      <c r="D43" s="54" t="s">
        <v>288</v>
      </c>
      <c r="E43" s="54">
        <v>415</v>
      </c>
      <c r="F43" s="54" t="s">
        <v>45</v>
      </c>
      <c r="G43" s="54" t="s">
        <v>853</v>
      </c>
      <c r="H43" s="54" t="s">
        <v>1357</v>
      </c>
      <c r="I43" s="54" t="s">
        <v>1283</v>
      </c>
      <c r="J43" s="54" t="s">
        <v>1149</v>
      </c>
      <c r="K43" s="54"/>
      <c r="L43" s="54"/>
      <c r="M43" s="54"/>
      <c r="N43" s="54" t="s">
        <v>1265</v>
      </c>
    </row>
    <row r="44" spans="1:14" ht="70.5">
      <c r="A44" s="54" t="str">
        <f>IFERROR(VLOOKUP(D44,'Master sheet (Clientes)'!A$6:D$747,2,0)," ")</f>
        <v>NJ</v>
      </c>
      <c r="B44" s="54" t="str">
        <f>IFERROR(VLOOKUP(D44,'Master sheet (Clientes)'!A$6:D$747,3,0)," ")</f>
        <v>Vivmark Residential</v>
      </c>
      <c r="C44" s="54" t="str">
        <f>IFERROR(VLOOKUP(D44,'Master sheet (Clientes)'!A$6:D$747,4,0)," ")</f>
        <v>A-V</v>
      </c>
      <c r="D44" s="54" t="s">
        <v>286</v>
      </c>
      <c r="E44" s="54" t="s">
        <v>1151</v>
      </c>
      <c r="F44" s="54" t="s">
        <v>45</v>
      </c>
      <c r="G44" s="54" t="s">
        <v>853</v>
      </c>
      <c r="H44" s="54" t="s">
        <v>860</v>
      </c>
      <c r="I44" s="54" t="s">
        <v>1103</v>
      </c>
      <c r="J44" s="54" t="s">
        <v>1152</v>
      </c>
      <c r="K44" s="54"/>
      <c r="L44" s="54"/>
      <c r="M44" s="54"/>
      <c r="N44" s="54" t="s">
        <v>1265</v>
      </c>
    </row>
    <row r="45" spans="1:14" s="1" customFormat="1">
      <c r="A45" s="3"/>
      <c r="B45" s="3"/>
      <c r="C45" s="3"/>
      <c r="D45" s="3"/>
      <c r="E45" s="3"/>
      <c r="F45" s="3"/>
      <c r="G45" s="3"/>
      <c r="H45" s="3"/>
      <c r="I45" s="3"/>
      <c r="J45" s="3"/>
    </row>
    <row r="46" spans="1:14" s="1" customFormat="1" ht="47">
      <c r="A46" s="4" t="s">
        <v>8</v>
      </c>
      <c r="B46" s="4" t="s">
        <v>9</v>
      </c>
      <c r="C46" s="4" t="s">
        <v>10</v>
      </c>
      <c r="D46" s="4" t="s">
        <v>11</v>
      </c>
      <c r="E46" s="4" t="s">
        <v>12</v>
      </c>
      <c r="F46" s="4" t="s">
        <v>13</v>
      </c>
      <c r="G46" s="38" t="s">
        <v>14</v>
      </c>
      <c r="H46" s="4" t="s">
        <v>15</v>
      </c>
      <c r="I46" s="38" t="s">
        <v>16</v>
      </c>
      <c r="J46" s="38" t="s">
        <v>17</v>
      </c>
      <c r="K46" s="38" t="s">
        <v>18</v>
      </c>
      <c r="L46" s="38" t="s">
        <v>19</v>
      </c>
      <c r="M46" s="38" t="s">
        <v>20</v>
      </c>
      <c r="N46" s="38" t="s">
        <v>21</v>
      </c>
    </row>
    <row r="47" spans="1:14" ht="94">
      <c r="A47" s="54" t="str">
        <f>IFERROR(VLOOKUP(D47,'Master sheet (Clientes)'!A$6:D$747,2,0)," ")</f>
        <v>NJ</v>
      </c>
      <c r="B47" s="54" t="str">
        <f>IFERROR(VLOOKUP(D47,'Master sheet (Clientes)'!A$6:D$747,3,0)," ")</f>
        <v>Bozzuto</v>
      </c>
      <c r="C47" s="54" t="str">
        <f>IFERROR(VLOOKUP(D47,'Master sheet (Clientes)'!A$6:D$747,4,0)," ")</f>
        <v>N-O</v>
      </c>
      <c r="D47" s="54" t="s">
        <v>186</v>
      </c>
      <c r="E47" s="54" t="s">
        <v>936</v>
      </c>
      <c r="F47" s="54"/>
      <c r="G47" s="54" t="s">
        <v>837</v>
      </c>
      <c r="H47" s="54" t="s">
        <v>1384</v>
      </c>
      <c r="I47" s="54" t="s">
        <v>938</v>
      </c>
      <c r="J47" s="54" t="s">
        <v>48</v>
      </c>
      <c r="K47" s="54" t="s">
        <v>939</v>
      </c>
      <c r="L47" s="54"/>
      <c r="M47" s="54" t="s">
        <v>940</v>
      </c>
      <c r="N47" s="54" t="s">
        <v>1268</v>
      </c>
    </row>
    <row r="48" spans="1:14" s="1" customFormat="1">
      <c r="A48" s="3"/>
      <c r="B48" s="3"/>
      <c r="C48" s="3"/>
      <c r="D48" s="3"/>
      <c r="E48" s="3"/>
      <c r="F48" s="3"/>
      <c r="G48" s="3"/>
      <c r="H48" s="3"/>
      <c r="I48" s="3"/>
      <c r="J48" s="3"/>
    </row>
    <row r="49" spans="1:20" s="1" customFormat="1" ht="47">
      <c r="A49" s="4" t="s">
        <v>8</v>
      </c>
      <c r="B49" s="4" t="s">
        <v>9</v>
      </c>
      <c r="C49" s="4" t="s">
        <v>10</v>
      </c>
      <c r="D49" s="4" t="s">
        <v>11</v>
      </c>
      <c r="E49" s="4" t="s">
        <v>12</v>
      </c>
      <c r="F49" s="4" t="s">
        <v>13</v>
      </c>
      <c r="G49" s="38" t="s">
        <v>14</v>
      </c>
      <c r="H49" s="4" t="s">
        <v>15</v>
      </c>
      <c r="I49" s="38" t="s">
        <v>16</v>
      </c>
      <c r="J49" s="38" t="s">
        <v>17</v>
      </c>
      <c r="K49" s="38" t="s">
        <v>18</v>
      </c>
      <c r="L49" s="38" t="s">
        <v>19</v>
      </c>
      <c r="M49" s="38" t="s">
        <v>20</v>
      </c>
      <c r="N49" s="38" t="s">
        <v>21</v>
      </c>
    </row>
    <row r="50" spans="1:20" ht="47">
      <c r="A50" s="54" t="str">
        <f>IFERROR(VLOOKUP(D50,'Master sheet (Clientes)'!A$6:D$747,2,0)," ")</f>
        <v>NJ</v>
      </c>
      <c r="B50" s="54" t="str">
        <f>IFERROR(VLOOKUP(D50,'Master sheet (Clientes)'!A$6:D$747,3,0)," ")</f>
        <v>Bozzuto</v>
      </c>
      <c r="C50" s="54" t="str">
        <f>IFERROR(VLOOKUP(D50,'Master sheet (Clientes)'!A$6:D$747,4,0)," ")</f>
        <v>N-O</v>
      </c>
      <c r="D50" s="54" t="s">
        <v>44</v>
      </c>
      <c r="E50" s="54">
        <v>102</v>
      </c>
      <c r="F50" s="54" t="s">
        <v>45</v>
      </c>
      <c r="G50" s="54" t="s">
        <v>853</v>
      </c>
      <c r="H50" s="54" t="s">
        <v>1153</v>
      </c>
      <c r="I50" s="54" t="s">
        <v>1111</v>
      </c>
      <c r="J50" s="54" t="s">
        <v>48</v>
      </c>
      <c r="K50" s="54"/>
      <c r="L50" s="54"/>
      <c r="M50" s="54" t="s">
        <v>1159</v>
      </c>
      <c r="N50" s="54" t="s">
        <v>1265</v>
      </c>
    </row>
    <row r="51" spans="1:20" ht="70.5">
      <c r="A51" s="54" t="str">
        <f>IFERROR(VLOOKUP(D51,'Master sheet (Clientes)'!A$6:D$747,2,0)," ")</f>
        <v>NJ</v>
      </c>
      <c r="B51" s="54" t="str">
        <f>IFERROR(VLOOKUP(D51,'Master sheet (Clientes)'!A$6:D$747,3,0)," ")</f>
        <v>Greystar</v>
      </c>
      <c r="C51" s="54" t="str">
        <f>IFERROR(VLOOKUP(D51,'Master sheet (Clientes)'!A$6:D$747,4,0)," ")</f>
        <v>A-V</v>
      </c>
      <c r="D51" s="54" t="s">
        <v>321</v>
      </c>
      <c r="E51" s="54">
        <v>109</v>
      </c>
      <c r="F51" s="54" t="s">
        <v>45</v>
      </c>
      <c r="G51" s="54" t="s">
        <v>46</v>
      </c>
      <c r="H51" s="54" t="s">
        <v>926</v>
      </c>
      <c r="I51" s="54" t="s">
        <v>1110</v>
      </c>
      <c r="J51" s="54" t="s">
        <v>855</v>
      </c>
      <c r="K51" s="54"/>
      <c r="L51" s="54"/>
      <c r="M51" s="54"/>
      <c r="N51" s="54" t="s">
        <v>1265</v>
      </c>
    </row>
    <row r="52" spans="1:20" ht="70.5">
      <c r="A52" s="54" t="str">
        <f>IFERROR(VLOOKUP(D52,'Master sheet (Clientes)'!A$6:D$747,2,0)," ")</f>
        <v>NJ</v>
      </c>
      <c r="B52" s="54" t="str">
        <f>IFERROR(VLOOKUP(D52,'Master sheet (Clientes)'!A$6:D$747,3,0)," ")</f>
        <v>Greystar</v>
      </c>
      <c r="C52" s="54" t="str">
        <f>IFERROR(VLOOKUP(D52,'Master sheet (Clientes)'!A$6:D$747,4,0)," ")</f>
        <v>A-V</v>
      </c>
      <c r="D52" s="54" t="s">
        <v>307</v>
      </c>
      <c r="E52" s="54">
        <v>604</v>
      </c>
      <c r="F52" s="54"/>
      <c r="G52" s="54" t="s">
        <v>837</v>
      </c>
      <c r="H52" s="54" t="s">
        <v>921</v>
      </c>
      <c r="I52" s="54" t="s">
        <v>1281</v>
      </c>
      <c r="J52" s="54" t="s">
        <v>855</v>
      </c>
      <c r="K52" s="54"/>
      <c r="L52" s="54"/>
      <c r="M52" s="54" t="s">
        <v>920</v>
      </c>
      <c r="N52" s="54" t="s">
        <v>1268</v>
      </c>
    </row>
    <row r="53" spans="1:20" ht="70.5">
      <c r="A53" s="54" t="str">
        <f>IFERROR(VLOOKUP(D53,'Master sheet (Clientes)'!A$6:D$747,2,0)," ")</f>
        <v>NJ</v>
      </c>
      <c r="B53" s="54" t="str">
        <f>IFERROR(VLOOKUP(D53,'Master sheet (Clientes)'!A$6:D$747,3,0)," ")</f>
        <v>Vivmark Residential</v>
      </c>
      <c r="C53" s="54" t="str">
        <f>IFERROR(VLOOKUP(D53,'Master sheet (Clientes)'!A$6:D$747,4,0)," ")</f>
        <v>A-V</v>
      </c>
      <c r="D53" s="54" t="s">
        <v>286</v>
      </c>
      <c r="E53" s="54">
        <v>4104</v>
      </c>
      <c r="F53" s="54" t="s">
        <v>946</v>
      </c>
      <c r="G53" s="54" t="s">
        <v>853</v>
      </c>
      <c r="H53" s="54" t="s">
        <v>1358</v>
      </c>
      <c r="I53" s="54" t="s">
        <v>1284</v>
      </c>
      <c r="J53" s="54" t="s">
        <v>1158</v>
      </c>
      <c r="K53" s="54"/>
      <c r="L53" s="54"/>
      <c r="M53" s="54" t="s">
        <v>1157</v>
      </c>
      <c r="N53" s="54" t="s">
        <v>1265</v>
      </c>
    </row>
    <row r="54" spans="1:20" ht="70.5">
      <c r="A54" s="54" t="str">
        <f>IFERROR(VLOOKUP(D54,'Master sheet (Clientes)'!A$6:D$747,2,0)," ")</f>
        <v>NJ</v>
      </c>
      <c r="B54" s="54" t="str">
        <f>IFERROR(VLOOKUP(D54,'Master sheet (Clientes)'!A$6:D$747,3,0)," ")</f>
        <v>Vivmark Residential</v>
      </c>
      <c r="C54" s="54" t="str">
        <f>IFERROR(VLOOKUP(D54,'Master sheet (Clientes)'!A$6:D$747,4,0)," ")</f>
        <v>A-V</v>
      </c>
      <c r="D54" s="54" t="s">
        <v>289</v>
      </c>
      <c r="E54" s="54">
        <v>802</v>
      </c>
      <c r="F54" s="54"/>
      <c r="G54" s="54" t="s">
        <v>837</v>
      </c>
      <c r="H54" s="54" t="s">
        <v>1359</v>
      </c>
      <c r="I54" s="54" t="s">
        <v>1296</v>
      </c>
      <c r="J54" s="54" t="s">
        <v>48</v>
      </c>
      <c r="K54" s="54"/>
      <c r="L54" s="54"/>
      <c r="M54" s="54"/>
      <c r="N54" s="54" t="s">
        <v>1268</v>
      </c>
    </row>
    <row r="55" spans="1:20" s="1" customFormat="1">
      <c r="A55" s="3"/>
      <c r="B55" s="3"/>
      <c r="C55" s="3"/>
      <c r="D55" s="3"/>
      <c r="E55" s="3"/>
      <c r="F55" s="3"/>
      <c r="G55" s="3"/>
      <c r="H55" s="3"/>
      <c r="I55" s="3"/>
      <c r="J55" s="3"/>
    </row>
    <row r="56" spans="1:20" s="1" customFormat="1" ht="47">
      <c r="A56" s="4" t="s">
        <v>8</v>
      </c>
      <c r="B56" s="4" t="s">
        <v>9</v>
      </c>
      <c r="C56" s="4" t="s">
        <v>10</v>
      </c>
      <c r="D56" s="4" t="s">
        <v>11</v>
      </c>
      <c r="E56" s="4" t="s">
        <v>12</v>
      </c>
      <c r="F56" s="4" t="s">
        <v>13</v>
      </c>
      <c r="G56" s="38" t="s">
        <v>14</v>
      </c>
      <c r="H56" s="4" t="s">
        <v>15</v>
      </c>
      <c r="I56" s="38" t="s">
        <v>16</v>
      </c>
      <c r="J56" s="38" t="s">
        <v>17</v>
      </c>
      <c r="K56" s="38" t="s">
        <v>18</v>
      </c>
      <c r="L56" s="38" t="s">
        <v>19</v>
      </c>
      <c r="M56" s="38" t="s">
        <v>20</v>
      </c>
      <c r="N56" s="38" t="s">
        <v>21</v>
      </c>
    </row>
    <row r="57" spans="1:20" s="12" customFormat="1" ht="117.5">
      <c r="A57" s="54" t="str">
        <f>IFERROR(VLOOKUP(D57,'Master sheet (Clientes)'!A$6:D$747,2,0)," ")</f>
        <v>NJ</v>
      </c>
      <c r="B57" s="54" t="str">
        <f>IFERROR(VLOOKUP(D57,'Master sheet (Clientes)'!A$6:D$747,3,0)," ")</f>
        <v>Rose Associates</v>
      </c>
      <c r="C57" s="54" t="str">
        <f>IFERROR(VLOOKUP(D57,'Master sheet (Clientes)'!A$6:D$747,4,0)," ")</f>
        <v>A-V</v>
      </c>
      <c r="D57" s="54" t="s">
        <v>678</v>
      </c>
      <c r="E57" s="54">
        <v>201</v>
      </c>
      <c r="F57" s="54"/>
      <c r="G57" s="54" t="s">
        <v>853</v>
      </c>
      <c r="H57" s="54" t="s">
        <v>1360</v>
      </c>
      <c r="I57" s="54" t="s">
        <v>1411</v>
      </c>
      <c r="J57" s="54" t="s">
        <v>48</v>
      </c>
      <c r="K57" s="54" t="s">
        <v>933</v>
      </c>
      <c r="L57" s="54"/>
      <c r="M57" s="54" t="s">
        <v>1102</v>
      </c>
      <c r="N57" s="54" t="s">
        <v>1268</v>
      </c>
      <c r="O57" s="1"/>
      <c r="P57" s="1"/>
      <c r="Q57" s="1"/>
      <c r="R57" s="11"/>
      <c r="S57" s="11"/>
      <c r="T57" s="11"/>
    </row>
    <row r="58" spans="1:20">
      <c r="A58" s="1"/>
      <c r="B58" s="1"/>
      <c r="C58" s="1"/>
      <c r="D58" s="1"/>
      <c r="E58" s="1"/>
      <c r="F58" s="1"/>
      <c r="G58" s="1"/>
      <c r="H58" s="1"/>
      <c r="I58" s="1"/>
      <c r="J58" s="1"/>
      <c r="K58" s="1"/>
      <c r="L58" s="1"/>
      <c r="M58" s="1"/>
      <c r="N58" s="1"/>
    </row>
    <row r="59" spans="1:20" s="1" customFormat="1" ht="47">
      <c r="A59" s="4" t="s">
        <v>8</v>
      </c>
      <c r="B59" s="4" t="s">
        <v>9</v>
      </c>
      <c r="C59" s="4" t="s">
        <v>10</v>
      </c>
      <c r="D59" s="4" t="s">
        <v>11</v>
      </c>
      <c r="E59" s="4" t="s">
        <v>12</v>
      </c>
      <c r="F59" s="4" t="s">
        <v>13</v>
      </c>
      <c r="G59" s="38" t="s">
        <v>14</v>
      </c>
      <c r="H59" s="4" t="s">
        <v>15</v>
      </c>
      <c r="I59" s="38" t="s">
        <v>16</v>
      </c>
      <c r="J59" s="38" t="s">
        <v>17</v>
      </c>
      <c r="K59" s="38" t="s">
        <v>18</v>
      </c>
      <c r="L59" s="38" t="s">
        <v>19</v>
      </c>
      <c r="M59" s="38" t="s">
        <v>20</v>
      </c>
      <c r="N59" s="38" t="s">
        <v>21</v>
      </c>
    </row>
    <row r="60" spans="1:20" ht="70.5">
      <c r="A60" s="54" t="str">
        <f>IFERROR(VLOOKUP(D60,'Master sheet (Clientes)'!A$6:D$747,2,0)," ")</f>
        <v>NJ</v>
      </c>
      <c r="B60" s="54" t="str">
        <f>IFERROR(VLOOKUP(D60,'Master sheet (Clientes)'!A$6:D$747,3,0)," ")</f>
        <v>Bozzuto</v>
      </c>
      <c r="C60" s="54" t="str">
        <f>IFERROR(VLOOKUP(D60,'Master sheet (Clientes)'!A$6:D$747,4,0)," ")</f>
        <v>N-O</v>
      </c>
      <c r="D60" s="54" t="s">
        <v>187</v>
      </c>
      <c r="E60" s="54" t="s">
        <v>1324</v>
      </c>
      <c r="F60" s="54"/>
      <c r="G60" s="54" t="s">
        <v>853</v>
      </c>
      <c r="H60" s="54" t="s">
        <v>1325</v>
      </c>
      <c r="I60" s="54" t="s">
        <v>960</v>
      </c>
      <c r="J60" s="54" t="s">
        <v>48</v>
      </c>
      <c r="K60" s="54"/>
      <c r="L60" s="54"/>
      <c r="M60" s="54"/>
      <c r="N60" s="54" t="s">
        <v>1268</v>
      </c>
    </row>
    <row r="61" spans="1:20" ht="70.5">
      <c r="A61" s="54" t="str">
        <f>IFERROR(VLOOKUP(D61,'Master sheet (Clientes)'!A$6:D$747,2,0)," ")</f>
        <v>NJ</v>
      </c>
      <c r="B61" s="54" t="str">
        <f>IFERROR(VLOOKUP(D61,'Master sheet (Clientes)'!A$6:D$747,3,0)," ")</f>
        <v>Bozzuto</v>
      </c>
      <c r="C61" s="54" t="str">
        <f>IFERROR(VLOOKUP(D61,'Master sheet (Clientes)'!A$6:D$747,4,0)," ")</f>
        <v>N-O</v>
      </c>
      <c r="D61" s="54" t="s">
        <v>187</v>
      </c>
      <c r="E61" s="54">
        <v>2307</v>
      </c>
      <c r="F61" s="54"/>
      <c r="G61" s="54" t="s">
        <v>853</v>
      </c>
      <c r="H61" s="54" t="s">
        <v>1325</v>
      </c>
      <c r="I61" s="54" t="s">
        <v>960</v>
      </c>
      <c r="J61" s="54" t="s">
        <v>48</v>
      </c>
      <c r="K61" s="54"/>
      <c r="L61" s="54"/>
      <c r="M61" s="54"/>
      <c r="N61" s="54" t="s">
        <v>1268</v>
      </c>
    </row>
    <row r="62" spans="1:20" ht="70.5">
      <c r="A62" s="54" t="str">
        <f>IFERROR(VLOOKUP(D62,'Master sheet (Clientes)'!A$6:D$747,2,0)," ")</f>
        <v>NJ</v>
      </c>
      <c r="B62" s="54" t="str">
        <f>IFERROR(VLOOKUP(D62,'Master sheet (Clientes)'!A$6:D$747,3,0)," ")</f>
        <v>Greystar</v>
      </c>
      <c r="C62" s="54" t="str">
        <f>IFERROR(VLOOKUP(D62,'Master sheet (Clientes)'!A$6:D$747,4,0)," ")</f>
        <v>A-V</v>
      </c>
      <c r="D62" s="54" t="s">
        <v>309</v>
      </c>
      <c r="E62" s="54">
        <v>421</v>
      </c>
      <c r="F62" s="54" t="s">
        <v>946</v>
      </c>
      <c r="G62" s="54" t="s">
        <v>853</v>
      </c>
      <c r="H62" s="54" t="s">
        <v>1438</v>
      </c>
      <c r="I62" s="54" t="s">
        <v>960</v>
      </c>
      <c r="J62" s="54" t="s">
        <v>48</v>
      </c>
      <c r="K62" s="54"/>
      <c r="L62" s="54"/>
      <c r="M62" s="54" t="s">
        <v>1439</v>
      </c>
      <c r="N62" s="54" t="s">
        <v>1268</v>
      </c>
    </row>
    <row r="63" spans="1:20">
      <c r="A63" s="1"/>
      <c r="B63" s="1"/>
      <c r="C63" s="1"/>
      <c r="D63" s="1"/>
      <c r="E63" s="1"/>
      <c r="F63" s="1"/>
      <c r="G63" s="1"/>
      <c r="H63" s="1"/>
      <c r="I63" s="1"/>
      <c r="J63" s="1"/>
      <c r="K63" s="1"/>
      <c r="L63" s="1"/>
      <c r="M63" s="1"/>
      <c r="N63" s="1"/>
    </row>
    <row r="64" spans="1:20" s="1" customFormat="1" ht="47">
      <c r="A64" s="4" t="s">
        <v>8</v>
      </c>
      <c r="B64" s="4" t="s">
        <v>9</v>
      </c>
      <c r="C64" s="4" t="s">
        <v>10</v>
      </c>
      <c r="D64" s="4" t="s">
        <v>11</v>
      </c>
      <c r="E64" s="4" t="s">
        <v>12</v>
      </c>
      <c r="F64" s="4" t="s">
        <v>13</v>
      </c>
      <c r="G64" s="38" t="s">
        <v>14</v>
      </c>
      <c r="H64" s="4" t="s">
        <v>15</v>
      </c>
      <c r="I64" s="38" t="s">
        <v>16</v>
      </c>
      <c r="J64" s="38" t="s">
        <v>17</v>
      </c>
      <c r="K64" s="38" t="s">
        <v>18</v>
      </c>
      <c r="L64" s="38" t="s">
        <v>19</v>
      </c>
      <c r="M64" s="38" t="s">
        <v>20</v>
      </c>
      <c r="N64" s="38" t="s">
        <v>21</v>
      </c>
    </row>
    <row r="65" spans="1:14" ht="47">
      <c r="A65" s="54" t="str">
        <f>IFERROR(VLOOKUP(D65,'Master sheet (Clientes)'!A$6:D$747,2,0)," ")</f>
        <v>NJ</v>
      </c>
      <c r="B65" s="54" t="str">
        <f>IFERROR(VLOOKUP(D65,'Master sheet (Clientes)'!A$6:D$747,3,0)," ")</f>
        <v>Bozzuto</v>
      </c>
      <c r="C65" s="54" t="str">
        <f>IFERROR(VLOOKUP(D65,'Master sheet (Clientes)'!A$6:D$747,4,0)," ")</f>
        <v>N-O</v>
      </c>
      <c r="D65" s="54" t="s">
        <v>175</v>
      </c>
      <c r="E65" s="54">
        <v>1012</v>
      </c>
      <c r="F65" s="54" t="s">
        <v>854</v>
      </c>
      <c r="G65" s="54" t="s">
        <v>46</v>
      </c>
      <c r="H65" s="54" t="s">
        <v>1138</v>
      </c>
      <c r="I65" s="54" t="s">
        <v>896</v>
      </c>
      <c r="J65" s="54" t="s">
        <v>48</v>
      </c>
      <c r="K65" s="54"/>
      <c r="L65" s="54"/>
      <c r="M65" s="54"/>
      <c r="N65" s="54" t="s">
        <v>1268</v>
      </c>
    </row>
    <row r="66" spans="1:14" ht="47">
      <c r="A66" s="54" t="str">
        <f>IFERROR(VLOOKUP(D66,'Master sheet (Clientes)'!A$6:D$747,2,0)," ")</f>
        <v>NJ</v>
      </c>
      <c r="B66" s="54" t="str">
        <f>IFERROR(VLOOKUP(D66,'Master sheet (Clientes)'!A$6:D$747,3,0)," ")</f>
        <v>Bozzuto</v>
      </c>
      <c r="C66" s="54" t="str">
        <f>IFERROR(VLOOKUP(D66,'Master sheet (Clientes)'!A$6:D$747,4,0)," ")</f>
        <v>N-O</v>
      </c>
      <c r="D66" s="54" t="s">
        <v>175</v>
      </c>
      <c r="E66" s="54">
        <v>213</v>
      </c>
      <c r="F66" s="99" t="s">
        <v>946</v>
      </c>
      <c r="G66" s="54" t="s">
        <v>853</v>
      </c>
      <c r="H66" s="54" t="s">
        <v>1242</v>
      </c>
      <c r="I66" s="54" t="s">
        <v>896</v>
      </c>
      <c r="J66" s="54" t="s">
        <v>48</v>
      </c>
      <c r="K66" s="54"/>
      <c r="L66" s="54"/>
      <c r="M66" s="54"/>
      <c r="N66" s="54" t="s">
        <v>1268</v>
      </c>
    </row>
    <row r="67" spans="1:14" ht="47">
      <c r="A67" s="54" t="str">
        <f>IFERROR(VLOOKUP(D67,'Master sheet (Clientes)'!A$6:D$747,2,0)," ")</f>
        <v>NJ</v>
      </c>
      <c r="B67" s="54" t="str">
        <f>IFERROR(VLOOKUP(D67,'Master sheet (Clientes)'!A$6:D$747,3,0)," ")</f>
        <v>Bozzuto</v>
      </c>
      <c r="C67" s="54" t="str">
        <f>IFERROR(VLOOKUP(D67,'Master sheet (Clientes)'!A$6:D$747,4,0)," ")</f>
        <v>N-O</v>
      </c>
      <c r="D67" s="54" t="s">
        <v>175</v>
      </c>
      <c r="E67" s="54" t="s">
        <v>1241</v>
      </c>
      <c r="F67" s="99" t="s">
        <v>45</v>
      </c>
      <c r="G67" s="54" t="s">
        <v>853</v>
      </c>
      <c r="H67" s="54" t="s">
        <v>1242</v>
      </c>
      <c r="I67" s="54" t="s">
        <v>896</v>
      </c>
      <c r="J67" s="54" t="s">
        <v>48</v>
      </c>
      <c r="K67" s="54"/>
      <c r="L67" s="54"/>
      <c r="M67" s="54"/>
      <c r="N67" s="54" t="s">
        <v>1268</v>
      </c>
    </row>
    <row r="68" spans="1:14">
      <c r="A68" s="1"/>
      <c r="B68" s="1"/>
      <c r="C68" s="1"/>
      <c r="D68" s="1"/>
      <c r="E68" s="1"/>
      <c r="F68" s="1"/>
      <c r="G68" s="1"/>
      <c r="H68" s="1"/>
      <c r="I68" s="1"/>
      <c r="J68" s="1"/>
      <c r="K68" s="1"/>
      <c r="L68" s="1"/>
      <c r="M68" s="1"/>
      <c r="N68" s="1"/>
    </row>
    <row r="69" spans="1:14" s="1" customFormat="1" ht="47">
      <c r="A69" s="4" t="s">
        <v>8</v>
      </c>
      <c r="B69" s="4" t="s">
        <v>9</v>
      </c>
      <c r="C69" s="4" t="s">
        <v>10</v>
      </c>
      <c r="D69" s="4" t="s">
        <v>11</v>
      </c>
      <c r="E69" s="4" t="s">
        <v>12</v>
      </c>
      <c r="F69" s="4" t="s">
        <v>13</v>
      </c>
      <c r="G69" s="38" t="s">
        <v>14</v>
      </c>
      <c r="H69" s="4" t="s">
        <v>15</v>
      </c>
      <c r="I69" s="38" t="s">
        <v>16</v>
      </c>
      <c r="J69" s="38" t="s">
        <v>17</v>
      </c>
      <c r="K69" s="38" t="s">
        <v>18</v>
      </c>
      <c r="L69" s="38" t="s">
        <v>19</v>
      </c>
      <c r="M69" s="38" t="s">
        <v>20</v>
      </c>
      <c r="N69" s="38" t="s">
        <v>21</v>
      </c>
    </row>
    <row r="70" spans="1:14" ht="47">
      <c r="A70" s="54" t="str">
        <f>IFERROR(VLOOKUP(D70,'Master sheet (Clientes)'!A$6:D$747,2,0)," ")</f>
        <v>NJ</v>
      </c>
      <c r="B70" s="54" t="str">
        <f>IFERROR(VLOOKUP(D70,'Master sheet (Clientes)'!A$6:D$747,3,0)," ")</f>
        <v>Bozzuto</v>
      </c>
      <c r="C70" s="54" t="str">
        <f>IFERROR(VLOOKUP(D70,'Master sheet (Clientes)'!A$6:D$747,4,0)," ")</f>
        <v>N-O</v>
      </c>
      <c r="D70" s="54" t="s">
        <v>44</v>
      </c>
      <c r="E70" s="54">
        <v>102</v>
      </c>
      <c r="F70" s="54" t="s">
        <v>45</v>
      </c>
      <c r="G70" s="54" t="s">
        <v>853</v>
      </c>
      <c r="H70" s="54" t="s">
        <v>1361</v>
      </c>
      <c r="I70" s="54" t="s">
        <v>901</v>
      </c>
      <c r="J70" s="54" t="s">
        <v>48</v>
      </c>
      <c r="K70" s="54"/>
      <c r="L70" s="54"/>
      <c r="M70" s="54"/>
      <c r="N70" s="54" t="s">
        <v>1268</v>
      </c>
    </row>
    <row r="71" spans="1:14" ht="47">
      <c r="A71" s="54" t="str">
        <f>IFERROR(VLOOKUP(D71,'Master sheet (Clientes)'!A$6:D$747,2,0)," ")</f>
        <v>NJ</v>
      </c>
      <c r="B71" s="54" t="str">
        <f>IFERROR(VLOOKUP(D71,'Master sheet (Clientes)'!A$6:D$747,3,0)," ")</f>
        <v>Bozzuto</v>
      </c>
      <c r="C71" s="54" t="str">
        <f>IFERROR(VLOOKUP(D71,'Master sheet (Clientes)'!A$6:D$747,4,0)," ")</f>
        <v>N-O</v>
      </c>
      <c r="D71" s="54" t="s">
        <v>44</v>
      </c>
      <c r="E71" s="54">
        <v>219</v>
      </c>
      <c r="F71" s="54" t="s">
        <v>45</v>
      </c>
      <c r="G71" s="54" t="s">
        <v>853</v>
      </c>
      <c r="H71" s="54" t="s">
        <v>1347</v>
      </c>
      <c r="I71" s="54" t="s">
        <v>901</v>
      </c>
      <c r="J71" s="54" t="s">
        <v>48</v>
      </c>
      <c r="K71" s="54"/>
      <c r="L71" s="54"/>
      <c r="M71" s="54"/>
      <c r="N71" s="54" t="s">
        <v>1268</v>
      </c>
    </row>
    <row r="72" spans="1:14" ht="47">
      <c r="A72" s="54" t="str">
        <f>IFERROR(VLOOKUP(D72,'Master sheet (Clientes)'!A$6:D$747,2,0)," ")</f>
        <v>NJ</v>
      </c>
      <c r="B72" s="54" t="str">
        <f>IFERROR(VLOOKUP(D72,'Master sheet (Clientes)'!A$6:D$747,3,0)," ")</f>
        <v>Bozzuto</v>
      </c>
      <c r="C72" s="54" t="str">
        <f>IFERROR(VLOOKUP(D72,'Master sheet (Clientes)'!A$6:D$747,4,0)," ")</f>
        <v>N-O</v>
      </c>
      <c r="D72" s="54" t="s">
        <v>154</v>
      </c>
      <c r="E72" s="54">
        <v>442</v>
      </c>
      <c r="F72" s="54" t="s">
        <v>854</v>
      </c>
      <c r="G72" s="54" t="s">
        <v>46</v>
      </c>
      <c r="H72" s="54" t="s">
        <v>1138</v>
      </c>
      <c r="I72" s="54" t="s">
        <v>901</v>
      </c>
      <c r="J72" s="54" t="s">
        <v>48</v>
      </c>
      <c r="K72" s="54"/>
      <c r="L72" s="54"/>
      <c r="M72" s="54"/>
      <c r="N72" s="54" t="s">
        <v>1268</v>
      </c>
    </row>
    <row r="73" spans="1:14" ht="70.5">
      <c r="A73" s="54" t="str">
        <f>IFERROR(VLOOKUP(D73,'Master sheet (Clientes)'!A$6:D$747,2,0)," ")</f>
        <v>NJ</v>
      </c>
      <c r="B73" s="54" t="str">
        <f>IFERROR(VLOOKUP(D73,'Master sheet (Clientes)'!A$6:D$747,3,0)," ")</f>
        <v>Greystar</v>
      </c>
      <c r="C73" s="54" t="str">
        <f>IFERROR(VLOOKUP(D73,'Master sheet (Clientes)'!A$6:D$747,4,0)," ")</f>
        <v>A-V</v>
      </c>
      <c r="D73" s="54" t="s">
        <v>337</v>
      </c>
      <c r="E73" s="54">
        <v>410</v>
      </c>
      <c r="F73" s="54" t="s">
        <v>854</v>
      </c>
      <c r="G73" s="54" t="s">
        <v>853</v>
      </c>
      <c r="H73" s="54" t="s">
        <v>1138</v>
      </c>
      <c r="I73" s="54" t="s">
        <v>901</v>
      </c>
      <c r="J73" s="54" t="s">
        <v>48</v>
      </c>
      <c r="K73" s="54"/>
      <c r="L73" s="54"/>
      <c r="M73" s="54"/>
      <c r="N73" s="54" t="s">
        <v>1268</v>
      </c>
    </row>
    <row r="74" spans="1:14" ht="47">
      <c r="A74" s="54" t="str">
        <f>IFERROR(VLOOKUP(D74,'Master sheet (Clientes)'!A$6:D$747,2,0)," ")</f>
        <v>NJ</v>
      </c>
      <c r="B74" s="54" t="str">
        <f>IFERROR(VLOOKUP(D74,'Master sheet (Clientes)'!A$6:D$747,3,0)," ")</f>
        <v>Greystar</v>
      </c>
      <c r="C74" s="54" t="str">
        <f>IFERROR(VLOOKUP(D74,'Master sheet (Clientes)'!A$6:D$747,4,0)," ")</f>
        <v>A-V</v>
      </c>
      <c r="D74" s="54" t="s">
        <v>305</v>
      </c>
      <c r="E74" s="54">
        <v>316</v>
      </c>
      <c r="F74" s="54" t="s">
        <v>854</v>
      </c>
      <c r="G74" s="54" t="s">
        <v>853</v>
      </c>
      <c r="H74" s="54" t="s">
        <v>1138</v>
      </c>
      <c r="I74" s="54" t="s">
        <v>901</v>
      </c>
      <c r="J74" s="54" t="s">
        <v>48</v>
      </c>
      <c r="K74" s="54"/>
      <c r="L74" s="54"/>
      <c r="M74" s="54"/>
      <c r="N74" s="54" t="s">
        <v>1268</v>
      </c>
    </row>
    <row r="75" spans="1:14" ht="47">
      <c r="A75" s="54" t="str">
        <f>IFERROR(VLOOKUP(D75,'Master sheet (Clientes)'!A$6:D$747,2,0)," ")</f>
        <v>NJ</v>
      </c>
      <c r="B75" s="54" t="str">
        <f>IFERROR(VLOOKUP(D75,'Master sheet (Clientes)'!A$6:D$747,3,0)," ")</f>
        <v>Greystar</v>
      </c>
      <c r="C75" s="54" t="str">
        <f>IFERROR(VLOOKUP(D75,'Master sheet (Clientes)'!A$6:D$747,4,0)," ")</f>
        <v>A-V</v>
      </c>
      <c r="D75" s="54" t="s">
        <v>305</v>
      </c>
      <c r="E75" s="54">
        <v>801</v>
      </c>
      <c r="F75" s="54" t="s">
        <v>854</v>
      </c>
      <c r="G75" s="54" t="s">
        <v>853</v>
      </c>
      <c r="H75" s="54" t="s">
        <v>1138</v>
      </c>
      <c r="I75" s="54" t="s">
        <v>901</v>
      </c>
      <c r="J75" s="54" t="s">
        <v>48</v>
      </c>
      <c r="K75" s="54"/>
      <c r="L75" s="54"/>
      <c r="M75" s="54" t="s">
        <v>922</v>
      </c>
      <c r="N75" s="54" t="s">
        <v>1268</v>
      </c>
    </row>
    <row r="76" spans="1:14" ht="70.5">
      <c r="A76" s="54" t="str">
        <f>IFERROR(VLOOKUP(D76,'Master sheet (Clientes)'!A$6:D$747,2,0)," ")</f>
        <v>NJ</v>
      </c>
      <c r="B76" s="54" t="str">
        <f>IFERROR(VLOOKUP(D76,'Master sheet (Clientes)'!A$6:D$747,3,0)," ")</f>
        <v>Vivmark Residential</v>
      </c>
      <c r="C76" s="54" t="str">
        <f>IFERROR(VLOOKUP(D76,'Master sheet (Clientes)'!A$6:D$747,4,0)," ")</f>
        <v>A-V</v>
      </c>
      <c r="D76" s="54" t="s">
        <v>290</v>
      </c>
      <c r="E76" s="54" t="s">
        <v>859</v>
      </c>
      <c r="F76" s="54" t="s">
        <v>45</v>
      </c>
      <c r="G76" s="54" t="s">
        <v>853</v>
      </c>
      <c r="H76" s="54" t="s">
        <v>857</v>
      </c>
      <c r="I76" s="54" t="s">
        <v>901</v>
      </c>
      <c r="J76" s="54" t="s">
        <v>863</v>
      </c>
      <c r="K76" s="54"/>
      <c r="L76" s="54"/>
      <c r="M76" s="54"/>
      <c r="N76" s="54" t="s">
        <v>1268</v>
      </c>
    </row>
    <row r="77" spans="1:14" ht="70.5">
      <c r="A77" s="54" t="str">
        <f>IFERROR(VLOOKUP(D77,'Master sheet (Clientes)'!A$6:D$747,2,0)," ")</f>
        <v>NJ</v>
      </c>
      <c r="B77" s="54" t="str">
        <f>IFERROR(VLOOKUP(D77,'Master sheet (Clientes)'!A$6:D$747,3,0)," ")</f>
        <v>Vivmark Residential</v>
      </c>
      <c r="C77" s="54" t="str">
        <f>IFERROR(VLOOKUP(D77,'Master sheet (Clientes)'!A$6:D$747,4,0)," ")</f>
        <v>A-V</v>
      </c>
      <c r="D77" s="54" t="s">
        <v>288</v>
      </c>
      <c r="E77" s="54">
        <v>415</v>
      </c>
      <c r="F77" s="54" t="s">
        <v>45</v>
      </c>
      <c r="G77" s="54" t="s">
        <v>853</v>
      </c>
      <c r="H77" s="54" t="s">
        <v>1362</v>
      </c>
      <c r="I77" s="54" t="s">
        <v>901</v>
      </c>
      <c r="J77" s="54" t="s">
        <v>1158</v>
      </c>
      <c r="K77" s="54"/>
      <c r="L77" s="54"/>
      <c r="M77" s="54"/>
      <c r="N77" s="54" t="s">
        <v>1268</v>
      </c>
    </row>
    <row r="78" spans="1:14">
      <c r="A78" s="1"/>
      <c r="B78" s="1"/>
      <c r="C78" s="1"/>
      <c r="D78" s="1"/>
      <c r="E78" s="1"/>
      <c r="F78" s="1"/>
      <c r="G78" s="1"/>
      <c r="H78" s="1"/>
      <c r="I78" s="1"/>
      <c r="J78" s="1"/>
      <c r="K78" s="1"/>
      <c r="L78" s="1"/>
      <c r="M78" s="1"/>
      <c r="N78" s="1"/>
    </row>
    <row r="79" spans="1:14" s="1" customFormat="1" ht="47">
      <c r="A79" s="4" t="s">
        <v>8</v>
      </c>
      <c r="B79" s="4" t="s">
        <v>9</v>
      </c>
      <c r="C79" s="4" t="s">
        <v>10</v>
      </c>
      <c r="D79" s="4" t="s">
        <v>11</v>
      </c>
      <c r="E79" s="4" t="s">
        <v>12</v>
      </c>
      <c r="F79" s="4" t="s">
        <v>13</v>
      </c>
      <c r="G79" s="38" t="s">
        <v>14</v>
      </c>
      <c r="H79" s="4" t="s">
        <v>15</v>
      </c>
      <c r="I79" s="38" t="s">
        <v>16</v>
      </c>
      <c r="J79" s="38" t="s">
        <v>17</v>
      </c>
      <c r="K79" s="38" t="s">
        <v>18</v>
      </c>
      <c r="L79" s="38" t="s">
        <v>19</v>
      </c>
      <c r="M79" s="38" t="s">
        <v>20</v>
      </c>
      <c r="N79" s="38" t="s">
        <v>21</v>
      </c>
    </row>
    <row r="80" spans="1:14" ht="47">
      <c r="A80" s="54" t="str">
        <f>IFERROR(VLOOKUP(D80,'Master sheet (Clientes)'!A$6:D$747,2,0)," ")</f>
        <v>NJ</v>
      </c>
      <c r="B80" s="54" t="str">
        <f>IFERROR(VLOOKUP(D80,'Master sheet (Clientes)'!A$6:D$747,3,0)," ")</f>
        <v>Bozzuto</v>
      </c>
      <c r="C80" s="54" t="str">
        <f>IFERROR(VLOOKUP(D80,'Master sheet (Clientes)'!A$6:D$747,4,0)," ")</f>
        <v>N-O</v>
      </c>
      <c r="D80" s="54" t="s">
        <v>155</v>
      </c>
      <c r="E80" s="54">
        <v>374</v>
      </c>
      <c r="F80" s="54" t="s">
        <v>45</v>
      </c>
      <c r="G80" s="54" t="s">
        <v>46</v>
      </c>
      <c r="H80" s="54" t="s">
        <v>1138</v>
      </c>
      <c r="I80" s="54" t="s">
        <v>1353</v>
      </c>
      <c r="J80" s="54" t="s">
        <v>48</v>
      </c>
      <c r="K80" s="54"/>
      <c r="L80" s="54"/>
      <c r="M80" s="54"/>
      <c r="N80" s="54" t="s">
        <v>1268</v>
      </c>
    </row>
    <row r="81" spans="1:20" ht="47">
      <c r="A81" s="54" t="str">
        <f>IFERROR(VLOOKUP(D81,'Master sheet (Clientes)'!A$6:D$747,2,0)," ")</f>
        <v>NJ</v>
      </c>
      <c r="B81" s="54" t="str">
        <f>IFERROR(VLOOKUP(D81,'Master sheet (Clientes)'!A$6:D$747,3,0)," ")</f>
        <v>Bozzuto</v>
      </c>
      <c r="C81" s="54" t="str">
        <f>IFERROR(VLOOKUP(D81,'Master sheet (Clientes)'!A$6:D$747,4,0)," ")</f>
        <v>N-O</v>
      </c>
      <c r="D81" s="54" t="s">
        <v>155</v>
      </c>
      <c r="E81" s="54">
        <v>466</v>
      </c>
      <c r="F81" s="54" t="s">
        <v>45</v>
      </c>
      <c r="G81" s="54" t="s">
        <v>46</v>
      </c>
      <c r="H81" s="54" t="s">
        <v>1138</v>
      </c>
      <c r="I81" s="54" t="s">
        <v>1353</v>
      </c>
      <c r="J81" s="54" t="s">
        <v>48</v>
      </c>
      <c r="K81" s="54"/>
      <c r="L81" s="54"/>
      <c r="M81" s="54"/>
      <c r="N81" s="54" t="s">
        <v>1268</v>
      </c>
    </row>
    <row r="82" spans="1:20">
      <c r="A82" s="1"/>
      <c r="B82" s="1"/>
      <c r="C82" s="1"/>
      <c r="D82" s="1"/>
      <c r="E82" s="1"/>
      <c r="F82" s="1"/>
      <c r="G82" s="1"/>
      <c r="H82" s="1"/>
      <c r="I82" s="1"/>
      <c r="J82" s="1"/>
      <c r="K82" s="1"/>
      <c r="L82" s="1"/>
      <c r="M82" s="1"/>
      <c r="N82" s="1"/>
    </row>
    <row r="83" spans="1:20" s="1" customFormat="1" ht="47">
      <c r="A83" s="4" t="s">
        <v>8</v>
      </c>
      <c r="B83" s="4" t="s">
        <v>9</v>
      </c>
      <c r="C83" s="4" t="s">
        <v>10</v>
      </c>
      <c r="D83" s="4" t="s">
        <v>11</v>
      </c>
      <c r="E83" s="4" t="s">
        <v>12</v>
      </c>
      <c r="F83" s="4" t="s">
        <v>13</v>
      </c>
      <c r="G83" s="38" t="s">
        <v>14</v>
      </c>
      <c r="H83" s="4" t="s">
        <v>15</v>
      </c>
      <c r="I83" s="38" t="s">
        <v>16</v>
      </c>
      <c r="J83" s="38" t="s">
        <v>17</v>
      </c>
      <c r="K83" s="38" t="s">
        <v>18</v>
      </c>
      <c r="L83" s="38" t="s">
        <v>19</v>
      </c>
      <c r="M83" s="38" t="s">
        <v>20</v>
      </c>
      <c r="N83" s="38" t="s">
        <v>21</v>
      </c>
    </row>
    <row r="84" spans="1:20" ht="47">
      <c r="A84" s="54" t="str">
        <f>IFERROR(VLOOKUP(D84,'Master sheet (Clientes)'!A$6:D$747,2,0)," ")</f>
        <v>NJ</v>
      </c>
      <c r="B84" s="54" t="str">
        <f>IFERROR(VLOOKUP(D84,'Master sheet (Clientes)'!A$6:D$747,3,0)," ")</f>
        <v>Vivmark Residential</v>
      </c>
      <c r="C84" s="54" t="str">
        <f>IFERROR(VLOOKUP(D84,'Master sheet (Clientes)'!A$6:D$747,4,0)," ")</f>
        <v>N-O</v>
      </c>
      <c r="D84" s="54" t="s">
        <v>72</v>
      </c>
      <c r="E84" s="54">
        <v>136</v>
      </c>
      <c r="F84" s="54"/>
      <c r="G84" s="54" t="s">
        <v>837</v>
      </c>
      <c r="H84" s="54" t="s">
        <v>1363</v>
      </c>
      <c r="I84" s="54" t="s">
        <v>1297</v>
      </c>
      <c r="J84" s="54" t="s">
        <v>48</v>
      </c>
      <c r="K84" s="54"/>
      <c r="L84" s="54"/>
      <c r="M84" s="54"/>
      <c r="N84" s="54" t="s">
        <v>1268</v>
      </c>
    </row>
    <row r="85" spans="1:20">
      <c r="A85" s="1"/>
      <c r="B85" s="1"/>
      <c r="C85" s="1"/>
      <c r="D85" s="1"/>
      <c r="E85" s="1"/>
      <c r="F85" s="1"/>
      <c r="G85" s="1"/>
      <c r="H85" s="1"/>
      <c r="I85" s="1"/>
      <c r="J85" s="1"/>
      <c r="K85" s="1"/>
      <c r="L85" s="1"/>
      <c r="M85" s="1"/>
      <c r="N85" s="1"/>
    </row>
    <row r="86" spans="1:20" s="1" customFormat="1" ht="47">
      <c r="A86" s="4" t="s">
        <v>8</v>
      </c>
      <c r="B86" s="4" t="s">
        <v>9</v>
      </c>
      <c r="C86" s="4" t="s">
        <v>10</v>
      </c>
      <c r="D86" s="4" t="s">
        <v>11</v>
      </c>
      <c r="E86" s="4" t="s">
        <v>12</v>
      </c>
      <c r="F86" s="4" t="s">
        <v>13</v>
      </c>
      <c r="G86" s="38" t="s">
        <v>14</v>
      </c>
      <c r="H86" s="4" t="s">
        <v>15</v>
      </c>
      <c r="I86" s="38" t="s">
        <v>16</v>
      </c>
      <c r="J86" s="38" t="s">
        <v>17</v>
      </c>
      <c r="K86" s="38" t="s">
        <v>18</v>
      </c>
      <c r="L86" s="38" t="s">
        <v>19</v>
      </c>
      <c r="M86" s="38" t="s">
        <v>20</v>
      </c>
      <c r="N86" s="38" t="s">
        <v>21</v>
      </c>
    </row>
    <row r="87" spans="1:20" s="111" customFormat="1" ht="117.5">
      <c r="A87" s="92" t="str">
        <f>IFERROR(VLOOKUP(D87,'Master sheet (Clientes)'!A$6:D$747,2,0)," ")</f>
        <v>NJ</v>
      </c>
      <c r="B87" s="92" t="str">
        <f>IFERROR(VLOOKUP(D87,'Master sheet (Clientes)'!A$6:D$747,3,0)," ")</f>
        <v>Skylight</v>
      </c>
      <c r="C87" s="92" t="str">
        <f>IFERROR(VLOOKUP(D87,'Master sheet (Clientes)'!A$6:D$747,4,0)," ")</f>
        <v>N-O</v>
      </c>
      <c r="D87" s="92" t="s">
        <v>726</v>
      </c>
      <c r="E87" s="92" t="s">
        <v>848</v>
      </c>
      <c r="F87" s="92"/>
      <c r="G87" s="92"/>
      <c r="H87" s="92" t="s">
        <v>1489</v>
      </c>
      <c r="I87" s="92" t="s">
        <v>850</v>
      </c>
      <c r="J87" s="92" t="s">
        <v>48</v>
      </c>
      <c r="K87" s="92" t="s">
        <v>849</v>
      </c>
      <c r="L87" s="92"/>
      <c r="M87" s="92"/>
      <c r="N87" s="92" t="s">
        <v>1492</v>
      </c>
      <c r="O87" s="93"/>
      <c r="P87" s="93"/>
      <c r="Q87" s="93"/>
      <c r="R87" s="110"/>
      <c r="S87" s="110"/>
      <c r="T87" s="110"/>
    </row>
    <row r="88" spans="1:20">
      <c r="A88" s="1"/>
      <c r="B88" s="1"/>
      <c r="C88" s="1"/>
      <c r="D88" s="1"/>
      <c r="E88" s="1"/>
      <c r="F88" s="1"/>
      <c r="G88" s="1"/>
      <c r="H88" s="1"/>
      <c r="I88" s="1"/>
      <c r="J88" s="1"/>
      <c r="K88" s="1"/>
      <c r="L88" s="1"/>
      <c r="M88" s="1"/>
      <c r="N88" s="1"/>
    </row>
    <row r="89" spans="1:20" ht="26">
      <c r="A89" s="33"/>
      <c r="B89" s="33"/>
      <c r="C89" s="33"/>
      <c r="D89" s="127" t="s">
        <v>26</v>
      </c>
      <c r="E89" s="127"/>
      <c r="F89" s="127"/>
      <c r="G89" s="127"/>
      <c r="H89" s="127"/>
      <c r="I89" s="127"/>
      <c r="J89" s="127"/>
      <c r="K89" s="127"/>
      <c r="L89" s="127"/>
      <c r="M89" s="16"/>
      <c r="N89" s="16"/>
    </row>
    <row r="90" spans="1:20" s="5" customFormat="1" ht="26">
      <c r="A90" s="43"/>
      <c r="B90" s="43"/>
      <c r="C90" s="43"/>
      <c r="D90" s="128" t="s">
        <v>27</v>
      </c>
      <c r="E90" s="128"/>
      <c r="F90" s="128"/>
      <c r="G90" s="128"/>
      <c r="H90" s="128"/>
      <c r="I90" s="128"/>
      <c r="J90" s="128"/>
      <c r="K90" s="128"/>
      <c r="L90" s="128"/>
      <c r="M90" s="44"/>
      <c r="N90" s="44"/>
      <c r="O90" s="35"/>
      <c r="P90" s="35"/>
      <c r="Q90" s="35"/>
    </row>
    <row r="91" spans="1:20" s="1" customFormat="1">
      <c r="A91" s="3"/>
      <c r="B91" s="3"/>
      <c r="C91" s="3"/>
      <c r="D91" s="3"/>
      <c r="E91" s="3"/>
      <c r="F91" s="3"/>
      <c r="G91" s="3"/>
      <c r="H91" s="3"/>
      <c r="I91" s="3"/>
      <c r="J91" s="3"/>
    </row>
    <row r="92" spans="1:20" s="1" customFormat="1" ht="47">
      <c r="A92" s="4" t="s">
        <v>8</v>
      </c>
      <c r="B92" s="4" t="s">
        <v>9</v>
      </c>
      <c r="C92" s="4" t="s">
        <v>10</v>
      </c>
      <c r="D92" s="4" t="s">
        <v>11</v>
      </c>
      <c r="E92" s="4" t="s">
        <v>12</v>
      </c>
      <c r="F92" s="4" t="s">
        <v>13</v>
      </c>
      <c r="G92" s="38" t="s">
        <v>14</v>
      </c>
      <c r="H92" s="4" t="s">
        <v>15</v>
      </c>
      <c r="I92" s="38" t="s">
        <v>16</v>
      </c>
      <c r="J92" s="38" t="s">
        <v>17</v>
      </c>
      <c r="K92" s="38" t="s">
        <v>18</v>
      </c>
      <c r="L92" s="38" t="s">
        <v>19</v>
      </c>
      <c r="M92" s="38" t="s">
        <v>20</v>
      </c>
      <c r="N92" s="38" t="s">
        <v>21</v>
      </c>
    </row>
    <row r="93" spans="1:20" ht="70.5">
      <c r="A93" s="54" t="str">
        <f>IFERROR(VLOOKUP(D93,'Master sheet (Clientes)'!A$6:D$747,2,0)," ")</f>
        <v>NJ</v>
      </c>
      <c r="B93" s="54" t="str">
        <f>IFERROR(VLOOKUP(D93,'Master sheet (Clientes)'!A$6:D$747,3,0)," ")</f>
        <v>C/O Realty</v>
      </c>
      <c r="C93" s="54" t="str">
        <f>IFERROR(VLOOKUP(D93,'Master sheet (Clientes)'!A$6:D$747,4,0)," ")</f>
        <v>N-O</v>
      </c>
      <c r="D93" s="54" t="s">
        <v>229</v>
      </c>
      <c r="E93" s="54"/>
      <c r="F93" s="54"/>
      <c r="G93" s="54"/>
      <c r="H93" s="54" t="s">
        <v>1048</v>
      </c>
      <c r="I93" s="54" t="s">
        <v>1049</v>
      </c>
      <c r="J93" s="54" t="s">
        <v>869</v>
      </c>
      <c r="K93" s="54"/>
      <c r="L93" s="54"/>
      <c r="M93" s="54"/>
      <c r="N93" s="54" t="s">
        <v>1269</v>
      </c>
    </row>
    <row r="94" spans="1:20" s="1" customFormat="1">
      <c r="A94" s="3"/>
      <c r="B94" s="3"/>
      <c r="C94" s="3"/>
      <c r="D94" s="3"/>
      <c r="E94" s="3"/>
      <c r="F94" s="3"/>
      <c r="G94" s="3"/>
      <c r="H94" s="3"/>
      <c r="I94" s="3"/>
      <c r="J94" s="3"/>
    </row>
    <row r="95" spans="1:20" s="1" customFormat="1" ht="47">
      <c r="A95" s="4" t="s">
        <v>8</v>
      </c>
      <c r="B95" s="4" t="s">
        <v>9</v>
      </c>
      <c r="C95" s="4" t="s">
        <v>10</v>
      </c>
      <c r="D95" s="4" t="s">
        <v>11</v>
      </c>
      <c r="E95" s="4" t="s">
        <v>12</v>
      </c>
      <c r="F95" s="4" t="s">
        <v>13</v>
      </c>
      <c r="G95" s="38" t="s">
        <v>14</v>
      </c>
      <c r="H95" s="4" t="s">
        <v>15</v>
      </c>
      <c r="I95" s="38" t="s">
        <v>16</v>
      </c>
      <c r="J95" s="38" t="s">
        <v>17</v>
      </c>
      <c r="K95" s="38" t="s">
        <v>18</v>
      </c>
      <c r="L95" s="38" t="s">
        <v>19</v>
      </c>
      <c r="M95" s="38" t="s">
        <v>20</v>
      </c>
      <c r="N95" s="38" t="s">
        <v>21</v>
      </c>
    </row>
    <row r="96" spans="1:20" ht="70.5">
      <c r="A96" s="54" t="str">
        <f>IFERROR(VLOOKUP(D96,'Master sheet (Clientes)'!A$6:D$747,2,0)," ")</f>
        <v>NJ</v>
      </c>
      <c r="B96" s="54" t="str">
        <f>IFERROR(VLOOKUP(D96,'Master sheet (Clientes)'!A$6:D$747,3,0)," ")</f>
        <v>C/O Realty</v>
      </c>
      <c r="C96" s="54" t="str">
        <f>IFERROR(VLOOKUP(D96,'Master sheet (Clientes)'!A$6:D$747,4,0)," ")</f>
        <v>N-O</v>
      </c>
      <c r="D96" s="54" t="s">
        <v>217</v>
      </c>
      <c r="E96" s="54"/>
      <c r="F96" s="54"/>
      <c r="G96" s="54"/>
      <c r="H96" s="54" t="s">
        <v>878</v>
      </c>
      <c r="I96" s="54" t="s">
        <v>1251</v>
      </c>
      <c r="J96" s="54" t="s">
        <v>869</v>
      </c>
      <c r="K96" s="54" t="s">
        <v>898</v>
      </c>
      <c r="L96" s="54"/>
      <c r="M96" s="54" t="s">
        <v>900</v>
      </c>
      <c r="N96" s="54" t="s">
        <v>1266</v>
      </c>
    </row>
    <row r="97" spans="1:17" ht="70.5">
      <c r="A97" s="54" t="str">
        <f>IFERROR(VLOOKUP(D97,'Master sheet (Clientes)'!A$6:D$747,2,0)," ")</f>
        <v>NJ</v>
      </c>
      <c r="B97" s="54" t="str">
        <f>IFERROR(VLOOKUP(D97,'Master sheet (Clientes)'!A$6:D$747,3,0)," ")</f>
        <v>C/O Realty</v>
      </c>
      <c r="C97" s="54" t="str">
        <f>IFERROR(VLOOKUP(D97,'Master sheet (Clientes)'!A$6:D$747,4,0)," ")</f>
        <v>N-O</v>
      </c>
      <c r="D97" s="54" t="s">
        <v>217</v>
      </c>
      <c r="E97" s="54"/>
      <c r="F97" s="54"/>
      <c r="G97" s="54"/>
      <c r="H97" s="54" t="s">
        <v>879</v>
      </c>
      <c r="I97" s="54" t="s">
        <v>1252</v>
      </c>
      <c r="J97" s="54" t="s">
        <v>869</v>
      </c>
      <c r="K97" s="54" t="s">
        <v>899</v>
      </c>
      <c r="L97" s="54"/>
      <c r="M97" s="54" t="s">
        <v>900</v>
      </c>
      <c r="N97" s="54" t="s">
        <v>1266</v>
      </c>
    </row>
    <row r="98" spans="1:17" s="94" customFormat="1" ht="94">
      <c r="A98" s="92" t="str">
        <f>IFERROR(VLOOKUP(D98,'Master sheet (Clientes)'!A$6:D$747,2,0)," ")</f>
        <v>NJ</v>
      </c>
      <c r="B98" s="92" t="str">
        <f>IFERROR(VLOOKUP(D98,'Master sheet (Clientes)'!A$6:D$747,3,0)," ")</f>
        <v>C/O Realty</v>
      </c>
      <c r="C98" s="92" t="str">
        <f>IFERROR(VLOOKUP(D98,'Master sheet (Clientes)'!A$6:D$747,4,0)," ")</f>
        <v>N-O</v>
      </c>
      <c r="D98" s="92" t="s">
        <v>217</v>
      </c>
      <c r="E98" s="92">
        <v>610</v>
      </c>
      <c r="F98" s="92" t="s">
        <v>854</v>
      </c>
      <c r="G98" s="92" t="s">
        <v>853</v>
      </c>
      <c r="H98" s="92" t="s">
        <v>1253</v>
      </c>
      <c r="I98" s="92" t="s">
        <v>868</v>
      </c>
      <c r="J98" s="92" t="s">
        <v>869</v>
      </c>
      <c r="K98" s="92"/>
      <c r="L98" s="92"/>
      <c r="M98" s="92"/>
      <c r="N98" s="92" t="s">
        <v>1570</v>
      </c>
      <c r="O98" s="93"/>
      <c r="P98" s="93"/>
      <c r="Q98" s="93"/>
    </row>
    <row r="99" spans="1:17" s="94" customFormat="1" ht="94">
      <c r="A99" s="92" t="str">
        <f>IFERROR(VLOOKUP(D99,'Master sheet (Clientes)'!A$6:D$747,2,0)," ")</f>
        <v>NJ</v>
      </c>
      <c r="B99" s="92" t="str">
        <f>IFERROR(VLOOKUP(D99,'Master sheet (Clientes)'!A$6:D$747,3,0)," ")</f>
        <v>C/O Realty</v>
      </c>
      <c r="C99" s="92" t="str">
        <f>IFERROR(VLOOKUP(D99,'Master sheet (Clientes)'!A$6:D$747,4,0)," ")</f>
        <v>N-O</v>
      </c>
      <c r="D99" s="92" t="s">
        <v>217</v>
      </c>
      <c r="E99" s="92">
        <v>610</v>
      </c>
      <c r="F99" s="92" t="s">
        <v>854</v>
      </c>
      <c r="G99" s="92" t="s">
        <v>853</v>
      </c>
      <c r="H99" s="92" t="s">
        <v>1254</v>
      </c>
      <c r="I99" s="92" t="s">
        <v>868</v>
      </c>
      <c r="J99" s="92" t="s">
        <v>869</v>
      </c>
      <c r="K99" s="92" t="s">
        <v>1085</v>
      </c>
      <c r="L99" s="92"/>
      <c r="M99" s="92"/>
      <c r="N99" s="92" t="s">
        <v>1570</v>
      </c>
      <c r="O99" s="93"/>
      <c r="P99" s="93"/>
      <c r="Q99" s="93"/>
    </row>
    <row r="100" spans="1:17" ht="94">
      <c r="A100" s="54" t="str">
        <f>IFERROR(VLOOKUP(D100,'Master sheet (Clientes)'!A$6:D$747,2,0)," ")</f>
        <v>NJ</v>
      </c>
      <c r="B100" s="54" t="str">
        <f>IFERROR(VLOOKUP(D100,'Master sheet (Clientes)'!A$6:D$747,3,0)," ")</f>
        <v>C/O Realty</v>
      </c>
      <c r="C100" s="54" t="str">
        <f>IFERROR(VLOOKUP(D100,'Master sheet (Clientes)'!A$6:D$747,4,0)," ")</f>
        <v>N-O</v>
      </c>
      <c r="D100" s="54" t="s">
        <v>219</v>
      </c>
      <c r="E100" s="54"/>
      <c r="F100" s="54"/>
      <c r="G100" s="54"/>
      <c r="H100" s="54" t="s">
        <v>1008</v>
      </c>
      <c r="I100" s="54" t="s">
        <v>1009</v>
      </c>
      <c r="J100" s="54" t="s">
        <v>869</v>
      </c>
      <c r="K100" s="54"/>
      <c r="L100" s="54"/>
      <c r="M100" s="54" t="s">
        <v>1010</v>
      </c>
      <c r="N100" s="54" t="s">
        <v>1266</v>
      </c>
    </row>
    <row r="101" spans="1:17" ht="94">
      <c r="A101" s="54" t="str">
        <f>IFERROR(VLOOKUP(D101,'Master sheet (Clientes)'!A$6:D$747,2,0)," ")</f>
        <v>NJ</v>
      </c>
      <c r="B101" s="54" t="str">
        <f>IFERROR(VLOOKUP(D101,'Master sheet (Clientes)'!A$6:D$747,3,0)," ")</f>
        <v>C/O Realty</v>
      </c>
      <c r="C101" s="54" t="str">
        <f>IFERROR(VLOOKUP(D101,'Master sheet (Clientes)'!A$6:D$747,4,0)," ")</f>
        <v>N-O</v>
      </c>
      <c r="D101" s="54" t="s">
        <v>218</v>
      </c>
      <c r="E101" s="54"/>
      <c r="F101" s="54"/>
      <c r="G101" s="54"/>
      <c r="H101" s="54" t="s">
        <v>1011</v>
      </c>
      <c r="I101" s="54" t="s">
        <v>1012</v>
      </c>
      <c r="J101" s="54" t="s">
        <v>869</v>
      </c>
      <c r="K101" s="54"/>
      <c r="L101" s="54"/>
      <c r="M101" s="54" t="s">
        <v>1010</v>
      </c>
      <c r="N101" s="54" t="s">
        <v>1266</v>
      </c>
    </row>
    <row r="102" spans="1:17" ht="47">
      <c r="A102" s="54" t="str">
        <f>IFERROR(VLOOKUP(D102,'Master sheet (Clientes)'!A$6:D$747,2,0)," ")</f>
        <v>NJ</v>
      </c>
      <c r="B102" s="54" t="str">
        <f>IFERROR(VLOOKUP(D102,'Master sheet (Clientes)'!A$6:D$747,3,0)," ")</f>
        <v>C/O Realty</v>
      </c>
      <c r="C102" s="54" t="str">
        <f>IFERROR(VLOOKUP(D102,'Master sheet (Clientes)'!A$6:D$747,4,0)," ")</f>
        <v>N-O</v>
      </c>
      <c r="D102" s="54" t="s">
        <v>212</v>
      </c>
      <c r="E102" s="54">
        <v>1212</v>
      </c>
      <c r="F102" s="54" t="s">
        <v>45</v>
      </c>
      <c r="G102" s="54" t="s">
        <v>853</v>
      </c>
      <c r="H102" s="54" t="s">
        <v>1122</v>
      </c>
      <c r="I102" s="54" t="s">
        <v>1513</v>
      </c>
      <c r="J102" s="54" t="s">
        <v>869</v>
      </c>
      <c r="K102" s="54" t="s">
        <v>1088</v>
      </c>
      <c r="L102" s="54"/>
      <c r="M102" s="54"/>
      <c r="N102" s="54" t="s">
        <v>1268</v>
      </c>
    </row>
    <row r="103" spans="1:17" ht="47">
      <c r="A103" s="54" t="str">
        <f>IFERROR(VLOOKUP(D103,'Master sheet (Clientes)'!A$6:D$747,2,0)," ")</f>
        <v>NJ</v>
      </c>
      <c r="B103" s="54" t="str">
        <f>IFERROR(VLOOKUP(D103,'Master sheet (Clientes)'!A$6:D$747,3,0)," ")</f>
        <v>C/O Realty</v>
      </c>
      <c r="C103" s="54" t="str">
        <f>IFERROR(VLOOKUP(D103,'Master sheet (Clientes)'!A$6:D$747,4,0)," ")</f>
        <v>N-O</v>
      </c>
      <c r="D103" s="54" t="s">
        <v>212</v>
      </c>
      <c r="E103" s="54">
        <v>1705</v>
      </c>
      <c r="F103" s="54" t="s">
        <v>854</v>
      </c>
      <c r="G103" s="54" t="s">
        <v>853</v>
      </c>
      <c r="H103" s="54" t="s">
        <v>955</v>
      </c>
      <c r="I103" s="54" t="s">
        <v>1259</v>
      </c>
      <c r="J103" s="54" t="s">
        <v>869</v>
      </c>
      <c r="K103" s="54"/>
      <c r="L103" s="54"/>
      <c r="M103" s="54"/>
      <c r="N103" s="54" t="s">
        <v>1268</v>
      </c>
    </row>
    <row r="104" spans="1:17" ht="47">
      <c r="A104" s="54" t="str">
        <f>IFERROR(VLOOKUP(D104,'Master sheet (Clientes)'!A$6:D$747,2,0)," ")</f>
        <v>NJ</v>
      </c>
      <c r="B104" s="54" t="str">
        <f>IFERROR(VLOOKUP(D104,'Master sheet (Clientes)'!A$6:D$747,3,0)," ")</f>
        <v>C/O Realty</v>
      </c>
      <c r="C104" s="54" t="str">
        <f>IFERROR(VLOOKUP(D104,'Master sheet (Clientes)'!A$6:D$747,4,0)," ")</f>
        <v>N-O</v>
      </c>
      <c r="D104" s="54" t="s">
        <v>212</v>
      </c>
      <c r="E104" s="54">
        <v>415</v>
      </c>
      <c r="F104" s="54" t="s">
        <v>45</v>
      </c>
      <c r="G104" s="54" t="s">
        <v>853</v>
      </c>
      <c r="H104" s="54" t="s">
        <v>1351</v>
      </c>
      <c r="I104" s="54" t="s">
        <v>1571</v>
      </c>
      <c r="J104" s="54" t="s">
        <v>869</v>
      </c>
      <c r="K104" s="54"/>
      <c r="L104" s="54"/>
      <c r="M104" s="54"/>
      <c r="N104" s="54" t="s">
        <v>1266</v>
      </c>
    </row>
    <row r="105" spans="1:17" ht="70.5">
      <c r="A105" s="54" t="str">
        <f>IFERROR(VLOOKUP(D105,'Master sheet (Clientes)'!A$6:D$747,2,0)," ")</f>
        <v>NJ</v>
      </c>
      <c r="B105" s="54" t="str">
        <f>IFERROR(VLOOKUP(D105,'Master sheet (Clientes)'!A$6:D$747,3,0)," ")</f>
        <v>C/O Realty</v>
      </c>
      <c r="C105" s="54" t="str">
        <f>IFERROR(VLOOKUP(D105,'Master sheet (Clientes)'!A$6:D$747,4,0)," ")</f>
        <v>N-O</v>
      </c>
      <c r="D105" s="54" t="s">
        <v>220</v>
      </c>
      <c r="E105" s="54" t="s">
        <v>1002</v>
      </c>
      <c r="F105" s="54"/>
      <c r="G105" s="54"/>
      <c r="H105" s="54" t="s">
        <v>1294</v>
      </c>
      <c r="I105" s="54" t="s">
        <v>1572</v>
      </c>
      <c r="J105" s="54" t="s">
        <v>869</v>
      </c>
      <c r="K105" s="54"/>
      <c r="L105" s="54"/>
      <c r="M105" s="54" t="s">
        <v>1004</v>
      </c>
      <c r="N105" s="54" t="s">
        <v>1266</v>
      </c>
    </row>
    <row r="106" spans="1:17" ht="70.5">
      <c r="A106" s="54" t="str">
        <f>IFERROR(VLOOKUP(D106,'Master sheet (Clientes)'!A$6:D$747,2,0)," ")</f>
        <v>NJ</v>
      </c>
      <c r="B106" s="54" t="str">
        <f>IFERROR(VLOOKUP(D106,'Master sheet (Clientes)'!A$6:D$747,3,0)," ")</f>
        <v>C/O Realty</v>
      </c>
      <c r="C106" s="54" t="str">
        <f>IFERROR(VLOOKUP(D106,'Master sheet (Clientes)'!A$6:D$747,4,0)," ")</f>
        <v>N-O</v>
      </c>
      <c r="D106" s="54" t="s">
        <v>220</v>
      </c>
      <c r="E106" s="54" t="s">
        <v>1057</v>
      </c>
      <c r="F106" s="54"/>
      <c r="G106" s="54"/>
      <c r="H106" s="54" t="s">
        <v>1059</v>
      </c>
      <c r="I106" s="54" t="s">
        <v>1574</v>
      </c>
      <c r="J106" s="54" t="s">
        <v>840</v>
      </c>
      <c r="K106" s="54" t="s">
        <v>1058</v>
      </c>
      <c r="L106" s="54"/>
      <c r="M106" s="54" t="s">
        <v>1060</v>
      </c>
      <c r="N106" s="54" t="s">
        <v>1268</v>
      </c>
    </row>
    <row r="107" spans="1:17" s="94" customFormat="1" ht="211.5">
      <c r="A107" s="92" t="str">
        <f>IFERROR(VLOOKUP(D107,'Master sheet (Clientes)'!A$6:D$747,2,0)," ")</f>
        <v>NJ</v>
      </c>
      <c r="B107" s="92" t="str">
        <f>IFERROR(VLOOKUP(D107,'Master sheet (Clientes)'!A$6:D$747,3,0)," ")</f>
        <v>C/O Realty</v>
      </c>
      <c r="C107" s="92" t="str">
        <f>IFERROR(VLOOKUP(D107,'Master sheet (Clientes)'!A$6:D$747,4,0)," ")</f>
        <v>N-O</v>
      </c>
      <c r="D107" s="92" t="s">
        <v>220</v>
      </c>
      <c r="E107" s="92" t="s">
        <v>1078</v>
      </c>
      <c r="F107" s="92"/>
      <c r="G107" s="92"/>
      <c r="H107" s="92" t="s">
        <v>1292</v>
      </c>
      <c r="I107" s="92" t="s">
        <v>880</v>
      </c>
      <c r="J107" s="92" t="s">
        <v>869</v>
      </c>
      <c r="K107" s="92" t="s">
        <v>1079</v>
      </c>
      <c r="L107" s="92"/>
      <c r="M107" s="92"/>
      <c r="N107" s="92" t="s">
        <v>1516</v>
      </c>
      <c r="O107" s="93"/>
      <c r="P107" s="93"/>
      <c r="Q107" s="93"/>
    </row>
    <row r="108" spans="1:17" ht="70.5">
      <c r="A108" s="54" t="str">
        <f>IFERROR(VLOOKUP(D108,'Master sheet (Clientes)'!A$6:D$747,2,0)," ")</f>
        <v>NJ</v>
      </c>
      <c r="B108" s="54" t="str">
        <f>IFERROR(VLOOKUP(D108,'Master sheet (Clientes)'!A$6:D$747,3,0)," ")</f>
        <v>C/O Realty</v>
      </c>
      <c r="C108" s="54" t="str">
        <f>IFERROR(VLOOKUP(D108,'Master sheet (Clientes)'!A$6:D$747,4,0)," ")</f>
        <v>N-O</v>
      </c>
      <c r="D108" s="54" t="s">
        <v>221</v>
      </c>
      <c r="E108" s="54"/>
      <c r="F108" s="54"/>
      <c r="G108" s="54"/>
      <c r="H108" s="54" t="s">
        <v>929</v>
      </c>
      <c r="I108" s="54" t="s">
        <v>930</v>
      </c>
      <c r="J108" s="54" t="s">
        <v>869</v>
      </c>
      <c r="K108" s="54" t="s">
        <v>931</v>
      </c>
      <c r="L108" s="54"/>
      <c r="M108" s="54" t="s">
        <v>932</v>
      </c>
      <c r="N108" s="54" t="s">
        <v>1266</v>
      </c>
    </row>
    <row r="109" spans="1:17" ht="70.5">
      <c r="A109" s="54" t="str">
        <f>IFERROR(VLOOKUP(D109,'Master sheet (Clientes)'!A$6:D$747,2,0)," ")</f>
        <v>NJ</v>
      </c>
      <c r="B109" s="54" t="str">
        <f>IFERROR(VLOOKUP(D109,'Master sheet (Clientes)'!A$6:D$747,3,0)," ")</f>
        <v>C/O Realty</v>
      </c>
      <c r="C109" s="54" t="str">
        <f>IFERROR(VLOOKUP(D109,'Master sheet (Clientes)'!A$6:D$747,4,0)," ")</f>
        <v>N-O</v>
      </c>
      <c r="D109" s="54" t="s">
        <v>226</v>
      </c>
      <c r="E109" s="54"/>
      <c r="F109" s="54"/>
      <c r="G109" s="54"/>
      <c r="H109" s="54" t="s">
        <v>1005</v>
      </c>
      <c r="I109" s="54" t="s">
        <v>1006</v>
      </c>
      <c r="J109" s="54" t="s">
        <v>869</v>
      </c>
      <c r="K109" s="54" t="s">
        <v>1007</v>
      </c>
      <c r="L109" s="54"/>
      <c r="M109" s="54"/>
      <c r="N109" s="54" t="s">
        <v>1266</v>
      </c>
    </row>
    <row r="110" spans="1:17" ht="70.5">
      <c r="A110" s="54" t="str">
        <f>IFERROR(VLOOKUP(D110,'Master sheet (Clientes)'!A$6:D$747,2,0)," ")</f>
        <v>NJ</v>
      </c>
      <c r="B110" s="54" t="str">
        <f>IFERROR(VLOOKUP(D110,'Master sheet (Clientes)'!A$6:D$747,3,0)," ")</f>
        <v>C/O Realty</v>
      </c>
      <c r="C110" s="54" t="str">
        <f>IFERROR(VLOOKUP(D110,'Master sheet (Clientes)'!A$6:D$747,4,0)," ")</f>
        <v>N-O</v>
      </c>
      <c r="D110" s="54" t="s">
        <v>217</v>
      </c>
      <c r="E110" s="54">
        <v>1409</v>
      </c>
      <c r="F110" s="54" t="s">
        <v>854</v>
      </c>
      <c r="G110" s="54" t="s">
        <v>853</v>
      </c>
      <c r="H110" s="54" t="s">
        <v>1364</v>
      </c>
      <c r="I110" s="54" t="s">
        <v>1575</v>
      </c>
      <c r="J110" s="54" t="s">
        <v>869</v>
      </c>
      <c r="K110" s="54" t="s">
        <v>943</v>
      </c>
      <c r="L110" s="54"/>
      <c r="M110" s="54"/>
      <c r="N110" s="54" t="s">
        <v>1266</v>
      </c>
    </row>
    <row r="111" spans="1:17" ht="70.5">
      <c r="A111" s="54" t="str">
        <f>IFERROR(VLOOKUP(D111,'Master sheet (Clientes)'!A$6:D$747,2,0)," ")</f>
        <v>NJ</v>
      </c>
      <c r="B111" s="54" t="str">
        <f>IFERROR(VLOOKUP(D111,'Master sheet (Clientes)'!A$6:D$747,3,0)," ")</f>
        <v>C/O Realty</v>
      </c>
      <c r="C111" s="54" t="str">
        <f>IFERROR(VLOOKUP(D111,'Master sheet (Clientes)'!A$6:D$747,4,0)," ")</f>
        <v>N-O</v>
      </c>
      <c r="D111" s="54" t="s">
        <v>217</v>
      </c>
      <c r="E111" s="54">
        <v>2504</v>
      </c>
      <c r="F111" s="54"/>
      <c r="G111" s="54"/>
      <c r="H111" s="54" t="s">
        <v>1365</v>
      </c>
      <c r="I111" s="54" t="s">
        <v>1576</v>
      </c>
      <c r="J111" s="54" t="s">
        <v>869</v>
      </c>
      <c r="K111" s="54" t="s">
        <v>1080</v>
      </c>
      <c r="L111" s="54"/>
      <c r="M111" s="54"/>
      <c r="N111" s="54" t="s">
        <v>1266</v>
      </c>
    </row>
    <row r="112" spans="1:17" ht="94">
      <c r="A112" s="54" t="str">
        <f>IFERROR(VLOOKUP(D112,'Master sheet (Clientes)'!A$6:D$747,2,0)," ")</f>
        <v>NJ</v>
      </c>
      <c r="B112" s="54" t="str">
        <f>IFERROR(VLOOKUP(D112,'Master sheet (Clientes)'!A$6:D$747,3,0)," ")</f>
        <v>C/O Realty</v>
      </c>
      <c r="C112" s="54" t="str">
        <f>IFERROR(VLOOKUP(D112,'Master sheet (Clientes)'!A$6:D$747,4,0)," ")</f>
        <v>N-O</v>
      </c>
      <c r="D112" s="54" t="s">
        <v>208</v>
      </c>
      <c r="E112" s="54">
        <v>2305</v>
      </c>
      <c r="F112" s="54"/>
      <c r="G112" s="54" t="s">
        <v>853</v>
      </c>
      <c r="H112" s="54" t="s">
        <v>1366</v>
      </c>
      <c r="I112" s="54" t="s">
        <v>1577</v>
      </c>
      <c r="J112" s="54" t="s">
        <v>869</v>
      </c>
      <c r="K112" s="54" t="s">
        <v>1236</v>
      </c>
      <c r="L112" s="54"/>
      <c r="M112" s="54"/>
      <c r="N112" s="54" t="s">
        <v>1268</v>
      </c>
    </row>
    <row r="113" spans="1:14" ht="94">
      <c r="A113" s="54" t="str">
        <f>IFERROR(VLOOKUP(D113,'Master sheet (Clientes)'!A$6:D$747,2,0)," ")</f>
        <v>NJ</v>
      </c>
      <c r="B113" s="54" t="str">
        <f>IFERROR(VLOOKUP(D113,'Master sheet (Clientes)'!A$6:D$747,3,0)," ")</f>
        <v>C/O Realty</v>
      </c>
      <c r="C113" s="54" t="str">
        <f>IFERROR(VLOOKUP(D113,'Master sheet (Clientes)'!A$6:D$747,4,0)," ")</f>
        <v>N-O</v>
      </c>
      <c r="D113" s="54" t="s">
        <v>208</v>
      </c>
      <c r="E113" s="54">
        <v>231</v>
      </c>
      <c r="F113" s="54"/>
      <c r="G113" s="54" t="s">
        <v>853</v>
      </c>
      <c r="H113" s="54" t="s">
        <v>1366</v>
      </c>
      <c r="I113" s="54" t="s">
        <v>1578</v>
      </c>
      <c r="J113" s="54" t="s">
        <v>869</v>
      </c>
      <c r="K113" s="54" t="s">
        <v>1237</v>
      </c>
      <c r="L113" s="54"/>
      <c r="M113" s="54"/>
      <c r="N113" s="54" t="s">
        <v>1268</v>
      </c>
    </row>
    <row r="114" spans="1:14" ht="117.5">
      <c r="A114" s="54" t="str">
        <f>IFERROR(VLOOKUP(D114,'Master sheet (Clientes)'!A$6:D$747,2,0)," ")</f>
        <v>NJ</v>
      </c>
      <c r="B114" s="54" t="str">
        <f>IFERROR(VLOOKUP(D114,'Master sheet (Clientes)'!A$6:D$747,3,0)," ")</f>
        <v>C/O Realty</v>
      </c>
      <c r="C114" s="54" t="str">
        <f>IFERROR(VLOOKUP(D114,'Master sheet (Clientes)'!A$6:D$747,4,0)," ")</f>
        <v>N-O</v>
      </c>
      <c r="D114" s="54" t="s">
        <v>208</v>
      </c>
      <c r="E114" s="54" t="s">
        <v>1317</v>
      </c>
      <c r="F114" s="54"/>
      <c r="G114" s="54"/>
      <c r="H114" s="54" t="s">
        <v>1318</v>
      </c>
      <c r="I114" s="54" t="s">
        <v>1493</v>
      </c>
      <c r="J114" s="54" t="s">
        <v>869</v>
      </c>
      <c r="K114" s="54" t="s">
        <v>1319</v>
      </c>
      <c r="L114" s="54"/>
      <c r="M114" s="54" t="s">
        <v>1320</v>
      </c>
      <c r="N114" s="54" t="s">
        <v>1266</v>
      </c>
    </row>
    <row r="115" spans="1:14">
      <c r="A115" s="1"/>
      <c r="B115" s="1"/>
      <c r="C115" s="1"/>
      <c r="D115" s="1"/>
      <c r="E115" s="1"/>
      <c r="F115" s="1"/>
      <c r="G115" s="1"/>
      <c r="H115" s="1"/>
      <c r="I115" s="1"/>
      <c r="J115" s="1"/>
      <c r="K115" s="1"/>
      <c r="L115" s="1"/>
      <c r="M115" s="1"/>
      <c r="N115" s="1"/>
    </row>
    <row r="116" spans="1:14" s="1" customFormat="1" ht="47">
      <c r="A116" s="4" t="s">
        <v>8</v>
      </c>
      <c r="B116" s="4" t="s">
        <v>9</v>
      </c>
      <c r="C116" s="4" t="s">
        <v>10</v>
      </c>
      <c r="D116" s="4" t="s">
        <v>11</v>
      </c>
      <c r="E116" s="4" t="s">
        <v>12</v>
      </c>
      <c r="F116" s="4" t="s">
        <v>13</v>
      </c>
      <c r="G116" s="38" t="s">
        <v>14</v>
      </c>
      <c r="H116" s="4" t="s">
        <v>15</v>
      </c>
      <c r="I116" s="38" t="s">
        <v>16</v>
      </c>
      <c r="J116" s="38" t="s">
        <v>17</v>
      </c>
      <c r="K116" s="38" t="s">
        <v>18</v>
      </c>
      <c r="L116" s="38" t="s">
        <v>19</v>
      </c>
      <c r="M116" s="38" t="s">
        <v>20</v>
      </c>
      <c r="N116" s="38" t="s">
        <v>21</v>
      </c>
    </row>
    <row r="117" spans="1:14" ht="70.5">
      <c r="A117" s="54" t="str">
        <f>IFERROR(VLOOKUP(D117,'Master sheet (Clientes)'!A$6:D$747,2,0)," ")</f>
        <v>NJ</v>
      </c>
      <c r="B117" s="54" t="str">
        <f>IFERROR(VLOOKUP(D117,'Master sheet (Clientes)'!A$6:D$747,3,0)," ")</f>
        <v>C/O Realty</v>
      </c>
      <c r="C117" s="54" t="str">
        <f>IFERROR(VLOOKUP(D117,'Master sheet (Clientes)'!A$6:D$747,4,0)," ")</f>
        <v>N-O</v>
      </c>
      <c r="D117" s="54" t="s">
        <v>217</v>
      </c>
      <c r="E117" s="54">
        <v>1907</v>
      </c>
      <c r="F117" s="54" t="s">
        <v>45</v>
      </c>
      <c r="G117" s="54" t="s">
        <v>853</v>
      </c>
      <c r="H117" s="54" t="s">
        <v>872</v>
      </c>
      <c r="I117" s="54" t="s">
        <v>873</v>
      </c>
      <c r="J117" s="54" t="s">
        <v>869</v>
      </c>
      <c r="K117" s="54" t="s">
        <v>870</v>
      </c>
      <c r="L117" s="54"/>
      <c r="M117" s="54"/>
      <c r="N117" s="54" t="s">
        <v>1268</v>
      </c>
    </row>
    <row r="118" spans="1:14" ht="70.5">
      <c r="A118" s="54" t="str">
        <f>IFERROR(VLOOKUP(D118,'Master sheet (Clientes)'!A$6:D$747,2,0)," ")</f>
        <v>NJ</v>
      </c>
      <c r="B118" s="54" t="str">
        <f>IFERROR(VLOOKUP(D118,'Master sheet (Clientes)'!A$6:D$747,3,0)," ")</f>
        <v>C/O Realty</v>
      </c>
      <c r="C118" s="54" t="str">
        <f>IFERROR(VLOOKUP(D118,'Master sheet (Clientes)'!A$6:D$747,4,0)," ")</f>
        <v>N-O</v>
      </c>
      <c r="D118" s="54" t="s">
        <v>209</v>
      </c>
      <c r="E118" s="54">
        <v>2707</v>
      </c>
      <c r="F118" s="54" t="s">
        <v>45</v>
      </c>
      <c r="G118" s="54" t="s">
        <v>853</v>
      </c>
      <c r="H118" s="54" t="s">
        <v>1602</v>
      </c>
      <c r="I118" s="54" t="s">
        <v>873</v>
      </c>
      <c r="J118" s="54" t="s">
        <v>869</v>
      </c>
      <c r="K118" s="54" t="s">
        <v>1601</v>
      </c>
      <c r="L118" s="54"/>
      <c r="M118" s="54"/>
      <c r="N118" s="54" t="s">
        <v>1268</v>
      </c>
    </row>
    <row r="119" spans="1:14">
      <c r="A119" s="1"/>
      <c r="B119" s="1"/>
      <c r="C119" s="1"/>
      <c r="D119" s="1"/>
      <c r="E119" s="1"/>
      <c r="F119" s="1"/>
      <c r="G119" s="1"/>
      <c r="H119" s="1"/>
      <c r="I119" s="1"/>
      <c r="J119" s="1"/>
      <c r="K119" s="1"/>
      <c r="L119" s="1"/>
      <c r="M119" s="1"/>
      <c r="N119" s="1"/>
    </row>
    <row r="120" spans="1:14" s="1" customFormat="1" ht="47">
      <c r="A120" s="4" t="s">
        <v>8</v>
      </c>
      <c r="B120" s="4" t="s">
        <v>9</v>
      </c>
      <c r="C120" s="4" t="s">
        <v>10</v>
      </c>
      <c r="D120" s="4" t="s">
        <v>11</v>
      </c>
      <c r="E120" s="4" t="s">
        <v>12</v>
      </c>
      <c r="F120" s="4" t="s">
        <v>13</v>
      </c>
      <c r="G120" s="38" t="s">
        <v>14</v>
      </c>
      <c r="H120" s="4" t="s">
        <v>15</v>
      </c>
      <c r="I120" s="38" t="s">
        <v>16</v>
      </c>
      <c r="J120" s="38" t="s">
        <v>17</v>
      </c>
      <c r="K120" s="38" t="s">
        <v>18</v>
      </c>
      <c r="L120" s="38" t="s">
        <v>19</v>
      </c>
      <c r="M120" s="38" t="s">
        <v>20</v>
      </c>
      <c r="N120" s="38" t="s">
        <v>21</v>
      </c>
    </row>
    <row r="121" spans="1:14" ht="70.5">
      <c r="A121" s="54" t="str">
        <f>IFERROR(VLOOKUP(D121,'Master sheet (Clientes)'!A$6:D$747,2,0)," ")</f>
        <v>NJ</v>
      </c>
      <c r="B121" s="54" t="str">
        <f>IFERROR(VLOOKUP(D121,'Master sheet (Clientes)'!A$6:D$747,3,0)," ")</f>
        <v>C/O Realty</v>
      </c>
      <c r="C121" s="54" t="str">
        <f>IFERROR(VLOOKUP(D121,'Master sheet (Clientes)'!A$6:D$747,4,0)," ")</f>
        <v>N-O</v>
      </c>
      <c r="D121" s="54" t="s">
        <v>211</v>
      </c>
      <c r="E121" s="54">
        <v>211</v>
      </c>
      <c r="F121" s="54"/>
      <c r="G121" s="54" t="s">
        <v>837</v>
      </c>
      <c r="H121" s="54" t="s">
        <v>989</v>
      </c>
      <c r="I121" s="54" t="s">
        <v>987</v>
      </c>
      <c r="J121" s="54" t="s">
        <v>869</v>
      </c>
      <c r="K121" s="54" t="s">
        <v>988</v>
      </c>
      <c r="L121" s="54"/>
      <c r="M121" s="54"/>
      <c r="N121" s="54" t="s">
        <v>1268</v>
      </c>
    </row>
    <row r="122" spans="1:14" ht="141">
      <c r="A122" s="54" t="str">
        <f>IFERROR(VLOOKUP(D122,'Master sheet (Clientes)'!A$6:D$747,2,0)," ")</f>
        <v>NJ</v>
      </c>
      <c r="B122" s="54" t="str">
        <f>IFERROR(VLOOKUP(D122,'Master sheet (Clientes)'!A$6:D$747,3,0)," ")</f>
        <v>C/O Realty</v>
      </c>
      <c r="C122" s="54" t="str">
        <f>IFERROR(VLOOKUP(D122,'Master sheet (Clientes)'!A$6:D$747,4,0)," ")</f>
        <v>N-O</v>
      </c>
      <c r="D122" s="54" t="s">
        <v>226</v>
      </c>
      <c r="E122" s="54">
        <v>2409</v>
      </c>
      <c r="F122" s="54" t="s">
        <v>854</v>
      </c>
      <c r="G122" s="54" t="s">
        <v>853</v>
      </c>
      <c r="H122" s="54" t="s">
        <v>1367</v>
      </c>
      <c r="I122" s="54" t="s">
        <v>987</v>
      </c>
      <c r="J122" s="54" t="s">
        <v>869</v>
      </c>
      <c r="K122" s="54" t="s">
        <v>1249</v>
      </c>
      <c r="L122" s="54"/>
      <c r="M122" s="54" t="s">
        <v>1475</v>
      </c>
      <c r="N122" s="54" t="s">
        <v>1268</v>
      </c>
    </row>
    <row r="123" spans="1:14" ht="94">
      <c r="A123" s="54" t="str">
        <f>IFERROR(VLOOKUP(D123,'Master sheet (Clientes)'!A$6:D$747,2,0)," ")</f>
        <v>NJ</v>
      </c>
      <c r="B123" s="54" t="str">
        <f>IFERROR(VLOOKUP(D123,'Master sheet (Clientes)'!A$6:D$747,3,0)," ")</f>
        <v>C/O Realty</v>
      </c>
      <c r="C123" s="54" t="str">
        <f>IFERROR(VLOOKUP(D123,'Master sheet (Clientes)'!A$6:D$747,4,0)," ")</f>
        <v>N-O</v>
      </c>
      <c r="D123" s="54" t="s">
        <v>211</v>
      </c>
      <c r="E123" s="54">
        <v>3202</v>
      </c>
      <c r="F123" s="54" t="str">
        <f>IFERROR(VLOOKUP(H123,'Master sheet (Clientes)'!E$6:H$747,3,0)," ")</f>
        <v xml:space="preserve"> </v>
      </c>
      <c r="G123" s="54" t="str">
        <f>IFERROR(VLOOKUP(H123,'Master sheet (Clientes)'!E$6:H$747,4,0)," ")</f>
        <v xml:space="preserve"> </v>
      </c>
      <c r="H123" s="54" t="s">
        <v>1478</v>
      </c>
      <c r="I123" s="54" t="s">
        <v>987</v>
      </c>
      <c r="J123" s="54" t="s">
        <v>869</v>
      </c>
      <c r="K123" s="54" t="s">
        <v>1479</v>
      </c>
      <c r="L123" s="54"/>
      <c r="M123" s="54"/>
      <c r="N123" s="54" t="s">
        <v>1266</v>
      </c>
    </row>
    <row r="124" spans="1:14">
      <c r="A124" s="1"/>
      <c r="B124" s="1"/>
      <c r="C124" s="1"/>
      <c r="D124" s="1"/>
      <c r="E124" s="1"/>
      <c r="F124" s="1"/>
      <c r="G124" s="1"/>
      <c r="H124" s="1"/>
      <c r="I124" s="1"/>
      <c r="J124" s="1"/>
      <c r="K124" s="1"/>
      <c r="L124" s="1"/>
      <c r="M124" s="1"/>
      <c r="N124" s="1"/>
    </row>
    <row r="125" spans="1:14" s="1" customFormat="1" ht="47">
      <c r="A125" s="4" t="s">
        <v>8</v>
      </c>
      <c r="B125" s="4" t="s">
        <v>9</v>
      </c>
      <c r="C125" s="4" t="s">
        <v>10</v>
      </c>
      <c r="D125" s="4" t="s">
        <v>11</v>
      </c>
      <c r="E125" s="4" t="s">
        <v>12</v>
      </c>
      <c r="F125" s="4" t="s">
        <v>13</v>
      </c>
      <c r="G125" s="38" t="s">
        <v>14</v>
      </c>
      <c r="H125" s="4" t="s">
        <v>15</v>
      </c>
      <c r="I125" s="38" t="s">
        <v>16</v>
      </c>
      <c r="J125" s="38" t="s">
        <v>17</v>
      </c>
      <c r="K125" s="38" t="s">
        <v>18</v>
      </c>
      <c r="L125" s="38" t="s">
        <v>19</v>
      </c>
      <c r="M125" s="38" t="s">
        <v>20</v>
      </c>
      <c r="N125" s="38" t="s">
        <v>21</v>
      </c>
    </row>
    <row r="126" spans="1:14" ht="70.5">
      <c r="A126" s="54" t="str">
        <f>IFERROR(VLOOKUP(D126,'Master sheet (Clientes)'!A$6:D$747,2,0)," ")</f>
        <v>NJ</v>
      </c>
      <c r="B126" s="54" t="str">
        <f>IFERROR(VLOOKUP(D126,'Master sheet (Clientes)'!A$6:D$747,3,0)," ")</f>
        <v>C/O Realty</v>
      </c>
      <c r="C126" s="54" t="str">
        <f>IFERROR(VLOOKUP(D126,'Master sheet (Clientes)'!A$6:D$747,4,0)," ")</f>
        <v>N-O</v>
      </c>
      <c r="D126" s="54" t="s">
        <v>228</v>
      </c>
      <c r="E126" s="54">
        <v>1801</v>
      </c>
      <c r="F126" s="54" t="s">
        <v>854</v>
      </c>
      <c r="G126" s="54" t="s">
        <v>853</v>
      </c>
      <c r="H126" s="54" t="s">
        <v>1045</v>
      </c>
      <c r="I126" s="54" t="s">
        <v>901</v>
      </c>
      <c r="J126" s="54" t="s">
        <v>48</v>
      </c>
      <c r="K126" s="54"/>
      <c r="L126" s="54"/>
      <c r="M126" s="54"/>
      <c r="N126" s="54" t="s">
        <v>1268</v>
      </c>
    </row>
    <row r="127" spans="1:14" ht="70.5">
      <c r="A127" s="54" t="str">
        <f>IFERROR(VLOOKUP(D127,'Master sheet (Clientes)'!A$6:D$747,2,0)," ")</f>
        <v>NJ</v>
      </c>
      <c r="B127" s="54" t="str">
        <f>IFERROR(VLOOKUP(D127,'Master sheet (Clientes)'!A$6:D$747,3,0)," ")</f>
        <v>C/O Realty</v>
      </c>
      <c r="C127" s="54" t="str">
        <f>IFERROR(VLOOKUP(D127,'Master sheet (Clientes)'!A$6:D$747,4,0)," ")</f>
        <v>N-O</v>
      </c>
      <c r="D127" s="54" t="s">
        <v>219</v>
      </c>
      <c r="E127" s="54">
        <v>3402</v>
      </c>
      <c r="F127" s="54" t="s">
        <v>946</v>
      </c>
      <c r="G127" s="54" t="s">
        <v>853</v>
      </c>
      <c r="H127" s="54" t="s">
        <v>1045</v>
      </c>
      <c r="I127" s="54" t="s">
        <v>901</v>
      </c>
      <c r="J127" s="54" t="s">
        <v>48</v>
      </c>
      <c r="K127" s="54"/>
      <c r="L127" s="54"/>
      <c r="M127" s="54"/>
      <c r="N127" s="54" t="s">
        <v>1268</v>
      </c>
    </row>
    <row r="128" spans="1:14" ht="70.5">
      <c r="A128" s="54" t="str">
        <f>IFERROR(VLOOKUP(D128,'Master sheet (Clientes)'!A$6:D$747,2,0)," ")</f>
        <v>NJ</v>
      </c>
      <c r="B128" s="54" t="str">
        <f>IFERROR(VLOOKUP(D128,'Master sheet (Clientes)'!A$6:D$747,3,0)," ")</f>
        <v>C/O Realty</v>
      </c>
      <c r="C128" s="54" t="str">
        <f>IFERROR(VLOOKUP(D128,'Master sheet (Clientes)'!A$6:D$747,4,0)," ")</f>
        <v>N-O</v>
      </c>
      <c r="D128" s="54" t="s">
        <v>218</v>
      </c>
      <c r="E128" s="54">
        <v>2009</v>
      </c>
      <c r="F128" s="54" t="s">
        <v>946</v>
      </c>
      <c r="G128" s="54" t="s">
        <v>853</v>
      </c>
      <c r="H128" s="54" t="s">
        <v>1322</v>
      </c>
      <c r="I128" s="54" t="s">
        <v>901</v>
      </c>
      <c r="J128" s="54" t="s">
        <v>840</v>
      </c>
      <c r="K128" s="54"/>
      <c r="L128" s="54"/>
      <c r="M128" s="54"/>
      <c r="N128" s="54" t="s">
        <v>1268</v>
      </c>
    </row>
    <row r="129" spans="1:17" ht="47">
      <c r="A129" s="54" t="str">
        <f>IFERROR(VLOOKUP(D129,'Master sheet (Clientes)'!A$6:D$747,2,0)," ")</f>
        <v>NJ</v>
      </c>
      <c r="B129" s="54" t="str">
        <f>IFERROR(VLOOKUP(D129,'Master sheet (Clientes)'!A$6:D$747,3,0)," ")</f>
        <v>C/O Realty</v>
      </c>
      <c r="C129" s="54" t="str">
        <f>IFERROR(VLOOKUP(D129,'Master sheet (Clientes)'!A$6:D$747,4,0)," ")</f>
        <v>N-O</v>
      </c>
      <c r="D129" s="54" t="s">
        <v>215</v>
      </c>
      <c r="E129" s="54">
        <v>422</v>
      </c>
      <c r="F129" s="54" t="s">
        <v>854</v>
      </c>
      <c r="G129" s="54" t="s">
        <v>853</v>
      </c>
      <c r="H129" s="54" t="s">
        <v>1480</v>
      </c>
      <c r="I129" s="54" t="s">
        <v>901</v>
      </c>
      <c r="J129" s="54" t="s">
        <v>840</v>
      </c>
      <c r="K129" s="54"/>
      <c r="L129" s="54"/>
      <c r="M129" s="54"/>
      <c r="N129" s="54" t="s">
        <v>1268</v>
      </c>
    </row>
    <row r="130" spans="1:17" ht="70.5">
      <c r="A130" s="54" t="str">
        <f>IFERROR(VLOOKUP(D130,'Master sheet (Clientes)'!A$6:D$747,2,0)," ")</f>
        <v>NJ</v>
      </c>
      <c r="B130" s="54" t="str">
        <f>IFERROR(VLOOKUP(D130,'Master sheet (Clientes)'!A$6:D$747,3,0)," ")</f>
        <v>C/O Realty</v>
      </c>
      <c r="C130" s="54" t="str">
        <f>IFERROR(VLOOKUP(D130,'Master sheet (Clientes)'!A$6:D$747,4,0)," ")</f>
        <v>N-O</v>
      </c>
      <c r="D130" s="54" t="s">
        <v>219</v>
      </c>
      <c r="E130" s="54">
        <v>3301</v>
      </c>
      <c r="F130" s="54" t="s">
        <v>1279</v>
      </c>
      <c r="G130" s="54" t="s">
        <v>853</v>
      </c>
      <c r="H130" s="54" t="s">
        <v>1045</v>
      </c>
      <c r="I130" s="54" t="s">
        <v>901</v>
      </c>
      <c r="J130" s="54" t="s">
        <v>48</v>
      </c>
      <c r="K130" s="54"/>
      <c r="L130" s="54"/>
      <c r="M130" s="54"/>
      <c r="N130" s="54" t="s">
        <v>1268</v>
      </c>
    </row>
    <row r="131" spans="1:17" ht="70.5">
      <c r="A131" s="54" t="str">
        <f>IFERROR(VLOOKUP(D131,'Master sheet (Clientes)'!A$6:D$747,2,0)," ")</f>
        <v>NJ</v>
      </c>
      <c r="B131" s="54" t="str">
        <f>IFERROR(VLOOKUP(D131,'Master sheet (Clientes)'!A$6:D$747,3,0)," ")</f>
        <v>C/O Realty</v>
      </c>
      <c r="C131" s="54" t="str">
        <f>IFERROR(VLOOKUP(D131,'Master sheet (Clientes)'!A$6:D$747,4,0)," ")</f>
        <v>N-O</v>
      </c>
      <c r="D131" s="54" t="s">
        <v>219</v>
      </c>
      <c r="E131" s="54">
        <v>2206</v>
      </c>
      <c r="F131" s="54" t="s">
        <v>946</v>
      </c>
      <c r="G131" s="54" t="s">
        <v>853</v>
      </c>
      <c r="H131" s="54" t="s">
        <v>1368</v>
      </c>
      <c r="I131" s="54" t="s">
        <v>901</v>
      </c>
      <c r="J131" s="54" t="s">
        <v>48</v>
      </c>
      <c r="K131" s="54"/>
      <c r="L131" s="54"/>
      <c r="M131" s="54"/>
      <c r="N131" s="54" t="s">
        <v>1268</v>
      </c>
    </row>
    <row r="132" spans="1:17">
      <c r="A132" s="1"/>
      <c r="B132" s="1"/>
      <c r="C132" s="1"/>
      <c r="D132" s="1"/>
      <c r="E132" s="1"/>
      <c r="F132" s="1"/>
      <c r="G132" s="1"/>
      <c r="H132" s="1"/>
      <c r="I132" s="1"/>
      <c r="J132" s="1"/>
      <c r="K132" s="1"/>
      <c r="L132" s="1"/>
      <c r="M132" s="1"/>
      <c r="N132" s="1"/>
    </row>
    <row r="133" spans="1:17" s="1" customFormat="1" ht="47">
      <c r="A133" s="4" t="s">
        <v>8</v>
      </c>
      <c r="B133" s="4" t="s">
        <v>9</v>
      </c>
      <c r="C133" s="4" t="s">
        <v>10</v>
      </c>
      <c r="D133" s="4" t="s">
        <v>11</v>
      </c>
      <c r="E133" s="4" t="s">
        <v>12</v>
      </c>
      <c r="F133" s="4" t="s">
        <v>13</v>
      </c>
      <c r="G133" s="38" t="s">
        <v>14</v>
      </c>
      <c r="H133" s="4" t="s">
        <v>15</v>
      </c>
      <c r="I133" s="38" t="s">
        <v>16</v>
      </c>
      <c r="J133" s="38" t="s">
        <v>17</v>
      </c>
      <c r="K133" s="38" t="s">
        <v>18</v>
      </c>
      <c r="L133" s="38" t="s">
        <v>19</v>
      </c>
      <c r="M133" s="38" t="s">
        <v>20</v>
      </c>
      <c r="N133" s="38" t="s">
        <v>21</v>
      </c>
    </row>
    <row r="134" spans="1:17" s="94" customFormat="1" ht="70.5">
      <c r="A134" s="92" t="str">
        <f>IFERROR(VLOOKUP(D134,'Master sheet (Clientes)'!A$6:D$747,2,0)," ")</f>
        <v>NJ</v>
      </c>
      <c r="B134" s="92" t="str">
        <f>IFERROR(VLOOKUP(D134,'Master sheet (Clientes)'!A$6:D$747,3,0)," ")</f>
        <v>C/O Realty</v>
      </c>
      <c r="C134" s="92" t="str">
        <f>IFERROR(VLOOKUP(D134,'Master sheet (Clientes)'!A$6:D$747,4,0)," ")</f>
        <v>N-O</v>
      </c>
      <c r="D134" s="92" t="s">
        <v>214</v>
      </c>
      <c r="E134" s="92">
        <v>1804</v>
      </c>
      <c r="F134" s="92"/>
      <c r="G134" s="92" t="s">
        <v>917</v>
      </c>
      <c r="H134" s="92" t="s">
        <v>1039</v>
      </c>
      <c r="I134" s="92" t="s">
        <v>1041</v>
      </c>
      <c r="J134" s="92" t="s">
        <v>48</v>
      </c>
      <c r="K134" s="92" t="s">
        <v>1040</v>
      </c>
      <c r="L134" s="92"/>
      <c r="M134" s="92" t="s">
        <v>1402</v>
      </c>
      <c r="N134" s="92" t="s">
        <v>1139</v>
      </c>
      <c r="O134" s="93"/>
      <c r="P134" s="93"/>
      <c r="Q134" s="93"/>
    </row>
    <row r="135" spans="1:17">
      <c r="A135" s="1"/>
      <c r="B135" s="1"/>
      <c r="C135" s="1"/>
      <c r="D135" s="1"/>
      <c r="E135" s="1"/>
      <c r="F135" s="1"/>
      <c r="G135" s="1"/>
      <c r="H135" s="1"/>
      <c r="I135" s="1"/>
      <c r="J135" s="1"/>
      <c r="K135" s="1"/>
      <c r="L135" s="1"/>
      <c r="M135" s="1"/>
      <c r="N135" s="1"/>
    </row>
    <row r="136" spans="1:17" s="1" customFormat="1" ht="47">
      <c r="A136" s="4" t="s">
        <v>8</v>
      </c>
      <c r="B136" s="4" t="s">
        <v>9</v>
      </c>
      <c r="C136" s="4" t="s">
        <v>10</v>
      </c>
      <c r="D136" s="4" t="s">
        <v>11</v>
      </c>
      <c r="E136" s="4" t="s">
        <v>12</v>
      </c>
      <c r="F136" s="4" t="s">
        <v>13</v>
      </c>
      <c r="G136" s="38" t="s">
        <v>14</v>
      </c>
      <c r="H136" s="4" t="s">
        <v>15</v>
      </c>
      <c r="I136" s="38" t="s">
        <v>16</v>
      </c>
      <c r="J136" s="38" t="s">
        <v>17</v>
      </c>
      <c r="K136" s="38" t="s">
        <v>18</v>
      </c>
      <c r="L136" s="38" t="s">
        <v>19</v>
      </c>
      <c r="M136" s="38" t="s">
        <v>20</v>
      </c>
      <c r="N136" s="38" t="s">
        <v>21</v>
      </c>
    </row>
    <row r="137" spans="1:17" ht="70.5">
      <c r="A137" s="54" t="str">
        <f>IFERROR(VLOOKUP(D137,'Master sheet (Clientes)'!A$6:D$747,2,0)," ")</f>
        <v>NJ</v>
      </c>
      <c r="B137" s="54" t="str">
        <f>IFERROR(VLOOKUP(D137,'Master sheet (Clientes)'!A$6:D$747,3,0)," ")</f>
        <v>C/O Realty</v>
      </c>
      <c r="C137" s="54" t="str">
        <f>IFERROR(VLOOKUP(D137,'Master sheet (Clientes)'!A$6:D$747,4,0)," ")</f>
        <v>N-O</v>
      </c>
      <c r="D137" s="54" t="s">
        <v>208</v>
      </c>
      <c r="E137" s="54">
        <v>218</v>
      </c>
      <c r="F137" s="54"/>
      <c r="G137" s="54" t="s">
        <v>837</v>
      </c>
      <c r="H137" s="54" t="s">
        <v>882</v>
      </c>
      <c r="I137" s="54" t="s">
        <v>883</v>
      </c>
      <c r="J137" s="54" t="s">
        <v>840</v>
      </c>
      <c r="K137" s="54"/>
      <c r="L137" s="54"/>
      <c r="M137" s="54"/>
      <c r="N137" s="54" t="s">
        <v>1268</v>
      </c>
    </row>
    <row r="138" spans="1:17" ht="47">
      <c r="A138" s="54" t="str">
        <f>IFERROR(VLOOKUP(D138,'Master sheet (Clientes)'!A$6:D$747,2,0)," ")</f>
        <v>NJ</v>
      </c>
      <c r="B138" s="54" t="str">
        <f>IFERROR(VLOOKUP(D138,'Master sheet (Clientes)'!A$6:D$747,3,0)," ")</f>
        <v>C/O Realty</v>
      </c>
      <c r="C138" s="54" t="str">
        <f>IFERROR(VLOOKUP(D138,'Master sheet (Clientes)'!A$6:D$747,4,0)," ")</f>
        <v>N-O</v>
      </c>
      <c r="D138" s="54" t="s">
        <v>212</v>
      </c>
      <c r="E138" s="54">
        <v>1705</v>
      </c>
      <c r="F138" s="54" t="s">
        <v>854</v>
      </c>
      <c r="G138" s="54" t="s">
        <v>853</v>
      </c>
      <c r="H138" s="54" t="s">
        <v>953</v>
      </c>
      <c r="I138" s="54" t="s">
        <v>883</v>
      </c>
      <c r="J138" s="54" t="s">
        <v>869</v>
      </c>
      <c r="K138" s="54"/>
      <c r="L138" s="54"/>
      <c r="M138" s="54"/>
      <c r="N138" s="54" t="s">
        <v>1268</v>
      </c>
    </row>
    <row r="139" spans="1:17" ht="47">
      <c r="A139" s="54" t="str">
        <f>IFERROR(VLOOKUP(D139,'Master sheet (Clientes)'!A$6:D$747,2,0)," ")</f>
        <v>NJ</v>
      </c>
      <c r="B139" s="54" t="str">
        <f>IFERROR(VLOOKUP(D139,'Master sheet (Clientes)'!A$6:D$747,3,0)," ")</f>
        <v>C/O Realty</v>
      </c>
      <c r="C139" s="54" t="str">
        <f>IFERROR(VLOOKUP(D139,'Master sheet (Clientes)'!A$6:D$747,4,0)," ")</f>
        <v>N-O</v>
      </c>
      <c r="D139" s="88" t="s">
        <v>220</v>
      </c>
      <c r="E139" s="89">
        <v>2905</v>
      </c>
      <c r="F139" s="89" t="s">
        <v>854</v>
      </c>
      <c r="G139" s="89" t="s">
        <v>853</v>
      </c>
      <c r="H139" s="89" t="s">
        <v>957</v>
      </c>
      <c r="I139" s="54" t="s">
        <v>883</v>
      </c>
      <c r="J139" s="54" t="s">
        <v>869</v>
      </c>
      <c r="K139" s="54"/>
      <c r="L139" s="54"/>
      <c r="M139" s="54"/>
      <c r="N139" s="54" t="s">
        <v>1268</v>
      </c>
    </row>
    <row r="140" spans="1:17" ht="47">
      <c r="A140" s="54" t="str">
        <f>IFERROR(VLOOKUP(D140,'Master sheet (Clientes)'!A$6:D$747,2,0)," ")</f>
        <v>NJ</v>
      </c>
      <c r="B140" s="54" t="str">
        <f>IFERROR(VLOOKUP(D140,'Master sheet (Clientes)'!A$6:D$747,3,0)," ")</f>
        <v>C/O Realty</v>
      </c>
      <c r="C140" s="54" t="str">
        <f>IFERROR(VLOOKUP(D140,'Master sheet (Clientes)'!A$6:D$747,4,0)," ")</f>
        <v>N-O</v>
      </c>
      <c r="D140" s="54" t="s">
        <v>209</v>
      </c>
      <c r="E140" s="54">
        <v>1811</v>
      </c>
      <c r="F140" s="54"/>
      <c r="G140" s="54" t="s">
        <v>853</v>
      </c>
      <c r="H140" s="54" t="s">
        <v>1240</v>
      </c>
      <c r="I140" s="54" t="s">
        <v>883</v>
      </c>
      <c r="J140" s="54" t="s">
        <v>869</v>
      </c>
      <c r="K140" s="54"/>
      <c r="L140" s="54"/>
      <c r="M140" s="54"/>
      <c r="N140" s="54" t="s">
        <v>1268</v>
      </c>
    </row>
    <row r="141" spans="1:17" ht="70.5">
      <c r="A141" s="54" t="str">
        <f>IFERROR(VLOOKUP(D141,'Master sheet (Clientes)'!A$6:D$747,2,0)," ")</f>
        <v>NJ</v>
      </c>
      <c r="B141" s="54" t="str">
        <f>IFERROR(VLOOKUP(D141,'Master sheet (Clientes)'!A$6:D$747,3,0)," ")</f>
        <v>C/O Realty</v>
      </c>
      <c r="C141" s="54" t="str">
        <f>IFERROR(VLOOKUP(D141,'Master sheet (Clientes)'!A$6:D$747,4,0)," ")</f>
        <v>N-O</v>
      </c>
      <c r="D141" s="54" t="s">
        <v>219</v>
      </c>
      <c r="E141" s="54">
        <v>3402</v>
      </c>
      <c r="F141" s="54" t="s">
        <v>1277</v>
      </c>
      <c r="G141" s="54" t="s">
        <v>853</v>
      </c>
      <c r="H141" s="54" t="s">
        <v>1278</v>
      </c>
      <c r="I141" s="54" t="s">
        <v>883</v>
      </c>
      <c r="J141" s="54" t="s">
        <v>869</v>
      </c>
      <c r="K141" s="54"/>
      <c r="L141" s="54"/>
      <c r="M141" s="54"/>
      <c r="N141" s="54" t="s">
        <v>1268</v>
      </c>
    </row>
    <row r="142" spans="1:17" ht="70.5">
      <c r="A142" s="54" t="str">
        <f>IFERROR(VLOOKUP(D142,'Master sheet (Clientes)'!A$6:D$747,2,0)," ")</f>
        <v>NJ</v>
      </c>
      <c r="B142" s="54" t="str">
        <f>IFERROR(VLOOKUP(D142,'Master sheet (Clientes)'!A$6:D$747,3,0)," ")</f>
        <v>C/O Realty</v>
      </c>
      <c r="C142" s="54" t="str">
        <f>IFERROR(VLOOKUP(D142,'Master sheet (Clientes)'!A$6:D$747,4,0)," ")</f>
        <v>N-O</v>
      </c>
      <c r="D142" s="54" t="s">
        <v>219</v>
      </c>
      <c r="E142" s="54">
        <v>2206</v>
      </c>
      <c r="F142" s="54" t="s">
        <v>946</v>
      </c>
      <c r="G142" s="54" t="s">
        <v>853</v>
      </c>
      <c r="H142" s="54" t="s">
        <v>1369</v>
      </c>
      <c r="I142" s="54" t="s">
        <v>883</v>
      </c>
      <c r="J142" s="54" t="s">
        <v>48</v>
      </c>
      <c r="K142" s="54"/>
      <c r="L142" s="54"/>
      <c r="M142" s="54"/>
      <c r="N142" s="54" t="s">
        <v>1268</v>
      </c>
    </row>
    <row r="143" spans="1:17" ht="70.5">
      <c r="A143" s="54" t="str">
        <f>IFERROR(VLOOKUP(D143,'Master sheet (Clientes)'!A$6:D$747,2,0)," ")</f>
        <v>NJ</v>
      </c>
      <c r="B143" s="54" t="str">
        <f>IFERROR(VLOOKUP(D143,'Master sheet (Clientes)'!A$6:D$747,3,0)," ")</f>
        <v>C/O Realty</v>
      </c>
      <c r="C143" s="54" t="str">
        <f>IFERROR(VLOOKUP(D143,'Master sheet (Clientes)'!A$6:D$747,4,0)," ")</f>
        <v>N-O</v>
      </c>
      <c r="D143" s="54" t="s">
        <v>218</v>
      </c>
      <c r="E143" s="54">
        <v>2402</v>
      </c>
      <c r="F143" s="54" t="s">
        <v>946</v>
      </c>
      <c r="G143" s="54" t="s">
        <v>853</v>
      </c>
      <c r="H143" s="54" t="s">
        <v>1323</v>
      </c>
      <c r="I143" s="54" t="s">
        <v>883</v>
      </c>
      <c r="J143" s="54" t="s">
        <v>869</v>
      </c>
      <c r="K143" s="54"/>
      <c r="L143" s="54"/>
      <c r="M143" s="54"/>
      <c r="N143" s="54" t="s">
        <v>1268</v>
      </c>
    </row>
    <row r="144" spans="1:17" ht="70.5">
      <c r="A144" s="54" t="str">
        <f>IFERROR(VLOOKUP(D144,'Master sheet (Clientes)'!A$6:D$747,2,0)," ")</f>
        <v>NJ</v>
      </c>
      <c r="B144" s="54" t="str">
        <f>IFERROR(VLOOKUP(D144,'Master sheet (Clientes)'!A$6:D$747,3,0)," ")</f>
        <v>C/O Realty</v>
      </c>
      <c r="C144" s="54" t="str">
        <f>IFERROR(VLOOKUP(D144,'Master sheet (Clientes)'!A$6:D$747,4,0)," ")</f>
        <v>N-O</v>
      </c>
      <c r="D144" s="54" t="s">
        <v>218</v>
      </c>
      <c r="E144" s="54">
        <v>2009</v>
      </c>
      <c r="F144" s="54" t="s">
        <v>946</v>
      </c>
      <c r="G144" s="54" t="s">
        <v>853</v>
      </c>
      <c r="H144" s="54" t="s">
        <v>1323</v>
      </c>
      <c r="I144" s="54" t="s">
        <v>883</v>
      </c>
      <c r="J144" s="54" t="s">
        <v>869</v>
      </c>
      <c r="K144" s="54"/>
      <c r="L144" s="54"/>
      <c r="M144" s="54"/>
      <c r="N144" s="54" t="s">
        <v>1268</v>
      </c>
    </row>
    <row r="145" spans="1:20" ht="47">
      <c r="A145" s="54" t="str">
        <f>IFERROR(VLOOKUP(D145,'Master sheet (Clientes)'!A$6:D$747,2,0)," ")</f>
        <v>NJ</v>
      </c>
      <c r="B145" s="54" t="str">
        <f>IFERROR(VLOOKUP(D145,'Master sheet (Clientes)'!A$6:D$747,3,0)," ")</f>
        <v>C/O Realty</v>
      </c>
      <c r="C145" s="54" t="str">
        <f>IFERROR(VLOOKUP(D145,'Master sheet (Clientes)'!A$6:D$747,4,0)," ")</f>
        <v>N-O</v>
      </c>
      <c r="D145" s="54" t="s">
        <v>215</v>
      </c>
      <c r="E145" s="54">
        <v>422</v>
      </c>
      <c r="F145" s="54" t="s">
        <v>854</v>
      </c>
      <c r="G145" s="54" t="s">
        <v>853</v>
      </c>
      <c r="H145" s="54" t="s">
        <v>1481</v>
      </c>
      <c r="I145" s="54" t="s">
        <v>883</v>
      </c>
      <c r="J145" s="54" t="s">
        <v>869</v>
      </c>
      <c r="K145" s="54"/>
      <c r="L145" s="54"/>
      <c r="M145" s="54"/>
      <c r="N145" s="54" t="s">
        <v>1268</v>
      </c>
    </row>
    <row r="146" spans="1:20" ht="47">
      <c r="A146" s="54" t="str">
        <f>IFERROR(VLOOKUP(D146,'Master sheet (Clientes)'!A$6:D$747,2,0)," ")</f>
        <v>NJ</v>
      </c>
      <c r="B146" s="54" t="str">
        <f>IFERROR(VLOOKUP(D146,'Master sheet (Clientes)'!A$6:D$747,3,0)," ")</f>
        <v>C/O Realty</v>
      </c>
      <c r="C146" s="54" t="str">
        <f>IFERROR(VLOOKUP(D146,'Master sheet (Clientes)'!A$6:D$747,4,0)," ")</f>
        <v>N-O</v>
      </c>
      <c r="D146" s="54" t="s">
        <v>212</v>
      </c>
      <c r="E146" s="54">
        <v>1511</v>
      </c>
      <c r="F146" s="54"/>
      <c r="G146" s="54" t="s">
        <v>853</v>
      </c>
      <c r="H146" s="54" t="s">
        <v>1321</v>
      </c>
      <c r="I146" s="54" t="s">
        <v>883</v>
      </c>
      <c r="J146" s="54" t="s">
        <v>48</v>
      </c>
      <c r="K146" s="54"/>
      <c r="L146" s="54"/>
      <c r="M146" s="54"/>
      <c r="N146" s="54" t="s">
        <v>1268</v>
      </c>
    </row>
    <row r="147" spans="1:20">
      <c r="A147" s="104"/>
      <c r="B147" s="104"/>
      <c r="C147" s="104"/>
      <c r="D147" s="104"/>
      <c r="E147" s="104"/>
      <c r="F147" s="104"/>
      <c r="G147" s="104"/>
      <c r="H147" s="104"/>
      <c r="I147" s="104"/>
      <c r="J147" s="105"/>
      <c r="K147" s="105"/>
      <c r="L147" s="105"/>
      <c r="M147" s="104"/>
      <c r="N147" s="105"/>
      <c r="O147" s="103"/>
      <c r="P147" s="103"/>
      <c r="Q147" s="103"/>
      <c r="R147" s="104"/>
      <c r="S147" s="104"/>
      <c r="T147" s="104"/>
    </row>
    <row r="148" spans="1:20" s="103" customFormat="1" ht="47">
      <c r="A148" s="106" t="s">
        <v>8</v>
      </c>
      <c r="B148" s="106" t="s">
        <v>9</v>
      </c>
      <c r="C148" s="106" t="s">
        <v>10</v>
      </c>
      <c r="D148" s="106" t="s">
        <v>11</v>
      </c>
      <c r="E148" s="106" t="s">
        <v>12</v>
      </c>
      <c r="F148" s="106" t="s">
        <v>13</v>
      </c>
      <c r="G148" s="107" t="s">
        <v>14</v>
      </c>
      <c r="H148" s="106" t="s">
        <v>15</v>
      </c>
      <c r="I148" s="107" t="s">
        <v>16</v>
      </c>
      <c r="J148" s="107" t="s">
        <v>17</v>
      </c>
      <c r="K148" s="107" t="s">
        <v>18</v>
      </c>
      <c r="L148" s="107" t="s">
        <v>19</v>
      </c>
      <c r="M148" s="107" t="s">
        <v>20</v>
      </c>
      <c r="N148" s="107" t="s">
        <v>21</v>
      </c>
    </row>
    <row r="149" spans="1:20" ht="70.5">
      <c r="A149" s="108" t="str">
        <f>IFERROR(VLOOKUP(D149,'Master sheet (Clientes)'!A$6:D$747,2,0)," ")</f>
        <v>NJ</v>
      </c>
      <c r="B149" s="108" t="str">
        <f>IFERROR(VLOOKUP(D149,'Master sheet (Clientes)'!A$6:D$747,3,0)," ")</f>
        <v xml:space="preserve">BuildCare </v>
      </c>
      <c r="C149" s="108" t="str">
        <f>IFERROR(VLOOKUP(D149,'Master sheet (Clientes)'!A$6:D$747,4,0)," ")</f>
        <v>N/A</v>
      </c>
      <c r="D149" s="108" t="s">
        <v>198</v>
      </c>
      <c r="E149" s="108"/>
      <c r="F149" s="108"/>
      <c r="G149" s="108"/>
      <c r="H149" s="108" t="s">
        <v>1386</v>
      </c>
      <c r="I149" s="108" t="s">
        <v>1067</v>
      </c>
      <c r="J149" s="108" t="s">
        <v>991</v>
      </c>
      <c r="K149" s="108"/>
      <c r="L149" s="108"/>
      <c r="M149" s="108" t="s">
        <v>1387</v>
      </c>
      <c r="N149" s="54" t="s">
        <v>1269</v>
      </c>
      <c r="O149" s="103"/>
      <c r="P149" s="103"/>
      <c r="Q149" s="103"/>
      <c r="R149" s="104"/>
      <c r="S149" s="104"/>
      <c r="T149" s="104"/>
    </row>
    <row r="150" spans="1:20">
      <c r="A150" s="1"/>
      <c r="B150" s="1"/>
      <c r="C150" s="1"/>
      <c r="D150" s="1"/>
      <c r="E150" s="1"/>
      <c r="F150" s="1"/>
      <c r="G150" s="1"/>
      <c r="H150" s="1"/>
      <c r="I150" s="1"/>
      <c r="K150" s="1"/>
      <c r="L150" s="1"/>
      <c r="M150" s="1"/>
      <c r="N150" s="1"/>
    </row>
    <row r="151" spans="1:20" ht="26">
      <c r="A151" s="33"/>
      <c r="B151" s="33"/>
      <c r="C151" s="33"/>
      <c r="D151" s="127" t="s">
        <v>28</v>
      </c>
      <c r="E151" s="127"/>
      <c r="F151" s="127"/>
      <c r="G151" s="127"/>
      <c r="H151" s="127"/>
      <c r="I151" s="127"/>
      <c r="J151" s="127"/>
      <c r="K151" s="127"/>
      <c r="L151" s="127"/>
      <c r="M151" s="16"/>
      <c r="N151" s="16"/>
    </row>
    <row r="152" spans="1:20" s="5" customFormat="1" ht="26">
      <c r="A152" s="43"/>
      <c r="B152" s="43"/>
      <c r="C152" s="43"/>
      <c r="D152" s="128" t="s">
        <v>29</v>
      </c>
      <c r="E152" s="128"/>
      <c r="F152" s="128"/>
      <c r="G152" s="128"/>
      <c r="H152" s="128"/>
      <c r="I152" s="128"/>
      <c r="J152" s="128"/>
      <c r="K152" s="128"/>
      <c r="L152" s="128"/>
      <c r="M152" s="44"/>
      <c r="N152" s="44"/>
      <c r="O152" s="35"/>
      <c r="P152" s="35"/>
      <c r="Q152" s="35"/>
    </row>
    <row r="153" spans="1:20">
      <c r="A153" s="3"/>
      <c r="B153" s="3"/>
      <c r="C153" s="3"/>
      <c r="D153" s="3"/>
      <c r="E153" s="3"/>
      <c r="F153" s="3"/>
      <c r="G153" s="3"/>
      <c r="H153" s="3"/>
      <c r="I153" s="3"/>
      <c r="K153" s="1"/>
      <c r="L153" s="1"/>
      <c r="M153" s="1"/>
      <c r="N153" s="1"/>
    </row>
    <row r="154" spans="1:20" s="1" customFormat="1" ht="47">
      <c r="A154" s="4" t="s">
        <v>8</v>
      </c>
      <c r="B154" s="4" t="s">
        <v>9</v>
      </c>
      <c r="C154" s="4" t="s">
        <v>10</v>
      </c>
      <c r="D154" s="4" t="s">
        <v>11</v>
      </c>
      <c r="E154" s="4" t="s">
        <v>12</v>
      </c>
      <c r="F154" s="4" t="s">
        <v>13</v>
      </c>
      <c r="G154" s="38" t="s">
        <v>14</v>
      </c>
      <c r="H154" s="4" t="s">
        <v>15</v>
      </c>
      <c r="I154" s="38" t="s">
        <v>16</v>
      </c>
      <c r="J154" s="38" t="s">
        <v>17</v>
      </c>
      <c r="K154" s="38" t="s">
        <v>18</v>
      </c>
      <c r="L154" s="38" t="s">
        <v>19</v>
      </c>
      <c r="M154" s="38" t="s">
        <v>20</v>
      </c>
      <c r="N154" s="38" t="s">
        <v>21</v>
      </c>
    </row>
    <row r="155" spans="1:20" ht="94">
      <c r="A155" s="54" t="str">
        <f>IFERROR(VLOOKUP(D155,'Master sheet (Clientes)'!A$6:D$747,2,0)," ")</f>
        <v>NJ</v>
      </c>
      <c r="B155" s="54" t="str">
        <f>IFERROR(VLOOKUP(D155,'Master sheet (Clientes)'!A$6:D$747,3,0)," ")</f>
        <v xml:space="preserve">KRE Group Management </v>
      </c>
      <c r="C155" s="54" t="str">
        <f>IFERROR(VLOOKUP(D155,'Master sheet (Clientes)'!A$6:D$747,4,0)," ")</f>
        <v>A-V</v>
      </c>
      <c r="D155" s="54" t="s">
        <v>383</v>
      </c>
      <c r="E155" s="54"/>
      <c r="F155" s="54"/>
      <c r="G155" s="54"/>
      <c r="H155" s="54" t="s">
        <v>1013</v>
      </c>
      <c r="I155" s="54" t="s">
        <v>1014</v>
      </c>
      <c r="J155" s="54" t="s">
        <v>48</v>
      </c>
      <c r="K155" s="54"/>
      <c r="L155" s="54"/>
      <c r="M155" s="54"/>
      <c r="N155" s="54" t="s">
        <v>1266</v>
      </c>
    </row>
    <row r="156" spans="1:20" ht="70.5">
      <c r="A156" s="54" t="str">
        <f>IFERROR(VLOOKUP(D156,'Master sheet (Clientes)'!A$6:D$747,2,0)," ")</f>
        <v>NJ</v>
      </c>
      <c r="B156" s="54" t="str">
        <f>IFERROR(VLOOKUP(D156,'Master sheet (Clientes)'!A$6:D$747,3,0)," ")</f>
        <v>Greystar</v>
      </c>
      <c r="C156" s="54" t="str">
        <f>IFERROR(VLOOKUP(D156,'Master sheet (Clientes)'!A$6:D$747,4,0)," ")</f>
        <v>A-V</v>
      </c>
      <c r="D156" s="54" t="s">
        <v>350</v>
      </c>
      <c r="E156" s="54">
        <v>114</v>
      </c>
      <c r="F156" s="54" t="s">
        <v>864</v>
      </c>
      <c r="G156" s="54" t="s">
        <v>853</v>
      </c>
      <c r="H156" s="54" t="s">
        <v>1089</v>
      </c>
      <c r="I156" s="54" t="s">
        <v>1375</v>
      </c>
      <c r="J156" s="54" t="s">
        <v>48</v>
      </c>
      <c r="K156" s="54"/>
      <c r="L156" s="54"/>
      <c r="M156" s="54" t="s">
        <v>966</v>
      </c>
      <c r="N156" s="54" t="s">
        <v>1265</v>
      </c>
    </row>
    <row r="157" spans="1:20" ht="70.5">
      <c r="A157" s="54" t="str">
        <f>IFERROR(VLOOKUP(D157,'Master sheet (Clientes)'!A$6:D$747,2,0)," ")</f>
        <v>NJ</v>
      </c>
      <c r="B157" s="54" t="str">
        <f>IFERROR(VLOOKUP(D157,'Master sheet (Clientes)'!A$6:D$747,3,0)," ")</f>
        <v xml:space="preserve">Sparrow </v>
      </c>
      <c r="C157" s="54" t="str">
        <f>IFERROR(VLOOKUP(D157,'Master sheet (Clientes)'!A$6:D$747,4,0)," ")</f>
        <v>A-V</v>
      </c>
      <c r="D157" s="54" t="s">
        <v>739</v>
      </c>
      <c r="E157" s="54">
        <v>518</v>
      </c>
      <c r="F157" s="54" t="s">
        <v>45</v>
      </c>
      <c r="G157" s="54" t="s">
        <v>853</v>
      </c>
      <c r="H157" s="54" t="s">
        <v>1239</v>
      </c>
      <c r="I157" s="54" t="s">
        <v>1287</v>
      </c>
      <c r="J157" s="54" t="s">
        <v>48</v>
      </c>
      <c r="K157" s="54"/>
      <c r="L157" s="54"/>
      <c r="M157" s="54"/>
      <c r="N157" s="54" t="s">
        <v>1265</v>
      </c>
    </row>
    <row r="158" spans="1:20" ht="70.5">
      <c r="A158" s="54" t="str">
        <f>IFERROR(VLOOKUP(D158,'Master sheet (Clientes)'!A$6:D$747,2,0)," ")</f>
        <v>NJ</v>
      </c>
      <c r="B158" s="54" t="str">
        <f>IFERROR(VLOOKUP(D158,'Master sheet (Clientes)'!A$6:D$747,3,0)," ")</f>
        <v xml:space="preserve">BuildCare </v>
      </c>
      <c r="C158" s="54" t="str">
        <f>IFERROR(VLOOKUP(D158,'Master sheet (Clientes)'!A$6:D$747,4,0)," ")</f>
        <v>N/A</v>
      </c>
      <c r="D158" s="54" t="s">
        <v>196</v>
      </c>
      <c r="E158" s="54"/>
      <c r="F158" s="54"/>
      <c r="G158" s="54"/>
      <c r="H158" s="54" t="s">
        <v>1304</v>
      </c>
      <c r="I158" s="54" t="s">
        <v>1303</v>
      </c>
      <c r="J158" s="54" t="s">
        <v>48</v>
      </c>
      <c r="K158" s="54"/>
      <c r="L158" s="54"/>
      <c r="M158" s="54" t="s">
        <v>992</v>
      </c>
      <c r="N158" s="54" t="s">
        <v>1268</v>
      </c>
    </row>
    <row r="159" spans="1:20">
      <c r="A159" s="1"/>
      <c r="B159" s="1"/>
      <c r="C159" s="1"/>
      <c r="D159" s="1"/>
      <c r="E159" s="1"/>
      <c r="F159" s="1"/>
      <c r="G159" s="1"/>
      <c r="H159" s="1"/>
      <c r="I159" s="1"/>
      <c r="J159" s="1"/>
      <c r="K159" s="1"/>
      <c r="L159" s="1"/>
      <c r="M159" s="1"/>
      <c r="N159" s="1"/>
    </row>
    <row r="160" spans="1:20" s="1" customFormat="1" ht="47">
      <c r="A160" s="4" t="s">
        <v>8</v>
      </c>
      <c r="B160" s="4" t="s">
        <v>9</v>
      </c>
      <c r="C160" s="4" t="s">
        <v>10</v>
      </c>
      <c r="D160" s="4" t="s">
        <v>11</v>
      </c>
      <c r="E160" s="4" t="s">
        <v>12</v>
      </c>
      <c r="F160" s="4" t="s">
        <v>13</v>
      </c>
      <c r="G160" s="38" t="s">
        <v>14</v>
      </c>
      <c r="H160" s="4" t="s">
        <v>15</v>
      </c>
      <c r="I160" s="38" t="s">
        <v>16</v>
      </c>
      <c r="J160" s="38" t="s">
        <v>17</v>
      </c>
      <c r="K160" s="38" t="s">
        <v>18</v>
      </c>
      <c r="L160" s="38" t="s">
        <v>19</v>
      </c>
      <c r="M160" s="38" t="s">
        <v>20</v>
      </c>
      <c r="N160" s="38" t="s">
        <v>21</v>
      </c>
    </row>
    <row r="161" spans="1:20" s="12" customFormat="1" ht="94">
      <c r="A161" s="54" t="str">
        <f>IFERROR(VLOOKUP(D161,'Master sheet (Clientes)'!A$6:D$747,2,0)," ")</f>
        <v>NJ</v>
      </c>
      <c r="B161" s="54" t="str">
        <f>IFERROR(VLOOKUP(D161,'Master sheet (Clientes)'!A$6:D$747,3,0)," ")</f>
        <v>No Charge / Courtesy Job</v>
      </c>
      <c r="C161" s="54" t="str">
        <f>IFERROR(VLOOKUP(D161,'Master sheet (Clientes)'!A$6:D$747,4,0)," ")</f>
        <v>N/A</v>
      </c>
      <c r="D161" s="54" t="s">
        <v>941</v>
      </c>
      <c r="E161" s="54" t="s">
        <v>968</v>
      </c>
      <c r="F161" s="54"/>
      <c r="G161" s="54"/>
      <c r="H161" s="54" t="s">
        <v>1372</v>
      </c>
      <c r="I161" s="54" t="s">
        <v>1300</v>
      </c>
      <c r="J161" s="54" t="s">
        <v>969</v>
      </c>
      <c r="K161" s="54" t="s">
        <v>970</v>
      </c>
      <c r="L161" s="54"/>
      <c r="M161" s="54" t="s">
        <v>1568</v>
      </c>
      <c r="N161" s="54" t="s">
        <v>1269</v>
      </c>
      <c r="O161" s="1"/>
      <c r="P161" s="1"/>
      <c r="Q161" s="1"/>
      <c r="R161" s="11"/>
      <c r="S161" s="11"/>
      <c r="T161" s="11"/>
    </row>
    <row r="162" spans="1:20">
      <c r="A162" s="1"/>
      <c r="B162" s="1"/>
      <c r="C162" s="1"/>
      <c r="D162" s="1"/>
      <c r="E162" s="1"/>
      <c r="F162" s="1"/>
      <c r="G162" s="1"/>
      <c r="H162" s="1"/>
      <c r="I162" s="1"/>
      <c r="J162" s="1"/>
      <c r="K162" s="1"/>
      <c r="L162" s="1"/>
      <c r="M162" s="1"/>
      <c r="N162" s="1"/>
    </row>
    <row r="163" spans="1:20" s="1" customFormat="1" ht="47">
      <c r="A163" s="4" t="s">
        <v>8</v>
      </c>
      <c r="B163" s="4" t="s">
        <v>9</v>
      </c>
      <c r="C163" s="4" t="s">
        <v>10</v>
      </c>
      <c r="D163" s="4" t="s">
        <v>11</v>
      </c>
      <c r="E163" s="4" t="s">
        <v>12</v>
      </c>
      <c r="F163" s="4" t="s">
        <v>13</v>
      </c>
      <c r="G163" s="38" t="s">
        <v>14</v>
      </c>
      <c r="H163" s="4" t="s">
        <v>15</v>
      </c>
      <c r="I163" s="38" t="s">
        <v>16</v>
      </c>
      <c r="J163" s="38" t="s">
        <v>17</v>
      </c>
      <c r="K163" s="38" t="s">
        <v>18</v>
      </c>
      <c r="L163" s="38" t="s">
        <v>19</v>
      </c>
      <c r="M163" s="38" t="s">
        <v>20</v>
      </c>
      <c r="N163" s="38" t="s">
        <v>21</v>
      </c>
    </row>
    <row r="164" spans="1:20" ht="70.5">
      <c r="A164" s="54" t="str">
        <f>IFERROR(VLOOKUP(D164,'Master sheet (Clientes)'!A$6:D$747,2,0)," ")</f>
        <v>NJ</v>
      </c>
      <c r="B164" s="54" t="str">
        <f>IFERROR(VLOOKUP(D164,'Master sheet (Clientes)'!A$6:D$747,3,0)," ")</f>
        <v>Greystar</v>
      </c>
      <c r="C164" s="54" t="str">
        <f>IFERROR(VLOOKUP(D164,'Master sheet (Clientes)'!A$6:D$747,4,0)," ")</f>
        <v>A-V</v>
      </c>
      <c r="D164" s="54" t="s">
        <v>350</v>
      </c>
      <c r="E164" s="54">
        <v>526</v>
      </c>
      <c r="F164" s="54" t="s">
        <v>874</v>
      </c>
      <c r="G164" s="54" t="s">
        <v>853</v>
      </c>
      <c r="H164" s="54" t="s">
        <v>1128</v>
      </c>
      <c r="I164" s="89" t="s">
        <v>1137</v>
      </c>
      <c r="J164" s="54" t="s">
        <v>48</v>
      </c>
      <c r="K164" s="54"/>
      <c r="L164" s="54"/>
      <c r="M164" s="54"/>
      <c r="N164" s="54" t="s">
        <v>1268</v>
      </c>
    </row>
    <row r="165" spans="1:20" s="91" customFormat="1" ht="70.5">
      <c r="A165" s="88" t="str">
        <f>IFERROR(VLOOKUP(D165,'Master sheet (Clientes)'!A$6:D$747,2,0)," ")</f>
        <v>NJ</v>
      </c>
      <c r="B165" s="88" t="str">
        <f>IFERROR(VLOOKUP(D165,'Master sheet (Clientes)'!A$6:D$747,3,0)," ")</f>
        <v xml:space="preserve">Sparrow </v>
      </c>
      <c r="C165" s="88" t="str">
        <f>IFERROR(VLOOKUP(D165,'Master sheet (Clientes)'!A$6:D$747,4,0)," ")</f>
        <v>A-V</v>
      </c>
      <c r="D165" s="88" t="s">
        <v>741</v>
      </c>
      <c r="E165" s="89">
        <v>325</v>
      </c>
      <c r="F165" s="89" t="s">
        <v>874</v>
      </c>
      <c r="G165" s="89" t="s">
        <v>853</v>
      </c>
      <c r="H165" s="88" t="s">
        <v>1138</v>
      </c>
      <c r="I165" s="89" t="s">
        <v>1137</v>
      </c>
      <c r="J165" s="89" t="s">
        <v>48</v>
      </c>
      <c r="K165" s="88"/>
      <c r="L165" s="88"/>
      <c r="M165" s="88"/>
      <c r="N165" s="88" t="s">
        <v>1268</v>
      </c>
      <c r="O165" s="90"/>
      <c r="P165" s="90"/>
      <c r="Q165" s="90"/>
    </row>
    <row r="166" spans="1:20" s="91" customFormat="1" ht="70.5">
      <c r="A166" s="88" t="str">
        <f>IFERROR(VLOOKUP(D166,'Master sheet (Clientes)'!A$6:D$747,2,0)," ")</f>
        <v>NJ</v>
      </c>
      <c r="B166" s="88" t="str">
        <f>IFERROR(VLOOKUP(D166,'Master sheet (Clientes)'!A$6:D$747,3,0)," ")</f>
        <v>Greystar</v>
      </c>
      <c r="C166" s="88" t="str">
        <f>IFERROR(VLOOKUP(D166,'Master sheet (Clientes)'!A$6:D$747,4,0)," ")</f>
        <v>A-V</v>
      </c>
      <c r="D166" s="88" t="s">
        <v>338</v>
      </c>
      <c r="E166" s="109" t="s">
        <v>1388</v>
      </c>
      <c r="F166" s="109" t="s">
        <v>45</v>
      </c>
      <c r="G166" s="89" t="s">
        <v>853</v>
      </c>
      <c r="H166" s="88" t="s">
        <v>1390</v>
      </c>
      <c r="I166" s="89" t="s">
        <v>1137</v>
      </c>
      <c r="J166" s="89" t="s">
        <v>48</v>
      </c>
      <c r="K166" s="88"/>
      <c r="L166" s="88"/>
      <c r="M166" s="88"/>
      <c r="N166" s="88" t="s">
        <v>1268</v>
      </c>
      <c r="O166" s="90"/>
      <c r="P166" s="90"/>
      <c r="Q166" s="90"/>
    </row>
    <row r="167" spans="1:20" s="5" customFormat="1">
      <c r="A167" s="1"/>
      <c r="B167" s="1"/>
      <c r="C167" s="1"/>
      <c r="D167" s="1"/>
      <c r="E167" s="1"/>
      <c r="F167" s="1"/>
      <c r="G167" s="1"/>
      <c r="H167" s="1"/>
      <c r="I167" s="1"/>
      <c r="J167" s="1"/>
      <c r="K167" s="1"/>
      <c r="L167" s="1"/>
      <c r="M167" s="1"/>
      <c r="N167" s="1"/>
      <c r="O167" s="35"/>
      <c r="P167" s="35"/>
      <c r="Q167" s="35"/>
    </row>
    <row r="168" spans="1:20" s="1" customFormat="1" ht="47">
      <c r="A168" s="4" t="s">
        <v>8</v>
      </c>
      <c r="B168" s="4" t="s">
        <v>9</v>
      </c>
      <c r="C168" s="4" t="s">
        <v>10</v>
      </c>
      <c r="D168" s="4" t="s">
        <v>11</v>
      </c>
      <c r="E168" s="4" t="s">
        <v>12</v>
      </c>
      <c r="F168" s="4" t="s">
        <v>13</v>
      </c>
      <c r="G168" s="38" t="s">
        <v>14</v>
      </c>
      <c r="H168" s="4" t="s">
        <v>15</v>
      </c>
      <c r="I168" s="38" t="s">
        <v>16</v>
      </c>
      <c r="J168" s="38" t="s">
        <v>17</v>
      </c>
      <c r="K168" s="38" t="s">
        <v>18</v>
      </c>
      <c r="L168" s="38" t="s">
        <v>19</v>
      </c>
      <c r="M168" s="38" t="s">
        <v>20</v>
      </c>
      <c r="N168" s="38" t="s">
        <v>21</v>
      </c>
    </row>
    <row r="169" spans="1:20" ht="94">
      <c r="A169" s="54" t="str">
        <f>IFERROR(VLOOKUP(D169,'Master sheet (Clientes)'!A$6:D$747,2,0)," ")</f>
        <v>NJ</v>
      </c>
      <c r="B169" s="54" t="str">
        <f>IFERROR(VLOOKUP(D169,'Master sheet (Clientes)'!A$6:D$747,3,0)," ")</f>
        <v>Vivmark Residential</v>
      </c>
      <c r="C169" s="54" t="str">
        <f>IFERROR(VLOOKUP(D169,'Master sheet (Clientes)'!A$6:D$747,4,0)," ")</f>
        <v>N-O</v>
      </c>
      <c r="D169" s="54" t="s">
        <v>80</v>
      </c>
      <c r="E169" s="54"/>
      <c r="F169" s="54"/>
      <c r="G169" s="54"/>
      <c r="H169" s="54" t="s">
        <v>1370</v>
      </c>
      <c r="I169" s="54" t="s">
        <v>1051</v>
      </c>
      <c r="J169" s="54" t="s">
        <v>48</v>
      </c>
      <c r="K169" s="54" t="s">
        <v>1050</v>
      </c>
      <c r="L169" s="54"/>
      <c r="M169" s="54"/>
      <c r="N169" s="88" t="s">
        <v>1268</v>
      </c>
    </row>
    <row r="170" spans="1:20" s="5" customFormat="1">
      <c r="A170" s="1"/>
      <c r="B170" s="1"/>
      <c r="C170" s="1"/>
      <c r="D170" s="1"/>
      <c r="E170" s="1"/>
      <c r="F170" s="1"/>
      <c r="G170" s="1"/>
      <c r="H170" s="1"/>
      <c r="I170" s="1"/>
      <c r="J170" s="1"/>
      <c r="K170" s="1"/>
      <c r="L170" s="1"/>
      <c r="M170" s="1"/>
      <c r="N170" s="1"/>
      <c r="O170" s="35"/>
      <c r="P170" s="35"/>
      <c r="Q170" s="35"/>
    </row>
    <row r="171" spans="1:20" s="1" customFormat="1" ht="47">
      <c r="A171" s="4" t="s">
        <v>8</v>
      </c>
      <c r="B171" s="4" t="s">
        <v>9</v>
      </c>
      <c r="C171" s="4" t="s">
        <v>10</v>
      </c>
      <c r="D171" s="4" t="s">
        <v>11</v>
      </c>
      <c r="E171" s="4" t="s">
        <v>12</v>
      </c>
      <c r="F171" s="4" t="s">
        <v>13</v>
      </c>
      <c r="G171" s="38" t="s">
        <v>14</v>
      </c>
      <c r="H171" s="4" t="s">
        <v>15</v>
      </c>
      <c r="I171" s="38" t="s">
        <v>16</v>
      </c>
      <c r="J171" s="38" t="s">
        <v>17</v>
      </c>
      <c r="K171" s="38" t="s">
        <v>18</v>
      </c>
      <c r="L171" s="38" t="s">
        <v>19</v>
      </c>
      <c r="M171" s="38" t="s">
        <v>20</v>
      </c>
      <c r="N171" s="38" t="s">
        <v>21</v>
      </c>
    </row>
    <row r="172" spans="1:20" ht="70.5">
      <c r="A172" s="54" t="str">
        <f>IFERROR(VLOOKUP(D172,'Master sheet (Clientes)'!A$6:D$747,2,0)," ")</f>
        <v>NJ</v>
      </c>
      <c r="B172" s="54" t="str">
        <f>IFERROR(VLOOKUP(D172,'Master sheet (Clientes)'!A$6:D$747,3,0)," ")</f>
        <v xml:space="preserve">BNE Management </v>
      </c>
      <c r="C172" s="54" t="str">
        <f>IFERROR(VLOOKUP(D172,'Master sheet (Clientes)'!A$6:D$747,4,0)," ")</f>
        <v>N-O</v>
      </c>
      <c r="D172" s="54" t="s">
        <v>136</v>
      </c>
      <c r="E172" s="54">
        <v>238</v>
      </c>
      <c r="F172" s="54"/>
      <c r="G172" s="54"/>
      <c r="H172" s="54" t="s">
        <v>851</v>
      </c>
      <c r="I172" s="54" t="s">
        <v>839</v>
      </c>
      <c r="J172" s="54" t="s">
        <v>48</v>
      </c>
      <c r="K172" s="54"/>
      <c r="L172" s="54"/>
      <c r="M172" s="54"/>
      <c r="N172" s="54" t="s">
        <v>1268</v>
      </c>
    </row>
    <row r="173" spans="1:20" s="5" customFormat="1">
      <c r="A173" s="1"/>
      <c r="B173" s="1"/>
      <c r="C173" s="1"/>
      <c r="D173" s="1"/>
      <c r="E173" s="1"/>
      <c r="F173" s="1"/>
      <c r="G173" s="1"/>
      <c r="H173" s="1"/>
      <c r="I173" s="1"/>
      <c r="J173" s="1"/>
      <c r="K173" s="1"/>
      <c r="L173" s="1"/>
      <c r="M173" s="1"/>
      <c r="N173" s="1"/>
      <c r="O173" s="35"/>
      <c r="P173" s="35"/>
      <c r="Q173" s="35"/>
    </row>
    <row r="174" spans="1:20" s="1" customFormat="1" ht="47">
      <c r="A174" s="4" t="s">
        <v>8</v>
      </c>
      <c r="B174" s="4" t="s">
        <v>9</v>
      </c>
      <c r="C174" s="4" t="s">
        <v>10</v>
      </c>
      <c r="D174" s="4" t="s">
        <v>11</v>
      </c>
      <c r="E174" s="4" t="s">
        <v>12</v>
      </c>
      <c r="F174" s="4" t="s">
        <v>13</v>
      </c>
      <c r="G174" s="38" t="s">
        <v>14</v>
      </c>
      <c r="H174" s="4" t="s">
        <v>15</v>
      </c>
      <c r="I174" s="38" t="s">
        <v>16</v>
      </c>
      <c r="J174" s="38" t="s">
        <v>17</v>
      </c>
      <c r="K174" s="38" t="s">
        <v>18</v>
      </c>
      <c r="L174" s="38" t="s">
        <v>19</v>
      </c>
      <c r="M174" s="38" t="s">
        <v>20</v>
      </c>
      <c r="N174" s="38" t="s">
        <v>21</v>
      </c>
    </row>
    <row r="175" spans="1:20" ht="70.5">
      <c r="A175" s="54" t="str">
        <f>IFERROR(VLOOKUP(D175,'Master sheet (Clientes)'!A$6:D$747,2,0)," ")</f>
        <v>NJ</v>
      </c>
      <c r="B175" s="54" t="str">
        <f>IFERROR(VLOOKUP(D175,'Master sheet (Clientes)'!A$6:D$747,3,0)," ")</f>
        <v xml:space="preserve">BuildCare </v>
      </c>
      <c r="C175" s="54" t="str">
        <f>IFERROR(VLOOKUP(D175,'Master sheet (Clientes)'!A$6:D$747,4,0)," ")</f>
        <v>N/A</v>
      </c>
      <c r="D175" s="54" t="s">
        <v>196</v>
      </c>
      <c r="E175" s="54"/>
      <c r="F175" s="54"/>
      <c r="G175" s="54"/>
      <c r="H175" s="54" t="s">
        <v>1270</v>
      </c>
      <c r="I175" s="54" t="s">
        <v>909</v>
      </c>
      <c r="J175" s="54" t="s">
        <v>48</v>
      </c>
      <c r="K175" s="54"/>
      <c r="L175" s="54"/>
      <c r="M175" s="54" t="s">
        <v>1271</v>
      </c>
      <c r="N175" s="54" t="s">
        <v>1269</v>
      </c>
    </row>
    <row r="176" spans="1:20" ht="70.5">
      <c r="A176" s="54" t="str">
        <f>IFERROR(VLOOKUP(D176,'Master sheet (Clientes)'!A$6:D$747,2,0)," ")</f>
        <v>NJ</v>
      </c>
      <c r="B176" s="54" t="str">
        <f>IFERROR(VLOOKUP(D176,'Master sheet (Clientes)'!A$6:D$747,3,0)," ")</f>
        <v>Willow Bridge P.C.</v>
      </c>
      <c r="C176" s="54" t="str">
        <f>IFERROR(VLOOKUP(D176,'Master sheet (Clientes)'!A$6:D$747,4,0)," ")</f>
        <v>N-O</v>
      </c>
      <c r="D176" s="54" t="s">
        <v>253</v>
      </c>
      <c r="E176" s="54">
        <v>6204</v>
      </c>
      <c r="F176" s="54"/>
      <c r="G176" s="54" t="s">
        <v>837</v>
      </c>
      <c r="H176" s="54" t="s">
        <v>1512</v>
      </c>
      <c r="I176" s="54" t="s">
        <v>909</v>
      </c>
      <c r="J176" s="109" t="s">
        <v>1389</v>
      </c>
      <c r="K176" s="54"/>
      <c r="L176" s="54"/>
      <c r="M176" s="54" t="s">
        <v>1511</v>
      </c>
      <c r="N176" s="54" t="s">
        <v>1268</v>
      </c>
    </row>
    <row r="177" spans="1:17">
      <c r="A177" s="1"/>
      <c r="B177" s="1"/>
      <c r="C177" s="1"/>
      <c r="D177" s="1"/>
      <c r="E177" s="1"/>
      <c r="F177" s="1"/>
      <c r="G177" s="1"/>
      <c r="H177" s="1"/>
      <c r="I177" s="1"/>
      <c r="J177" s="1"/>
      <c r="K177" s="1"/>
      <c r="L177" s="1"/>
      <c r="M177" s="1"/>
      <c r="N177" s="1"/>
    </row>
    <row r="178" spans="1:17" ht="47">
      <c r="A178" s="4" t="s">
        <v>8</v>
      </c>
      <c r="B178" s="4" t="s">
        <v>9</v>
      </c>
      <c r="C178" s="4" t="s">
        <v>10</v>
      </c>
      <c r="D178" s="4" t="s">
        <v>11</v>
      </c>
      <c r="E178" s="4" t="s">
        <v>12</v>
      </c>
      <c r="F178" s="4" t="s">
        <v>13</v>
      </c>
      <c r="G178" s="38" t="s">
        <v>14</v>
      </c>
      <c r="H178" s="4" t="s">
        <v>22</v>
      </c>
      <c r="I178" s="38" t="s">
        <v>23</v>
      </c>
      <c r="J178" s="38" t="s">
        <v>17</v>
      </c>
      <c r="K178" s="38" t="s">
        <v>18</v>
      </c>
      <c r="L178" s="38" t="s">
        <v>19</v>
      </c>
      <c r="M178" s="38" t="s">
        <v>20</v>
      </c>
      <c r="N178" s="38" t="s">
        <v>21</v>
      </c>
    </row>
    <row r="179" spans="1:17" ht="70.5">
      <c r="A179" s="99" t="str">
        <f>IFERROR(VLOOKUP(D179,'Master sheet (Clientes)'!A$6:D$747,2,0)," ")</f>
        <v>NJ</v>
      </c>
      <c r="B179" s="99" t="str">
        <f>IFERROR(VLOOKUP(D179,'Master sheet (Clientes)'!A$6:D$747,3,0)," ")</f>
        <v xml:space="preserve">Sparrow </v>
      </c>
      <c r="C179" s="99" t="str">
        <f>IFERROR(VLOOKUP(D179,'Master sheet (Clientes)'!A$6:D$747,4,0)," ")</f>
        <v>A-V</v>
      </c>
      <c r="D179" s="99" t="s">
        <v>741</v>
      </c>
      <c r="E179" s="100"/>
      <c r="F179" s="99"/>
      <c r="G179" s="100"/>
      <c r="H179" s="99" t="s">
        <v>1346</v>
      </c>
      <c r="I179" s="100" t="s">
        <v>1352</v>
      </c>
      <c r="J179" s="99" t="s">
        <v>48</v>
      </c>
      <c r="K179" s="99"/>
      <c r="L179" s="99"/>
      <c r="M179" s="99"/>
      <c r="N179" s="99"/>
    </row>
    <row r="180" spans="1:17">
      <c r="A180" s="1"/>
      <c r="B180" s="1"/>
      <c r="C180" s="1"/>
      <c r="D180" s="1"/>
      <c r="E180" s="1"/>
      <c r="F180" s="1"/>
      <c r="G180" s="1"/>
      <c r="H180" s="1"/>
      <c r="I180" s="1"/>
      <c r="K180" s="1"/>
      <c r="L180" s="1"/>
      <c r="M180" s="1"/>
      <c r="N180" s="1"/>
    </row>
    <row r="181" spans="1:17" ht="26">
      <c r="A181" s="33"/>
      <c r="B181" s="33"/>
      <c r="C181" s="33"/>
      <c r="D181" s="127" t="s">
        <v>30</v>
      </c>
      <c r="E181" s="127"/>
      <c r="F181" s="127"/>
      <c r="G181" s="127"/>
      <c r="H181" s="127"/>
      <c r="I181" s="127"/>
      <c r="J181" s="127"/>
      <c r="K181" s="127"/>
      <c r="L181" s="127"/>
      <c r="M181" s="16"/>
      <c r="N181" s="16"/>
    </row>
    <row r="182" spans="1:17" s="5" customFormat="1" ht="26">
      <c r="A182" s="43"/>
      <c r="B182" s="43"/>
      <c r="C182" s="43"/>
      <c r="D182" s="128" t="s">
        <v>31</v>
      </c>
      <c r="E182" s="128"/>
      <c r="F182" s="128"/>
      <c r="G182" s="128"/>
      <c r="H182" s="128"/>
      <c r="I182" s="128"/>
      <c r="J182" s="128"/>
      <c r="K182" s="128"/>
      <c r="L182" s="128"/>
      <c r="M182" s="44"/>
      <c r="N182" s="44"/>
      <c r="O182" s="35"/>
      <c r="P182" s="35"/>
      <c r="Q182" s="35"/>
    </row>
    <row r="183" spans="1:17">
      <c r="A183" s="3"/>
      <c r="B183" s="3"/>
      <c r="C183" s="3"/>
      <c r="D183" s="3"/>
      <c r="E183" s="3"/>
      <c r="F183" s="3"/>
      <c r="G183" s="3"/>
      <c r="H183" s="3"/>
      <c r="I183" s="3"/>
      <c r="K183" s="1"/>
      <c r="L183" s="1"/>
      <c r="M183" s="1"/>
      <c r="N183" s="1"/>
    </row>
    <row r="184" spans="1:17" s="1" customFormat="1" ht="47">
      <c r="A184" s="4" t="s">
        <v>8</v>
      </c>
      <c r="B184" s="4" t="s">
        <v>9</v>
      </c>
      <c r="C184" s="4" t="s">
        <v>10</v>
      </c>
      <c r="D184" s="4" t="s">
        <v>11</v>
      </c>
      <c r="E184" s="4" t="s">
        <v>12</v>
      </c>
      <c r="F184" s="4" t="s">
        <v>13</v>
      </c>
      <c r="G184" s="38" t="s">
        <v>14</v>
      </c>
      <c r="H184" s="4" t="s">
        <v>15</v>
      </c>
      <c r="I184" s="38" t="s">
        <v>16</v>
      </c>
      <c r="J184" s="38" t="s">
        <v>17</v>
      </c>
      <c r="K184" s="38" t="s">
        <v>18</v>
      </c>
      <c r="L184" s="38" t="s">
        <v>19</v>
      </c>
      <c r="M184" s="38" t="s">
        <v>20</v>
      </c>
      <c r="N184" s="38" t="s">
        <v>21</v>
      </c>
    </row>
    <row r="185" spans="1:17" ht="47">
      <c r="A185" s="54" t="str">
        <f>IFERROR(VLOOKUP(D185,'Master sheet (Clientes)'!A$6:D$747,2,0)," ")</f>
        <v>NJ</v>
      </c>
      <c r="B185" s="54" t="str">
        <f>IFERROR(VLOOKUP(D185,'Master sheet (Clientes)'!A$6:D$747,3,0)," ")</f>
        <v xml:space="preserve">KRE Group Management </v>
      </c>
      <c r="C185" s="54" t="str">
        <f>IFERROR(VLOOKUP(D185,'Master sheet (Clientes)'!A$6:D$747,4,0)," ")</f>
        <v>A-V</v>
      </c>
      <c r="D185" s="54" t="s">
        <v>384</v>
      </c>
      <c r="E185" s="54"/>
      <c r="F185" s="54"/>
      <c r="G185" s="54"/>
      <c r="H185" s="54" t="s">
        <v>1017</v>
      </c>
      <c r="I185" s="54" t="s">
        <v>1018</v>
      </c>
      <c r="J185" s="54" t="s">
        <v>48</v>
      </c>
      <c r="K185" s="54"/>
      <c r="L185" s="54"/>
      <c r="M185" s="54"/>
      <c r="N185" s="54" t="s">
        <v>1266</v>
      </c>
    </row>
    <row r="186" spans="1:17" ht="70.5">
      <c r="A186" s="54" t="str">
        <f>IFERROR(VLOOKUP(D186,'Master sheet (Clientes)'!A$6:D$747,2,0)," ")</f>
        <v>NJ</v>
      </c>
      <c r="B186" s="54" t="str">
        <f>IFERROR(VLOOKUP(D186,'Master sheet (Clientes)'!A$6:D$747,3,0)," ")</f>
        <v xml:space="preserve">KRE Group Management </v>
      </c>
      <c r="C186" s="54" t="str">
        <f>IFERROR(VLOOKUP(D186,'Master sheet (Clientes)'!A$6:D$747,4,0)," ")</f>
        <v>A-V</v>
      </c>
      <c r="D186" s="54" t="s">
        <v>392</v>
      </c>
      <c r="E186" s="54"/>
      <c r="F186" s="54"/>
      <c r="G186" s="54"/>
      <c r="H186" s="54" t="s">
        <v>1015</v>
      </c>
      <c r="I186" s="54" t="s">
        <v>1019</v>
      </c>
      <c r="J186" s="54" t="s">
        <v>48</v>
      </c>
      <c r="K186" s="54"/>
      <c r="L186" s="54"/>
      <c r="M186" s="54" t="s">
        <v>1020</v>
      </c>
      <c r="N186" s="54" t="s">
        <v>1266</v>
      </c>
    </row>
    <row r="187" spans="1:17" ht="164.5">
      <c r="A187" s="54" t="str">
        <f>IFERROR(VLOOKUP(D187,'Master sheet (Clientes)'!A$6:D$747,2,0)," ")</f>
        <v>NJ</v>
      </c>
      <c r="B187" s="54" t="str">
        <f>IFERROR(VLOOKUP(D187,'Master sheet (Clientes)'!A$6:D$747,3,0)," ")</f>
        <v>Private Job</v>
      </c>
      <c r="C187" s="54" t="str">
        <f>IFERROR(VLOOKUP(D187,'Master sheet (Clientes)'!A$6:D$747,4,0)," ")</f>
        <v>A-V</v>
      </c>
      <c r="D187" s="54" t="s">
        <v>967</v>
      </c>
      <c r="E187" s="54"/>
      <c r="F187" s="54"/>
      <c r="G187" s="54"/>
      <c r="H187" s="54" t="s">
        <v>1371</v>
      </c>
      <c r="I187" s="54" t="s">
        <v>1097</v>
      </c>
      <c r="J187" s="54" t="s">
        <v>48</v>
      </c>
      <c r="K187" s="54" t="s">
        <v>1034</v>
      </c>
      <c r="L187" s="54"/>
      <c r="M187" s="54" t="s">
        <v>1150</v>
      </c>
      <c r="N187" s="54" t="s">
        <v>1266</v>
      </c>
    </row>
    <row r="188" spans="1:17" ht="47">
      <c r="A188" s="54" t="str">
        <f>IFERROR(VLOOKUP(D188,'Master sheet (Clientes)'!A$6:D$747,2,0)," ")</f>
        <v>NJ</v>
      </c>
      <c r="B188" s="54" t="str">
        <f>IFERROR(VLOOKUP(D188,'Master sheet (Clientes)'!A$6:D$747,3,0)," ")</f>
        <v>Paramount Assets</v>
      </c>
      <c r="C188" s="54" t="str">
        <f>IFERROR(VLOOKUP(D188,'Master sheet (Clientes)'!A$6:D$747,4,0)," ")</f>
        <v>A-V</v>
      </c>
      <c r="D188" s="54" t="s">
        <v>608</v>
      </c>
      <c r="E188" s="54"/>
      <c r="F188" s="54"/>
      <c r="G188" s="54"/>
      <c r="H188" s="54" t="s">
        <v>1332</v>
      </c>
      <c r="I188" s="54" t="s">
        <v>911</v>
      </c>
      <c r="J188" s="54" t="s">
        <v>48</v>
      </c>
      <c r="K188" s="54"/>
      <c r="L188" s="54"/>
      <c r="M188" s="54" t="s">
        <v>1331</v>
      </c>
      <c r="N188" s="54" t="s">
        <v>1266</v>
      </c>
    </row>
    <row r="189" spans="1:17" ht="70.5">
      <c r="A189" s="54" t="str">
        <f>IFERROR(VLOOKUP(D189,'Master sheet (Clientes)'!A$6:D$747,2,0)," ")</f>
        <v>NJ</v>
      </c>
      <c r="B189" s="54" t="str">
        <f>IFERROR(VLOOKUP(D189,'Master sheet (Clientes)'!A$6:D$747,3,0)," ")</f>
        <v>Greystar</v>
      </c>
      <c r="C189" s="54" t="str">
        <f>IFERROR(VLOOKUP(D189,'Master sheet (Clientes)'!A$6:D$747,4,0)," ")</f>
        <v>A-V</v>
      </c>
      <c r="D189" s="54" t="s">
        <v>351</v>
      </c>
      <c r="E189" s="54">
        <v>102</v>
      </c>
      <c r="F189" s="54" t="s">
        <v>45</v>
      </c>
      <c r="G189" s="54" t="s">
        <v>853</v>
      </c>
      <c r="H189" s="54" t="s">
        <v>881</v>
      </c>
      <c r="I189" s="54" t="s">
        <v>1108</v>
      </c>
      <c r="J189" s="54" t="s">
        <v>48</v>
      </c>
      <c r="K189" s="54"/>
      <c r="L189" s="54"/>
      <c r="M189" s="54"/>
      <c r="N189" s="54" t="s">
        <v>1268</v>
      </c>
    </row>
    <row r="190" spans="1:17" ht="70.5">
      <c r="A190" s="54" t="str">
        <f>IFERROR(VLOOKUP(D190,'Master sheet (Clientes)'!A$6:D$747,2,0)," ")</f>
        <v>NJ</v>
      </c>
      <c r="B190" s="54" t="str">
        <f>IFERROR(VLOOKUP(D190,'Master sheet (Clientes)'!A$6:D$747,3,0)," ")</f>
        <v>Vivmark Residential</v>
      </c>
      <c r="C190" s="54" t="str">
        <f>IFERROR(VLOOKUP(D190,'Master sheet (Clientes)'!A$6:D$747,4,0)," ")</f>
        <v>N-O</v>
      </c>
      <c r="D190" s="54" t="s">
        <v>93</v>
      </c>
      <c r="E190" s="54" t="s">
        <v>1338</v>
      </c>
      <c r="F190" s="54" t="s">
        <v>45</v>
      </c>
      <c r="G190" s="54" t="s">
        <v>853</v>
      </c>
      <c r="H190" s="54" t="s">
        <v>1342</v>
      </c>
      <c r="I190" s="54" t="s">
        <v>1344</v>
      </c>
      <c r="J190" s="54" t="s">
        <v>48</v>
      </c>
      <c r="K190" s="54"/>
      <c r="L190" s="54"/>
      <c r="M190" s="54"/>
      <c r="N190" s="54" t="s">
        <v>1268</v>
      </c>
    </row>
    <row r="191" spans="1:17" s="94" customFormat="1" ht="70.5">
      <c r="A191" s="92" t="str">
        <f>IFERROR(VLOOKUP(D191,'Master sheet (Clientes)'!A$6:D$747,2,0)," ")</f>
        <v>NJ</v>
      </c>
      <c r="B191" s="92" t="str">
        <f>IFERROR(VLOOKUP(D191,'Master sheet (Clientes)'!A$6:D$747,3,0)," ")</f>
        <v>Vivmark Residential</v>
      </c>
      <c r="C191" s="92" t="str">
        <f>IFERROR(VLOOKUP(D191,'Master sheet (Clientes)'!A$6:D$747,4,0)," ")</f>
        <v>N-O</v>
      </c>
      <c r="D191" s="92" t="s">
        <v>93</v>
      </c>
      <c r="E191" s="92" t="s">
        <v>1339</v>
      </c>
      <c r="F191" s="92" t="s">
        <v>45</v>
      </c>
      <c r="G191" s="92" t="s">
        <v>853</v>
      </c>
      <c r="H191" s="92" t="s">
        <v>1342</v>
      </c>
      <c r="I191" s="92" t="s">
        <v>1344</v>
      </c>
      <c r="J191" s="92" t="s">
        <v>48</v>
      </c>
      <c r="K191" s="92"/>
      <c r="L191" s="92"/>
      <c r="M191" s="92" t="s">
        <v>1536</v>
      </c>
      <c r="N191" s="92" t="s">
        <v>1535</v>
      </c>
      <c r="O191" s="93"/>
      <c r="P191" s="93"/>
      <c r="Q191" s="93"/>
    </row>
    <row r="192" spans="1:17">
      <c r="A192" s="1"/>
      <c r="B192" s="1"/>
      <c r="C192" s="1"/>
      <c r="D192" s="1"/>
      <c r="E192" s="1"/>
      <c r="F192" s="1"/>
      <c r="G192" s="1"/>
      <c r="H192" s="1"/>
      <c r="I192" s="1"/>
      <c r="J192" s="1"/>
      <c r="K192" s="1"/>
      <c r="L192" s="1"/>
      <c r="M192" s="1"/>
      <c r="N192" s="1"/>
    </row>
    <row r="193" spans="1:14" s="1" customFormat="1" ht="47">
      <c r="A193" s="4" t="s">
        <v>8</v>
      </c>
      <c r="B193" s="4" t="s">
        <v>9</v>
      </c>
      <c r="C193" s="4" t="s">
        <v>10</v>
      </c>
      <c r="D193" s="4" t="s">
        <v>11</v>
      </c>
      <c r="E193" s="4" t="s">
        <v>12</v>
      </c>
      <c r="F193" s="4" t="s">
        <v>13</v>
      </c>
      <c r="G193" s="38" t="s">
        <v>14</v>
      </c>
      <c r="H193" s="4" t="s">
        <v>15</v>
      </c>
      <c r="I193" s="38" t="s">
        <v>16</v>
      </c>
      <c r="J193" s="38" t="s">
        <v>17</v>
      </c>
      <c r="K193" s="38" t="s">
        <v>18</v>
      </c>
      <c r="L193" s="38" t="s">
        <v>19</v>
      </c>
      <c r="M193" s="38" t="s">
        <v>20</v>
      </c>
      <c r="N193" s="38" t="s">
        <v>21</v>
      </c>
    </row>
    <row r="194" spans="1:14" ht="47">
      <c r="A194" s="54" t="str">
        <f>IFERROR(VLOOKUP(D194,'Master sheet (Clientes)'!A$6:D$747,2,0)," ")</f>
        <v>NJ</v>
      </c>
      <c r="B194" s="54" t="str">
        <f>IFERROR(VLOOKUP(D194,'Master sheet (Clientes)'!A$6:D$747,3,0)," ")</f>
        <v>Bozzuto</v>
      </c>
      <c r="C194" s="54" t="str">
        <f>IFERROR(VLOOKUP(D194,'Master sheet (Clientes)'!A$6:D$747,4,0)," ")</f>
        <v>N-O</v>
      </c>
      <c r="D194" s="54" t="s">
        <v>182</v>
      </c>
      <c r="E194" s="54">
        <v>257</v>
      </c>
      <c r="F194" s="54" t="s">
        <v>874</v>
      </c>
      <c r="G194" s="54" t="s">
        <v>853</v>
      </c>
      <c r="H194" s="54" t="s">
        <v>1161</v>
      </c>
      <c r="I194" s="54" t="s">
        <v>1090</v>
      </c>
      <c r="J194" s="54" t="s">
        <v>48</v>
      </c>
      <c r="K194" s="54"/>
      <c r="L194" s="54"/>
      <c r="M194" s="54"/>
      <c r="N194" s="54" t="s">
        <v>1265</v>
      </c>
    </row>
    <row r="195" spans="1:14">
      <c r="A195" s="1"/>
      <c r="B195" s="1"/>
      <c r="C195" s="1"/>
      <c r="D195" s="1"/>
      <c r="E195" s="1"/>
      <c r="F195" s="1"/>
      <c r="G195" s="1"/>
      <c r="H195" s="1"/>
      <c r="I195" s="1"/>
      <c r="J195" s="1"/>
      <c r="K195" s="1"/>
      <c r="L195" s="1"/>
      <c r="M195" s="1"/>
      <c r="N195" s="1"/>
    </row>
    <row r="196" spans="1:14" s="1" customFormat="1" ht="47">
      <c r="A196" s="4" t="s">
        <v>8</v>
      </c>
      <c r="B196" s="4" t="s">
        <v>9</v>
      </c>
      <c r="C196" s="4" t="s">
        <v>10</v>
      </c>
      <c r="D196" s="4" t="s">
        <v>11</v>
      </c>
      <c r="E196" s="4" t="s">
        <v>12</v>
      </c>
      <c r="F196" s="4" t="s">
        <v>13</v>
      </c>
      <c r="G196" s="38" t="s">
        <v>14</v>
      </c>
      <c r="H196" s="4" t="s">
        <v>15</v>
      </c>
      <c r="I196" s="38" t="s">
        <v>16</v>
      </c>
      <c r="J196" s="38" t="s">
        <v>17</v>
      </c>
      <c r="K196" s="38" t="s">
        <v>18</v>
      </c>
      <c r="L196" s="38" t="s">
        <v>19</v>
      </c>
      <c r="M196" s="38" t="s">
        <v>20</v>
      </c>
      <c r="N196" s="38" t="s">
        <v>21</v>
      </c>
    </row>
    <row r="197" spans="1:14" ht="70.5">
      <c r="A197" s="54" t="str">
        <f>IFERROR(VLOOKUP(D197,'Master sheet (Clientes)'!A$6:D$747,2,0)," ")</f>
        <v>NJ</v>
      </c>
      <c r="B197" s="54" t="str">
        <f>IFERROR(VLOOKUP(D197,'Master sheet (Clientes)'!A$6:D$747,3,0)," ")</f>
        <v xml:space="preserve">KRE Group Management </v>
      </c>
      <c r="C197" s="54" t="str">
        <f>IFERROR(VLOOKUP(D197,'Master sheet (Clientes)'!A$6:D$747,4,0)," ")</f>
        <v>A-V</v>
      </c>
      <c r="D197" s="54" t="s">
        <v>380</v>
      </c>
      <c r="E197" s="54"/>
      <c r="F197" s="54"/>
      <c r="G197" s="54"/>
      <c r="H197" s="54" t="s">
        <v>1015</v>
      </c>
      <c r="I197" s="54" t="s">
        <v>1016</v>
      </c>
      <c r="J197" s="54" t="s">
        <v>48</v>
      </c>
      <c r="K197" s="54"/>
      <c r="L197" s="54"/>
      <c r="M197" s="54" t="s">
        <v>1135</v>
      </c>
      <c r="N197" s="54" t="s">
        <v>1266</v>
      </c>
    </row>
    <row r="198" spans="1:14" ht="47">
      <c r="A198" s="54" t="str">
        <f>IFERROR(VLOOKUP(D198,'Master sheet (Clientes)'!A$6:D$747,2,0)," ")</f>
        <v>NJ</v>
      </c>
      <c r="B198" s="54" t="str">
        <f>IFERROR(VLOOKUP(D198,'Master sheet (Clientes)'!A$6:D$747,3,0)," ")</f>
        <v>Bozzuto</v>
      </c>
      <c r="C198" s="54" t="str">
        <f>IFERROR(VLOOKUP(D198,'Master sheet (Clientes)'!A$6:D$747,4,0)," ")</f>
        <v>N-O</v>
      </c>
      <c r="D198" s="54" t="s">
        <v>179</v>
      </c>
      <c r="E198" s="54"/>
      <c r="F198" s="54"/>
      <c r="G198" s="54"/>
      <c r="H198" s="54" t="s">
        <v>1136</v>
      </c>
      <c r="I198" s="54" t="s">
        <v>1056</v>
      </c>
      <c r="J198" s="54" t="s">
        <v>48</v>
      </c>
      <c r="K198" s="54"/>
      <c r="L198" s="54"/>
      <c r="M198" s="54" t="s">
        <v>1135</v>
      </c>
      <c r="N198" s="54" t="s">
        <v>1266</v>
      </c>
    </row>
    <row r="199" spans="1:14">
      <c r="A199" s="3"/>
      <c r="B199" s="3"/>
      <c r="C199" s="3"/>
      <c r="D199" s="3"/>
      <c r="E199" s="3"/>
      <c r="F199" s="3"/>
      <c r="G199" s="3"/>
      <c r="H199" s="3"/>
      <c r="I199" s="3"/>
      <c r="K199" s="1"/>
      <c r="L199" s="1"/>
      <c r="M199" s="1"/>
      <c r="N199" s="1"/>
    </row>
    <row r="200" spans="1:14" s="1" customFormat="1" ht="47">
      <c r="A200" s="4" t="s">
        <v>8</v>
      </c>
      <c r="B200" s="4" t="s">
        <v>9</v>
      </c>
      <c r="C200" s="4" t="s">
        <v>10</v>
      </c>
      <c r="D200" s="4" t="s">
        <v>11</v>
      </c>
      <c r="E200" s="4" t="s">
        <v>12</v>
      </c>
      <c r="F200" s="4" t="s">
        <v>13</v>
      </c>
      <c r="G200" s="38" t="s">
        <v>14</v>
      </c>
      <c r="H200" s="4" t="s">
        <v>15</v>
      </c>
      <c r="I200" s="38" t="s">
        <v>16</v>
      </c>
      <c r="J200" s="38" t="s">
        <v>17</v>
      </c>
      <c r="K200" s="38" t="s">
        <v>18</v>
      </c>
      <c r="L200" s="38" t="s">
        <v>19</v>
      </c>
      <c r="M200" s="38" t="s">
        <v>20</v>
      </c>
      <c r="N200" s="38" t="s">
        <v>21</v>
      </c>
    </row>
    <row r="201" spans="1:14" ht="94">
      <c r="A201" s="54" t="str">
        <f>IFERROR(VLOOKUP(D201,'Master sheet (Clientes)'!A$6:D$747,2,0)," ")</f>
        <v>NJ</v>
      </c>
      <c r="B201" s="54" t="str">
        <f>IFERROR(VLOOKUP(D201,'Master sheet (Clientes)'!A$6:D$747,3,0)," ")</f>
        <v>Vivmark Residential</v>
      </c>
      <c r="C201" s="54" t="str">
        <f>IFERROR(VLOOKUP(D201,'Master sheet (Clientes)'!A$6:D$747,4,0)," ")</f>
        <v>N-O</v>
      </c>
      <c r="D201" s="54" t="s">
        <v>87</v>
      </c>
      <c r="E201" s="54" t="s">
        <v>979</v>
      </c>
      <c r="F201" s="54"/>
      <c r="G201" s="54"/>
      <c r="H201" s="54" t="s">
        <v>1131</v>
      </c>
      <c r="I201" s="54" t="s">
        <v>1378</v>
      </c>
      <c r="J201" s="54" t="s">
        <v>48</v>
      </c>
      <c r="K201" s="54"/>
      <c r="L201" s="54"/>
      <c r="M201" s="92"/>
      <c r="N201" s="54" t="s">
        <v>1266</v>
      </c>
    </row>
    <row r="202" spans="1:14" ht="164.5">
      <c r="A202" s="54" t="str">
        <f>IFERROR(VLOOKUP(D202,'Master sheet (Clientes)'!A$6:D$747,2,0)," ")</f>
        <v>NJ</v>
      </c>
      <c r="B202" s="54" t="str">
        <f>IFERROR(VLOOKUP(D202,'Master sheet (Clientes)'!A$6:D$747,3,0)," ")</f>
        <v>Mill Creek Residential</v>
      </c>
      <c r="C202" s="54" t="str">
        <f>IFERROR(VLOOKUP(D202,'Master sheet (Clientes)'!A$6:D$747,4,0)," ")</f>
        <v>N-O</v>
      </c>
      <c r="D202" s="54" t="s">
        <v>416</v>
      </c>
      <c r="E202" s="54">
        <v>650</v>
      </c>
      <c r="F202" s="54" t="s">
        <v>854</v>
      </c>
      <c r="G202" s="54" t="s">
        <v>853</v>
      </c>
      <c r="H202" s="54" t="s">
        <v>1373</v>
      </c>
      <c r="I202" s="54" t="s">
        <v>1379</v>
      </c>
      <c r="J202" s="54" t="s">
        <v>48</v>
      </c>
      <c r="K202" s="54" t="s">
        <v>951</v>
      </c>
      <c r="L202" s="54"/>
      <c r="M202" s="54" t="s">
        <v>952</v>
      </c>
      <c r="N202" s="54" t="s">
        <v>1268</v>
      </c>
    </row>
    <row r="203" spans="1:14">
      <c r="A203" s="1"/>
      <c r="B203" s="1"/>
      <c r="C203" s="1"/>
      <c r="D203" s="1"/>
      <c r="E203" s="1"/>
      <c r="F203" s="1"/>
      <c r="G203" s="1"/>
      <c r="H203" s="1"/>
      <c r="I203" s="1"/>
      <c r="J203" s="1"/>
      <c r="K203" s="1"/>
      <c r="L203" s="1"/>
      <c r="M203" s="1"/>
      <c r="N203" s="1"/>
    </row>
    <row r="204" spans="1:14" s="1" customFormat="1" ht="47">
      <c r="A204" s="4" t="s">
        <v>8</v>
      </c>
      <c r="B204" s="4" t="s">
        <v>9</v>
      </c>
      <c r="C204" s="4" t="s">
        <v>10</v>
      </c>
      <c r="D204" s="4" t="s">
        <v>11</v>
      </c>
      <c r="E204" s="4" t="s">
        <v>12</v>
      </c>
      <c r="F204" s="4" t="s">
        <v>13</v>
      </c>
      <c r="G204" s="38" t="s">
        <v>14</v>
      </c>
      <c r="H204" s="4" t="s">
        <v>15</v>
      </c>
      <c r="I204" s="38" t="s">
        <v>16</v>
      </c>
      <c r="J204" s="38" t="s">
        <v>17</v>
      </c>
      <c r="K204" s="38" t="s">
        <v>18</v>
      </c>
      <c r="L204" s="38" t="s">
        <v>19</v>
      </c>
      <c r="M204" s="38" t="s">
        <v>20</v>
      </c>
      <c r="N204" s="38" t="s">
        <v>21</v>
      </c>
    </row>
    <row r="205" spans="1:14" ht="70.5">
      <c r="A205" s="54" t="str">
        <f>IFERROR(VLOOKUP(D205,'Master sheet (Clientes)'!A$6:D$747,2,0)," ")</f>
        <v>NJ</v>
      </c>
      <c r="B205" s="54" t="str">
        <f>IFERROR(VLOOKUP(D205,'Master sheet (Clientes)'!A$6:D$747,3,0)," ")</f>
        <v>Vivmark Residential</v>
      </c>
      <c r="C205" s="54" t="str">
        <f>IFERROR(VLOOKUP(D205,'Master sheet (Clientes)'!A$6:D$747,4,0)," ")</f>
        <v>N-O</v>
      </c>
      <c r="D205" s="54" t="s">
        <v>95</v>
      </c>
      <c r="E205" s="54">
        <v>2206</v>
      </c>
      <c r="F205" s="54" t="s">
        <v>876</v>
      </c>
      <c r="G205" s="54" t="s">
        <v>853</v>
      </c>
      <c r="H205" s="54" t="s">
        <v>47</v>
      </c>
      <c r="I205" s="54" t="s">
        <v>1137</v>
      </c>
      <c r="J205" s="54" t="s">
        <v>48</v>
      </c>
      <c r="K205" s="54"/>
      <c r="L205" s="54"/>
      <c r="M205" s="54"/>
      <c r="N205" s="54" t="s">
        <v>1268</v>
      </c>
    </row>
    <row r="206" spans="1:14" ht="117.5">
      <c r="A206" s="54" t="str">
        <f>IFERROR(VLOOKUP(D206,'Master sheet (Clientes)'!A$6:D$747,2,0)," ")</f>
        <v>NJ</v>
      </c>
      <c r="B206" s="54" t="str">
        <f>IFERROR(VLOOKUP(D206,'Master sheet (Clientes)'!A$6:D$747,3,0)," ")</f>
        <v>Vivmark Residential</v>
      </c>
      <c r="C206" s="54" t="str">
        <f>IFERROR(VLOOKUP(D206,'Master sheet (Clientes)'!A$6:D$747,4,0)," ")</f>
        <v>N-O</v>
      </c>
      <c r="D206" s="54" t="s">
        <v>95</v>
      </c>
      <c r="E206" s="54">
        <v>4308</v>
      </c>
      <c r="F206" s="54" t="s">
        <v>854</v>
      </c>
      <c r="G206" s="54" t="s">
        <v>853</v>
      </c>
      <c r="H206" s="54" t="s">
        <v>1377</v>
      </c>
      <c r="I206" s="54" t="s">
        <v>1137</v>
      </c>
      <c r="J206" s="54" t="s">
        <v>48</v>
      </c>
      <c r="K206" s="54"/>
      <c r="L206" s="54"/>
      <c r="M206" s="54" t="s">
        <v>1376</v>
      </c>
      <c r="N206" s="54" t="s">
        <v>1268</v>
      </c>
    </row>
    <row r="207" spans="1:14" ht="70.5">
      <c r="A207" s="54" t="str">
        <f>IFERROR(VLOOKUP(D207,'Master sheet (Clientes)'!A$6:D$747,2,0)," ")</f>
        <v>NJ</v>
      </c>
      <c r="B207" s="54" t="str">
        <f>IFERROR(VLOOKUP(D207,'Master sheet (Clientes)'!A$6:D$747,3,0)," ")</f>
        <v>Vivmark Residential</v>
      </c>
      <c r="C207" s="54" t="str">
        <f>IFERROR(VLOOKUP(D207,'Master sheet (Clientes)'!A$6:D$747,4,0)," ")</f>
        <v>N-O</v>
      </c>
      <c r="D207" s="54" t="s">
        <v>95</v>
      </c>
      <c r="E207" s="54" t="s">
        <v>959</v>
      </c>
      <c r="F207" s="54" t="s">
        <v>854</v>
      </c>
      <c r="G207" s="54" t="s">
        <v>853</v>
      </c>
      <c r="H207" s="54" t="s">
        <v>1625</v>
      </c>
      <c r="I207" s="54" t="s">
        <v>1137</v>
      </c>
      <c r="J207" s="54" t="s">
        <v>48</v>
      </c>
      <c r="K207" s="54"/>
      <c r="L207" s="54"/>
      <c r="M207" s="54"/>
      <c r="N207" s="54" t="s">
        <v>1268</v>
      </c>
    </row>
    <row r="208" spans="1:14">
      <c r="A208" s="1"/>
      <c r="B208" s="1"/>
      <c r="C208" s="1"/>
      <c r="D208" s="1"/>
      <c r="E208" s="1"/>
      <c r="F208" s="1"/>
      <c r="G208" s="1"/>
      <c r="H208" s="1"/>
      <c r="I208" s="1"/>
      <c r="J208" s="1"/>
      <c r="K208" s="1"/>
      <c r="L208" s="1"/>
      <c r="M208" s="1"/>
      <c r="N208" s="1"/>
    </row>
    <row r="209" spans="1:14" s="1" customFormat="1" ht="47">
      <c r="A209" s="4" t="s">
        <v>8</v>
      </c>
      <c r="B209" s="4" t="s">
        <v>9</v>
      </c>
      <c r="C209" s="4" t="s">
        <v>10</v>
      </c>
      <c r="D209" s="4" t="s">
        <v>11</v>
      </c>
      <c r="E209" s="4" t="s">
        <v>12</v>
      </c>
      <c r="F209" s="4" t="s">
        <v>13</v>
      </c>
      <c r="G209" s="38" t="s">
        <v>14</v>
      </c>
      <c r="H209" s="4" t="s">
        <v>15</v>
      </c>
      <c r="I209" s="38" t="s">
        <v>16</v>
      </c>
      <c r="J209" s="38" t="s">
        <v>17</v>
      </c>
      <c r="K209" s="38" t="s">
        <v>18</v>
      </c>
      <c r="L209" s="38" t="s">
        <v>19</v>
      </c>
      <c r="M209" s="38" t="s">
        <v>20</v>
      </c>
      <c r="N209" s="38" t="s">
        <v>21</v>
      </c>
    </row>
    <row r="210" spans="1:14" ht="70.5">
      <c r="A210" s="54" t="str">
        <f>IFERROR(VLOOKUP(D210,'Master sheet (Clientes)'!A$6:D$747,2,0)," ")</f>
        <v>NJ</v>
      </c>
      <c r="B210" s="54" t="str">
        <f>IFERROR(VLOOKUP(D210,'Master sheet (Clientes)'!A$6:D$747,3,0)," ")</f>
        <v>Willow Bridge P.C.</v>
      </c>
      <c r="C210" s="54" t="str">
        <f>IFERROR(VLOOKUP(D210,'Master sheet (Clientes)'!A$6:D$747,4,0)," ")</f>
        <v>N-O</v>
      </c>
      <c r="D210" s="54" t="s">
        <v>253</v>
      </c>
      <c r="E210" s="54">
        <v>6104</v>
      </c>
      <c r="F210" s="54"/>
      <c r="G210" s="54" t="s">
        <v>837</v>
      </c>
      <c r="H210" s="54" t="s">
        <v>949</v>
      </c>
      <c r="I210" s="54" t="s">
        <v>950</v>
      </c>
      <c r="J210" s="54" t="s">
        <v>48</v>
      </c>
      <c r="K210" s="54"/>
      <c r="L210" s="54"/>
      <c r="M210" s="54"/>
      <c r="N210" s="54" t="s">
        <v>1268</v>
      </c>
    </row>
    <row r="211" spans="1:14">
      <c r="A211" s="1"/>
      <c r="B211" s="1"/>
      <c r="C211" s="1"/>
      <c r="D211" s="1"/>
      <c r="E211" s="1"/>
      <c r="F211" s="1"/>
      <c r="G211" s="1"/>
      <c r="H211" s="1"/>
      <c r="I211" s="1"/>
      <c r="J211" s="1"/>
      <c r="K211" s="1"/>
      <c r="L211" s="1"/>
      <c r="M211" s="1"/>
      <c r="N211" s="1"/>
    </row>
    <row r="212" spans="1:14" s="1" customFormat="1" ht="47">
      <c r="A212" s="4" t="s">
        <v>8</v>
      </c>
      <c r="B212" s="4" t="s">
        <v>9</v>
      </c>
      <c r="C212" s="4" t="s">
        <v>10</v>
      </c>
      <c r="D212" s="4" t="s">
        <v>11</v>
      </c>
      <c r="E212" s="4" t="s">
        <v>12</v>
      </c>
      <c r="F212" s="4" t="s">
        <v>13</v>
      </c>
      <c r="G212" s="38" t="s">
        <v>14</v>
      </c>
      <c r="H212" s="4" t="s">
        <v>15</v>
      </c>
      <c r="I212" s="38" t="s">
        <v>16</v>
      </c>
      <c r="J212" s="38" t="s">
        <v>17</v>
      </c>
      <c r="K212" s="38" t="s">
        <v>18</v>
      </c>
      <c r="L212" s="38" t="s">
        <v>19</v>
      </c>
      <c r="M212" s="38" t="s">
        <v>20</v>
      </c>
      <c r="N212" s="38" t="s">
        <v>21</v>
      </c>
    </row>
    <row r="213" spans="1:14" ht="70.5">
      <c r="A213" s="54" t="str">
        <f>IFERROR(VLOOKUP(D213,'Master sheet (Clientes)'!A$6:D$747,2,0)," ")</f>
        <v>NJ</v>
      </c>
      <c r="B213" s="54" t="str">
        <f>IFERROR(VLOOKUP(D213,'Master sheet (Clientes)'!A$6:D$747,3,0)," ")</f>
        <v>Willow Bridge P.C.</v>
      </c>
      <c r="C213" s="54" t="str">
        <f>IFERROR(VLOOKUP(D213,'Master sheet (Clientes)'!A$6:D$747,4,0)," ")</f>
        <v>N-O</v>
      </c>
      <c r="D213" s="54" t="s">
        <v>249</v>
      </c>
      <c r="E213" s="54">
        <v>320</v>
      </c>
      <c r="F213" s="54"/>
      <c r="G213" s="54" t="s">
        <v>837</v>
      </c>
      <c r="H213" s="54" t="s">
        <v>1374</v>
      </c>
      <c r="I213" s="54" t="s">
        <v>839</v>
      </c>
      <c r="J213" s="54" t="s">
        <v>48</v>
      </c>
      <c r="K213" s="54" t="s">
        <v>884</v>
      </c>
      <c r="L213" s="54"/>
      <c r="M213" s="54"/>
      <c r="N213" s="54" t="s">
        <v>1268</v>
      </c>
    </row>
    <row r="214" spans="1:14" ht="70.5">
      <c r="A214" s="54" t="str">
        <f>IFERROR(VLOOKUP(D214,'Master sheet (Clientes)'!A$6:D$747,2,0)," ")</f>
        <v>NJ</v>
      </c>
      <c r="B214" s="54" t="str">
        <f>IFERROR(VLOOKUP(D214,'Master sheet (Clientes)'!A$6:D$747,3,0)," ")</f>
        <v>Bozzuto</v>
      </c>
      <c r="C214" s="54" t="str">
        <f>IFERROR(VLOOKUP(D214,'Master sheet (Clientes)'!A$6:D$747,4,0)," ")</f>
        <v>N-O</v>
      </c>
      <c r="D214" s="54" t="s">
        <v>159</v>
      </c>
      <c r="E214" s="54">
        <v>241</v>
      </c>
      <c r="F214" s="54"/>
      <c r="G214" s="54" t="s">
        <v>853</v>
      </c>
      <c r="H214" s="54" t="s">
        <v>1160</v>
      </c>
      <c r="I214" s="54" t="s">
        <v>839</v>
      </c>
      <c r="J214" s="54" t="s">
        <v>48</v>
      </c>
      <c r="K214" s="54"/>
      <c r="L214" s="54"/>
      <c r="M214" s="54"/>
      <c r="N214" s="54" t="s">
        <v>1268</v>
      </c>
    </row>
    <row r="215" spans="1:14">
      <c r="A215" s="1"/>
      <c r="B215" s="1"/>
      <c r="C215" s="1"/>
      <c r="D215" s="1"/>
      <c r="E215" s="1"/>
      <c r="F215" s="1"/>
      <c r="G215" s="1"/>
      <c r="H215" s="1"/>
      <c r="I215" s="1"/>
      <c r="J215" s="1"/>
      <c r="K215" s="1"/>
      <c r="L215" s="1"/>
      <c r="M215" s="1"/>
      <c r="N215" s="1"/>
    </row>
    <row r="216" spans="1:14" s="1" customFormat="1" ht="47">
      <c r="A216" s="4" t="s">
        <v>8</v>
      </c>
      <c r="B216" s="4" t="s">
        <v>9</v>
      </c>
      <c r="C216" s="4" t="s">
        <v>10</v>
      </c>
      <c r="D216" s="4" t="s">
        <v>11</v>
      </c>
      <c r="E216" s="4" t="s">
        <v>12</v>
      </c>
      <c r="F216" s="4" t="s">
        <v>13</v>
      </c>
      <c r="G216" s="38" t="s">
        <v>14</v>
      </c>
      <c r="H216" s="4" t="s">
        <v>15</v>
      </c>
      <c r="I216" s="38" t="s">
        <v>16</v>
      </c>
      <c r="J216" s="38" t="s">
        <v>17</v>
      </c>
      <c r="K216" s="38" t="s">
        <v>18</v>
      </c>
      <c r="L216" s="38" t="s">
        <v>19</v>
      </c>
      <c r="M216" s="38" t="s">
        <v>20</v>
      </c>
      <c r="N216" s="38" t="s">
        <v>21</v>
      </c>
    </row>
    <row r="217" spans="1:14" ht="70.5">
      <c r="A217" s="54" t="str">
        <f>IFERROR(VLOOKUP(D217,'Master sheet (Clientes)'!A$6:D$747,2,0)," ")</f>
        <v>NJ</v>
      </c>
      <c r="B217" s="54" t="str">
        <f>IFERROR(VLOOKUP(D217,'Master sheet (Clientes)'!A$6:D$747,3,0)," ")</f>
        <v>Willow Bridge P.C.</v>
      </c>
      <c r="C217" s="54" t="str">
        <f>IFERROR(VLOOKUP(D217,'Master sheet (Clientes)'!A$6:D$747,4,0)," ")</f>
        <v>N-O</v>
      </c>
      <c r="D217" s="54" t="s">
        <v>253</v>
      </c>
      <c r="E217" s="54">
        <v>6104</v>
      </c>
      <c r="F217" s="54"/>
      <c r="G217" s="54" t="s">
        <v>837</v>
      </c>
      <c r="H217" s="54" t="s">
        <v>1133</v>
      </c>
      <c r="I217" s="54" t="s">
        <v>948</v>
      </c>
      <c r="J217" s="54" t="s">
        <v>48</v>
      </c>
      <c r="K217" s="54"/>
      <c r="L217" s="54"/>
      <c r="M217" s="54"/>
      <c r="N217" s="54" t="s">
        <v>1268</v>
      </c>
    </row>
    <row r="218" spans="1:14">
      <c r="A218" s="1"/>
      <c r="B218" s="1"/>
      <c r="C218" s="1"/>
      <c r="D218" s="1"/>
      <c r="E218" s="1"/>
      <c r="F218" s="1"/>
      <c r="G218" s="1"/>
      <c r="H218" s="1"/>
      <c r="I218" s="1"/>
      <c r="J218" s="1"/>
      <c r="K218" s="1"/>
      <c r="L218" s="1"/>
      <c r="M218" s="1"/>
      <c r="N218" s="1"/>
    </row>
    <row r="219" spans="1:14" s="1" customFormat="1" ht="47">
      <c r="A219" s="4" t="s">
        <v>8</v>
      </c>
      <c r="B219" s="4" t="s">
        <v>9</v>
      </c>
      <c r="C219" s="4" t="s">
        <v>10</v>
      </c>
      <c r="D219" s="4" t="s">
        <v>11</v>
      </c>
      <c r="E219" s="4" t="s">
        <v>12</v>
      </c>
      <c r="F219" s="4" t="s">
        <v>13</v>
      </c>
      <c r="G219" s="38" t="s">
        <v>14</v>
      </c>
      <c r="H219" s="4" t="s">
        <v>15</v>
      </c>
      <c r="I219" s="38" t="s">
        <v>16</v>
      </c>
      <c r="J219" s="38" t="s">
        <v>17</v>
      </c>
      <c r="K219" s="38" t="s">
        <v>18</v>
      </c>
      <c r="L219" s="38" t="s">
        <v>19</v>
      </c>
      <c r="M219" s="38" t="s">
        <v>20</v>
      </c>
      <c r="N219" s="38" t="s">
        <v>21</v>
      </c>
    </row>
    <row r="220" spans="1:14" ht="70.5">
      <c r="A220" s="54" t="str">
        <f>IFERROR(VLOOKUP(D220,'Master sheet (Clientes)'!A$6:D$747,2,0)," ")</f>
        <v>NJ</v>
      </c>
      <c r="B220" s="54" t="str">
        <f>IFERROR(VLOOKUP(D220,'Master sheet (Clientes)'!A$6:D$747,3,0)," ")</f>
        <v>Vivmark Residential</v>
      </c>
      <c r="C220" s="54" t="str">
        <f>IFERROR(VLOOKUP(D220,'Master sheet (Clientes)'!A$6:D$747,4,0)," ")</f>
        <v>N-O</v>
      </c>
      <c r="D220" s="54" t="s">
        <v>90</v>
      </c>
      <c r="E220" s="54" t="s">
        <v>1073</v>
      </c>
      <c r="F220" s="54"/>
      <c r="G220" s="54" t="s">
        <v>876</v>
      </c>
      <c r="H220" s="54" t="s">
        <v>1074</v>
      </c>
      <c r="I220" s="54" t="s">
        <v>1075</v>
      </c>
      <c r="J220" s="54" t="s">
        <v>48</v>
      </c>
      <c r="K220" s="54"/>
      <c r="L220" s="54"/>
      <c r="M220" s="54"/>
      <c r="N220" s="54" t="s">
        <v>1268</v>
      </c>
    </row>
    <row r="221" spans="1:14">
      <c r="A221" s="1"/>
      <c r="B221" s="1"/>
      <c r="C221" s="1"/>
      <c r="D221" s="1"/>
      <c r="E221" s="1"/>
      <c r="F221" s="1"/>
      <c r="G221" s="1"/>
      <c r="H221" s="1"/>
      <c r="I221" s="1"/>
      <c r="K221" s="1"/>
      <c r="L221" s="1"/>
      <c r="M221" s="1"/>
      <c r="N221" s="1"/>
    </row>
    <row r="222" spans="1:14" s="1" customFormat="1" ht="36">
      <c r="A222" s="45"/>
      <c r="B222" s="45"/>
      <c r="C222" s="45"/>
      <c r="D222" s="131" t="str">
        <f>A1</f>
        <v>BuildCare SCHEDULE TUESDAY, SEPTEMBER 01 / 2026</v>
      </c>
      <c r="E222" s="131"/>
      <c r="F222" s="131"/>
      <c r="G222" s="131"/>
      <c r="H222" s="131"/>
      <c r="I222" s="131"/>
      <c r="J222" s="131"/>
      <c r="K222" s="131"/>
      <c r="L222" s="131"/>
      <c r="M222" s="45"/>
      <c r="N222" s="32"/>
    </row>
    <row r="223" spans="1:14">
      <c r="A223" s="1"/>
      <c r="B223" s="1"/>
      <c r="C223" s="1"/>
      <c r="D223" s="1"/>
      <c r="E223" s="1"/>
      <c r="F223" s="1"/>
      <c r="G223" s="1"/>
      <c r="H223" s="1"/>
      <c r="I223" s="1"/>
      <c r="K223" s="1"/>
      <c r="L223" s="1"/>
      <c r="M223" s="1"/>
      <c r="N223" s="1"/>
    </row>
    <row r="224" spans="1:14" ht="28.5">
      <c r="A224" s="34"/>
      <c r="B224" s="34"/>
      <c r="C224" s="34"/>
      <c r="D224" s="126" t="s">
        <v>32</v>
      </c>
      <c r="E224" s="126"/>
      <c r="F224" s="126"/>
      <c r="G224" s="126"/>
      <c r="H224" s="126"/>
      <c r="I224" s="126"/>
      <c r="J224" s="126"/>
      <c r="K224" s="126"/>
      <c r="L224" s="126"/>
      <c r="M224" s="18"/>
      <c r="N224" s="18"/>
    </row>
    <row r="225" spans="1:20" s="5" customFormat="1">
      <c r="A225" s="3"/>
      <c r="B225" s="3"/>
      <c r="C225" s="3"/>
      <c r="D225" s="3"/>
      <c r="E225" s="3"/>
      <c r="F225" s="3"/>
      <c r="G225" s="3"/>
      <c r="H225" s="3"/>
      <c r="I225" s="3"/>
      <c r="J225" s="3"/>
      <c r="K225" s="1"/>
      <c r="L225" s="1"/>
      <c r="M225" s="1"/>
      <c r="N225" s="1"/>
      <c r="O225" s="35"/>
      <c r="P225" s="35"/>
      <c r="Q225" s="35"/>
    </row>
    <row r="226" spans="1:20" s="5" customFormat="1" ht="26">
      <c r="A226" s="33"/>
      <c r="B226" s="33"/>
      <c r="C226" s="33"/>
      <c r="D226" s="127" t="s">
        <v>33</v>
      </c>
      <c r="E226" s="127"/>
      <c r="F226" s="127"/>
      <c r="G226" s="127"/>
      <c r="H226" s="127"/>
      <c r="I226" s="127"/>
      <c r="J226" s="127"/>
      <c r="K226" s="127"/>
      <c r="L226" s="127"/>
      <c r="M226" s="16"/>
      <c r="N226" s="16"/>
      <c r="O226" s="35"/>
      <c r="P226" s="35"/>
      <c r="Q226" s="35"/>
    </row>
    <row r="227" spans="1:20" s="5" customFormat="1" ht="26">
      <c r="A227" s="43"/>
      <c r="B227" s="43"/>
      <c r="C227" s="43"/>
      <c r="D227" s="128" t="s">
        <v>34</v>
      </c>
      <c r="E227" s="128"/>
      <c r="F227" s="128"/>
      <c r="G227" s="128"/>
      <c r="H227" s="128"/>
      <c r="I227" s="128"/>
      <c r="J227" s="128"/>
      <c r="K227" s="128"/>
      <c r="L227" s="128"/>
      <c r="M227" s="44"/>
      <c r="N227" s="44"/>
      <c r="O227" s="35"/>
      <c r="P227" s="35"/>
      <c r="Q227" s="35"/>
    </row>
    <row r="228" spans="1:20" s="1" customFormat="1"/>
    <row r="229" spans="1:20" s="1" customFormat="1" ht="26">
      <c r="A229" s="17"/>
      <c r="B229" s="17"/>
      <c r="C229" s="17"/>
      <c r="D229" s="125" t="s">
        <v>35</v>
      </c>
      <c r="E229" s="125"/>
      <c r="F229" s="125"/>
      <c r="G229" s="125"/>
      <c r="H229" s="125"/>
      <c r="I229" s="125"/>
      <c r="J229" s="125"/>
      <c r="K229" s="125"/>
      <c r="L229" s="125"/>
      <c r="M229" s="15"/>
      <c r="N229" s="15"/>
    </row>
    <row r="230" spans="1:20" s="1" customFormat="1" ht="26">
      <c r="A230" s="46"/>
      <c r="B230" s="46"/>
      <c r="C230" s="46"/>
      <c r="D230" s="125" t="s">
        <v>36</v>
      </c>
      <c r="E230" s="125"/>
      <c r="F230" s="125"/>
      <c r="G230" s="125"/>
      <c r="H230" s="125"/>
      <c r="I230" s="125"/>
      <c r="J230" s="17"/>
      <c r="K230" s="17"/>
      <c r="L230" s="17"/>
      <c r="M230" s="15"/>
      <c r="N230" s="15"/>
    </row>
    <row r="231" spans="1:20" s="1" customFormat="1" ht="26">
      <c r="A231" s="17"/>
      <c r="B231" s="17"/>
      <c r="C231" s="17"/>
      <c r="D231" s="125" t="s">
        <v>4</v>
      </c>
      <c r="E231" s="125"/>
      <c r="F231" s="125"/>
      <c r="G231" s="125"/>
      <c r="H231" s="125"/>
      <c r="I231" s="125"/>
      <c r="J231" s="17"/>
      <c r="K231" s="17"/>
      <c r="L231" s="17"/>
      <c r="M231" s="15"/>
      <c r="N231" s="15"/>
    </row>
    <row r="232" spans="1:20" s="1" customFormat="1">
      <c r="A232" s="3"/>
      <c r="B232" s="3"/>
      <c r="C232" s="3"/>
      <c r="D232" s="3"/>
      <c r="E232" s="3"/>
      <c r="F232" s="3"/>
      <c r="G232" s="3"/>
      <c r="H232" s="3"/>
      <c r="I232" s="3"/>
      <c r="J232" s="3"/>
    </row>
    <row r="233" spans="1:20" s="1" customFormat="1" ht="47">
      <c r="A233" s="4" t="s">
        <v>8</v>
      </c>
      <c r="B233" s="4" t="s">
        <v>9</v>
      </c>
      <c r="C233" s="4" t="s">
        <v>10</v>
      </c>
      <c r="D233" s="4" t="s">
        <v>11</v>
      </c>
      <c r="E233" s="4" t="s">
        <v>12</v>
      </c>
      <c r="F233" s="4" t="s">
        <v>13</v>
      </c>
      <c r="G233" s="38" t="s">
        <v>14</v>
      </c>
      <c r="H233" s="4" t="s">
        <v>15</v>
      </c>
      <c r="I233" s="38" t="s">
        <v>16</v>
      </c>
      <c r="J233" s="38" t="s">
        <v>17</v>
      </c>
      <c r="K233" s="38" t="s">
        <v>18</v>
      </c>
      <c r="L233" s="38" t="s">
        <v>19</v>
      </c>
      <c r="M233" s="38" t="s">
        <v>20</v>
      </c>
      <c r="N233" s="38" t="s">
        <v>21</v>
      </c>
    </row>
    <row r="234" spans="1:20" s="12" customFormat="1" ht="70.5">
      <c r="A234" s="54" t="str">
        <f>IFERROR(VLOOKUP(D234,'Master sheet (Clientes)'!A$6:D$747,2,0)," ")</f>
        <v>PA</v>
      </c>
      <c r="B234" s="54" t="str">
        <f>IFERROR(VLOOKUP(D234,'Master sheet (Clientes)'!A$6:D$747,3,0)," ")</f>
        <v>Post Brothers</v>
      </c>
      <c r="C234" s="54" t="str">
        <f>IFERROR(VLOOKUP(D234,'Master sheet (Clientes)'!A$6:D$747,4,0)," ")</f>
        <v>A-V</v>
      </c>
      <c r="D234" s="54" t="s">
        <v>623</v>
      </c>
      <c r="E234" s="54"/>
      <c r="F234" s="54"/>
      <c r="G234" s="54"/>
      <c r="H234" s="54" t="s">
        <v>1021</v>
      </c>
      <c r="I234" s="54" t="s">
        <v>1022</v>
      </c>
      <c r="J234" s="54" t="s">
        <v>48</v>
      </c>
      <c r="K234" s="54"/>
      <c r="L234" s="54"/>
      <c r="M234" s="54" t="s">
        <v>1023</v>
      </c>
      <c r="N234" s="54" t="s">
        <v>1269</v>
      </c>
      <c r="O234" s="1"/>
      <c r="P234" s="1"/>
      <c r="Q234" s="1"/>
      <c r="R234" s="11"/>
      <c r="S234" s="11"/>
      <c r="T234" s="11"/>
    </row>
    <row r="235" spans="1:20" s="12" customFormat="1" ht="70.5">
      <c r="A235" s="54" t="str">
        <f>IFERROR(VLOOKUP(D235,'Master sheet (Clientes)'!A$6:D$747,2,0)," ")</f>
        <v>PA</v>
      </c>
      <c r="B235" s="54" t="str">
        <f>IFERROR(VLOOKUP(D235,'Master sheet (Clientes)'!A$6:D$747,3,0)," ")</f>
        <v>Post Brothers</v>
      </c>
      <c r="C235" s="54" t="str">
        <f>IFERROR(VLOOKUP(D235,'Master sheet (Clientes)'!A$6:D$747,4,0)," ")</f>
        <v>A-V</v>
      </c>
      <c r="D235" s="54" t="s">
        <v>619</v>
      </c>
      <c r="E235" s="54"/>
      <c r="F235" s="54"/>
      <c r="G235" s="54"/>
      <c r="H235" s="54" t="s">
        <v>1052</v>
      </c>
      <c r="I235" s="54" t="s">
        <v>1275</v>
      </c>
      <c r="J235" s="54" t="s">
        <v>48</v>
      </c>
      <c r="K235" s="54"/>
      <c r="L235" s="54"/>
      <c r="M235" s="54" t="s">
        <v>1060</v>
      </c>
      <c r="N235" s="54" t="s">
        <v>1268</v>
      </c>
      <c r="O235" s="1"/>
      <c r="P235" s="1"/>
      <c r="Q235" s="1"/>
      <c r="R235" s="11"/>
      <c r="S235" s="11"/>
      <c r="T235" s="11"/>
    </row>
    <row r="236" spans="1:20" s="12" customFormat="1" ht="70.5">
      <c r="A236" s="54" t="str">
        <f>IFERROR(VLOOKUP(D236,'Master sheet (Clientes)'!A$6:D$747,2,0)," ")</f>
        <v>PA</v>
      </c>
      <c r="B236" s="54" t="str">
        <f>IFERROR(VLOOKUP(D236,'Master sheet (Clientes)'!A$6:D$747,3,0)," ")</f>
        <v>Post Brothers</v>
      </c>
      <c r="C236" s="54" t="str">
        <f>IFERROR(VLOOKUP(D236,'Master sheet (Clientes)'!A$6:D$747,4,0)," ")</f>
        <v>A-V</v>
      </c>
      <c r="D236" s="54" t="s">
        <v>622</v>
      </c>
      <c r="E236" s="54"/>
      <c r="F236" s="54"/>
      <c r="G236" s="54"/>
      <c r="H236" s="54" t="s">
        <v>1326</v>
      </c>
      <c r="I236" s="54" t="s">
        <v>1496</v>
      </c>
      <c r="J236" s="54" t="s">
        <v>48</v>
      </c>
      <c r="K236" s="54"/>
      <c r="L236" s="54"/>
      <c r="M236" s="54" t="s">
        <v>1023</v>
      </c>
      <c r="N236" s="54" t="s">
        <v>1269</v>
      </c>
      <c r="O236" s="1"/>
      <c r="P236" s="1"/>
      <c r="Q236" s="1"/>
      <c r="R236" s="11"/>
      <c r="S236" s="11"/>
      <c r="T236" s="11"/>
    </row>
    <row r="237" spans="1:20" s="12" customFormat="1" ht="70.5">
      <c r="A237" s="54" t="str">
        <f>IFERROR(VLOOKUP(D237,'Master sheet (Clientes)'!A$6:D$747,2,0)," ")</f>
        <v>PA</v>
      </c>
      <c r="B237" s="54" t="str">
        <f>IFERROR(VLOOKUP(D237,'Master sheet (Clientes)'!A$6:D$747,3,0)," ")</f>
        <v>Post Brothers</v>
      </c>
      <c r="C237" s="54" t="str">
        <f>IFERROR(VLOOKUP(D237,'Master sheet (Clientes)'!A$6:D$747,4,0)," ")</f>
        <v>A-V</v>
      </c>
      <c r="D237" s="54" t="s">
        <v>618</v>
      </c>
      <c r="E237" s="54">
        <v>473</v>
      </c>
      <c r="F237" s="99" t="s">
        <v>1455</v>
      </c>
      <c r="G237" s="54" t="s">
        <v>853</v>
      </c>
      <c r="H237" s="54" t="s">
        <v>1434</v>
      </c>
      <c r="I237" s="54" t="s">
        <v>1495</v>
      </c>
      <c r="J237" s="54" t="s">
        <v>48</v>
      </c>
      <c r="K237" s="54"/>
      <c r="L237" s="54"/>
      <c r="M237" s="54"/>
      <c r="N237" s="54" t="s">
        <v>1268</v>
      </c>
      <c r="O237" s="1"/>
      <c r="P237" s="1"/>
      <c r="Q237" s="1"/>
      <c r="R237" s="11"/>
      <c r="S237" s="11"/>
      <c r="T237" s="11"/>
    </row>
    <row r="238" spans="1:20" s="12" customFormat="1" ht="70.5">
      <c r="A238" s="54" t="str">
        <f>IFERROR(VLOOKUP(D238,'Master sheet (Clientes)'!A$6:D$747,2,0)," ")</f>
        <v>PA</v>
      </c>
      <c r="B238" s="54" t="str">
        <f>IFERROR(VLOOKUP(D238,'Master sheet (Clientes)'!A$6:D$747,3,0)," ")</f>
        <v>Post Brothers</v>
      </c>
      <c r="C238" s="54" t="str">
        <f>IFERROR(VLOOKUP(D238,'Master sheet (Clientes)'!A$6:D$747,4,0)," ")</f>
        <v>A-V</v>
      </c>
      <c r="D238" s="54" t="s">
        <v>618</v>
      </c>
      <c r="E238" s="54">
        <v>934</v>
      </c>
      <c r="F238" s="54" t="s">
        <v>45</v>
      </c>
      <c r="G238" s="54" t="s">
        <v>853</v>
      </c>
      <c r="H238" s="54" t="s">
        <v>1435</v>
      </c>
      <c r="I238" s="54" t="s">
        <v>1495</v>
      </c>
      <c r="J238" s="54" t="s">
        <v>48</v>
      </c>
      <c r="K238" s="54"/>
      <c r="L238" s="54"/>
      <c r="M238" s="54"/>
      <c r="N238" s="54" t="s">
        <v>1268</v>
      </c>
      <c r="O238" s="1"/>
      <c r="P238" s="1"/>
      <c r="Q238" s="1"/>
      <c r="R238" s="11"/>
      <c r="S238" s="11"/>
      <c r="T238" s="11"/>
    </row>
    <row r="239" spans="1:20">
      <c r="A239" s="1"/>
      <c r="B239" s="1"/>
      <c r="C239" s="1"/>
      <c r="D239" s="1"/>
      <c r="E239" s="1"/>
      <c r="F239" s="1"/>
      <c r="G239" s="1"/>
      <c r="H239" s="1"/>
      <c r="I239" s="1"/>
      <c r="J239" s="1"/>
      <c r="K239" s="1"/>
      <c r="L239" s="1"/>
      <c r="M239" s="1"/>
      <c r="N239" s="1"/>
    </row>
    <row r="240" spans="1:20" s="1" customFormat="1" ht="47">
      <c r="A240" s="4" t="s">
        <v>8</v>
      </c>
      <c r="B240" s="4" t="s">
        <v>9</v>
      </c>
      <c r="C240" s="4" t="s">
        <v>10</v>
      </c>
      <c r="D240" s="4" t="s">
        <v>11</v>
      </c>
      <c r="E240" s="4" t="s">
        <v>12</v>
      </c>
      <c r="F240" s="4" t="s">
        <v>13</v>
      </c>
      <c r="G240" s="38" t="s">
        <v>14</v>
      </c>
      <c r="H240" s="4" t="s">
        <v>15</v>
      </c>
      <c r="I240" s="38" t="s">
        <v>16</v>
      </c>
      <c r="J240" s="38" t="s">
        <v>17</v>
      </c>
      <c r="K240" s="38" t="s">
        <v>18</v>
      </c>
      <c r="L240" s="38" t="s">
        <v>19</v>
      </c>
      <c r="M240" s="38" t="s">
        <v>20</v>
      </c>
      <c r="N240" s="38" t="s">
        <v>21</v>
      </c>
    </row>
    <row r="241" spans="1:20" s="12" customFormat="1" ht="70.5">
      <c r="A241" s="54" t="str">
        <f>IFERROR(VLOOKUP(D241,'Master sheet (Clientes)'!A$6:D$747,2,0)," ")</f>
        <v>PA</v>
      </c>
      <c r="B241" s="54" t="str">
        <f>IFERROR(VLOOKUP(D241,'Master sheet (Clientes)'!A$6:D$747,3,0)," ")</f>
        <v>Post Brothers</v>
      </c>
      <c r="C241" s="54" t="str">
        <f>IFERROR(VLOOKUP(D241,'Master sheet (Clientes)'!A$6:D$747,4,0)," ")</f>
        <v>A-V</v>
      </c>
      <c r="D241" s="54" t="s">
        <v>618</v>
      </c>
      <c r="E241" s="54">
        <v>652</v>
      </c>
      <c r="F241" s="99" t="s">
        <v>874</v>
      </c>
      <c r="G241" s="54" t="s">
        <v>853</v>
      </c>
      <c r="H241" s="54" t="s">
        <v>1354</v>
      </c>
      <c r="I241" s="54" t="s">
        <v>1355</v>
      </c>
      <c r="J241" s="54" t="s">
        <v>48</v>
      </c>
      <c r="K241" s="54"/>
      <c r="L241" s="54"/>
      <c r="M241" s="54" t="s">
        <v>1023</v>
      </c>
      <c r="N241" s="54" t="s">
        <v>1268</v>
      </c>
      <c r="O241" s="1"/>
      <c r="P241" s="1"/>
      <c r="Q241" s="1"/>
      <c r="R241" s="11"/>
      <c r="S241" s="11"/>
      <c r="T241" s="11"/>
    </row>
    <row r="242" spans="1:20">
      <c r="A242" s="1"/>
      <c r="B242" s="1"/>
      <c r="C242" s="1"/>
      <c r="D242" s="1"/>
      <c r="E242" s="1"/>
      <c r="F242" s="1"/>
      <c r="G242" s="1"/>
      <c r="H242" s="1"/>
      <c r="I242" s="1"/>
      <c r="J242" s="1"/>
      <c r="K242" s="1"/>
      <c r="L242" s="1"/>
      <c r="M242" s="1"/>
      <c r="N242" s="1"/>
    </row>
    <row r="243" spans="1:20" s="1" customFormat="1" ht="47">
      <c r="A243" s="4" t="s">
        <v>8</v>
      </c>
      <c r="B243" s="4" t="s">
        <v>9</v>
      </c>
      <c r="C243" s="4" t="s">
        <v>10</v>
      </c>
      <c r="D243" s="4" t="s">
        <v>11</v>
      </c>
      <c r="E243" s="4" t="s">
        <v>12</v>
      </c>
      <c r="F243" s="4" t="s">
        <v>13</v>
      </c>
      <c r="G243" s="38" t="s">
        <v>14</v>
      </c>
      <c r="H243" s="4" t="s">
        <v>15</v>
      </c>
      <c r="I243" s="38" t="s">
        <v>16</v>
      </c>
      <c r="J243" s="38" t="s">
        <v>17</v>
      </c>
      <c r="K243" s="38" t="s">
        <v>18</v>
      </c>
      <c r="L243" s="38" t="s">
        <v>19</v>
      </c>
      <c r="M243" s="38" t="s">
        <v>20</v>
      </c>
      <c r="N243" s="38" t="s">
        <v>21</v>
      </c>
    </row>
    <row r="244" spans="1:20" s="111" customFormat="1" ht="70.5">
      <c r="A244" s="92" t="str">
        <f>IFERROR(VLOOKUP(D244,'Master sheet (Clientes)'!A$6:D$747,2,0)," ")</f>
        <v>PA</v>
      </c>
      <c r="B244" s="92" t="str">
        <f>IFERROR(VLOOKUP(D244,'Master sheet (Clientes)'!A$6:D$747,3,0)," ")</f>
        <v>Post Brothers</v>
      </c>
      <c r="C244" s="92" t="str">
        <f>IFERROR(VLOOKUP(D244,'Master sheet (Clientes)'!A$6:D$747,4,0)," ")</f>
        <v>A-V</v>
      </c>
      <c r="D244" s="92" t="s">
        <v>622</v>
      </c>
      <c r="E244" s="92"/>
      <c r="F244" s="92"/>
      <c r="G244" s="92"/>
      <c r="H244" s="92" t="s">
        <v>1326</v>
      </c>
      <c r="I244" s="92" t="s">
        <v>1327</v>
      </c>
      <c r="J244" s="92" t="s">
        <v>48</v>
      </c>
      <c r="K244" s="92"/>
      <c r="L244" s="92"/>
      <c r="M244" s="92" t="s">
        <v>1432</v>
      </c>
      <c r="N244" s="92" t="s">
        <v>1139</v>
      </c>
      <c r="O244" s="93"/>
      <c r="P244" s="93"/>
      <c r="Q244" s="93"/>
      <c r="R244" s="110"/>
      <c r="S244" s="110"/>
      <c r="T244" s="110"/>
    </row>
    <row r="245" spans="1:20">
      <c r="A245" s="1"/>
      <c r="B245" s="1"/>
      <c r="C245" s="1"/>
      <c r="D245" s="1"/>
      <c r="E245" s="1"/>
      <c r="F245" s="1"/>
      <c r="G245" s="1"/>
      <c r="H245" s="1"/>
      <c r="I245" s="1"/>
      <c r="J245" s="1"/>
      <c r="K245" s="1"/>
      <c r="L245" s="1"/>
      <c r="M245" s="1"/>
      <c r="N245" s="1"/>
    </row>
    <row r="246" spans="1:20" s="1" customFormat="1" ht="47">
      <c r="A246" s="4" t="s">
        <v>8</v>
      </c>
      <c r="B246" s="4" t="s">
        <v>9</v>
      </c>
      <c r="C246" s="4" t="s">
        <v>10</v>
      </c>
      <c r="D246" s="4" t="s">
        <v>11</v>
      </c>
      <c r="E246" s="4" t="s">
        <v>12</v>
      </c>
      <c r="F246" s="4" t="s">
        <v>13</v>
      </c>
      <c r="G246" s="38" t="s">
        <v>14</v>
      </c>
      <c r="H246" s="4" t="s">
        <v>15</v>
      </c>
      <c r="I246" s="38" t="s">
        <v>16</v>
      </c>
      <c r="J246" s="38" t="s">
        <v>17</v>
      </c>
      <c r="K246" s="38" t="s">
        <v>18</v>
      </c>
      <c r="L246" s="38" t="s">
        <v>19</v>
      </c>
      <c r="M246" s="38" t="s">
        <v>20</v>
      </c>
      <c r="N246" s="38" t="s">
        <v>21</v>
      </c>
    </row>
    <row r="247" spans="1:20" s="12" customFormat="1" ht="70.5">
      <c r="A247" s="54" t="str">
        <f>IFERROR(VLOOKUP(D247,'Master sheet (Clientes)'!A$6:D$747,2,0)," ")</f>
        <v>PA</v>
      </c>
      <c r="B247" s="54" t="str">
        <f>IFERROR(VLOOKUP(D247,'Master sheet (Clientes)'!A$6:D$747,3,0)," ")</f>
        <v>Post Brothers</v>
      </c>
      <c r="C247" s="54" t="str">
        <f>IFERROR(VLOOKUP(D247,'Master sheet (Clientes)'!A$6:D$747,4,0)," ")</f>
        <v>A-V</v>
      </c>
      <c r="D247" s="54" t="s">
        <v>619</v>
      </c>
      <c r="E247" s="54"/>
      <c r="F247" s="54"/>
      <c r="G247" s="54"/>
      <c r="H247" s="54" t="s">
        <v>986</v>
      </c>
      <c r="I247" s="54" t="s">
        <v>982</v>
      </c>
      <c r="J247" s="54" t="s">
        <v>48</v>
      </c>
      <c r="K247" s="54"/>
      <c r="L247" s="54"/>
      <c r="M247" s="54" t="s">
        <v>900</v>
      </c>
      <c r="N247" s="54" t="s">
        <v>1266</v>
      </c>
      <c r="O247" s="1"/>
      <c r="P247" s="1"/>
      <c r="Q247" s="1"/>
      <c r="R247" s="11"/>
      <c r="S247" s="11"/>
      <c r="T247" s="11"/>
    </row>
    <row r="248" spans="1:20" s="12" customFormat="1" ht="70.5">
      <c r="A248" s="54" t="str">
        <f>IFERROR(VLOOKUP(D248,'Master sheet (Clientes)'!A$6:D$747,2,0)," ")</f>
        <v>PA</v>
      </c>
      <c r="B248" s="54" t="str">
        <f>IFERROR(VLOOKUP(D248,'Master sheet (Clientes)'!A$6:D$747,3,0)," ")</f>
        <v>Post Brothers</v>
      </c>
      <c r="C248" s="54" t="str">
        <f>IFERROR(VLOOKUP(D248,'Master sheet (Clientes)'!A$6:D$747,4,0)," ")</f>
        <v>A-V</v>
      </c>
      <c r="D248" s="54" t="s">
        <v>622</v>
      </c>
      <c r="E248" s="54"/>
      <c r="F248" s="54"/>
      <c r="G248" s="54"/>
      <c r="H248" s="54" t="s">
        <v>983</v>
      </c>
      <c r="I248" s="54" t="s">
        <v>984</v>
      </c>
      <c r="J248" s="54" t="s">
        <v>48</v>
      </c>
      <c r="K248" s="54"/>
      <c r="L248" s="54"/>
      <c r="M248" s="54" t="s">
        <v>985</v>
      </c>
      <c r="N248" s="54" t="s">
        <v>1266</v>
      </c>
      <c r="O248" s="1"/>
      <c r="P248" s="1"/>
      <c r="Q248" s="1"/>
      <c r="R248" s="11"/>
      <c r="S248" s="11"/>
      <c r="T248" s="11"/>
    </row>
    <row r="249" spans="1:20">
      <c r="A249" s="1"/>
      <c r="B249" s="1"/>
      <c r="C249" s="1"/>
      <c r="D249" s="1"/>
      <c r="E249" s="1"/>
      <c r="F249" s="1"/>
      <c r="G249" s="1"/>
      <c r="H249" s="1"/>
      <c r="I249" s="1"/>
      <c r="J249" s="1"/>
      <c r="K249" s="1"/>
      <c r="L249" s="1"/>
      <c r="M249" s="1"/>
      <c r="N249" s="1"/>
    </row>
    <row r="250" spans="1:20" s="1" customFormat="1" ht="47">
      <c r="A250" s="4" t="s">
        <v>8</v>
      </c>
      <c r="B250" s="4" t="s">
        <v>9</v>
      </c>
      <c r="C250" s="4" t="s">
        <v>10</v>
      </c>
      <c r="D250" s="4" t="s">
        <v>11</v>
      </c>
      <c r="E250" s="4" t="s">
        <v>12</v>
      </c>
      <c r="F250" s="4" t="s">
        <v>13</v>
      </c>
      <c r="G250" s="38" t="s">
        <v>14</v>
      </c>
      <c r="H250" s="4" t="s">
        <v>15</v>
      </c>
      <c r="I250" s="38" t="s">
        <v>16</v>
      </c>
      <c r="J250" s="38" t="s">
        <v>17</v>
      </c>
      <c r="K250" s="38" t="s">
        <v>18</v>
      </c>
      <c r="L250" s="38" t="s">
        <v>19</v>
      </c>
      <c r="M250" s="38" t="s">
        <v>20</v>
      </c>
      <c r="N250" s="38" t="s">
        <v>21</v>
      </c>
    </row>
    <row r="251" spans="1:20" s="12" customFormat="1" ht="117.5">
      <c r="A251" s="54" t="str">
        <f>IFERROR(VLOOKUP(D251,'Master sheet (Clientes)'!A$6:D$747,2,0)," ")</f>
        <v>PA</v>
      </c>
      <c r="B251" s="54" t="str">
        <f>IFERROR(VLOOKUP(D251,'Master sheet (Clientes)'!A$6:D$747,3,0)," ")</f>
        <v xml:space="preserve">KRE Group Management </v>
      </c>
      <c r="C251" s="54" t="str">
        <f>IFERROR(VLOOKUP(D251,'Master sheet (Clientes)'!A$6:D$747,4,0)," ")</f>
        <v>A-V</v>
      </c>
      <c r="D251" s="54" t="s">
        <v>389</v>
      </c>
      <c r="E251" s="54"/>
      <c r="F251" s="54"/>
      <c r="G251" s="54"/>
      <c r="H251" s="54" t="s">
        <v>1024</v>
      </c>
      <c r="I251" s="54" t="s">
        <v>1025</v>
      </c>
      <c r="J251" s="54" t="s">
        <v>48</v>
      </c>
      <c r="K251" s="54"/>
      <c r="L251" s="54"/>
      <c r="M251" s="54" t="s">
        <v>1026</v>
      </c>
      <c r="N251" s="54" t="s">
        <v>1266</v>
      </c>
      <c r="O251" s="1"/>
      <c r="P251" s="1"/>
      <c r="Q251" s="1"/>
      <c r="R251" s="11"/>
      <c r="S251" s="11"/>
      <c r="T251" s="11"/>
    </row>
    <row r="252" spans="1:20" s="12" customFormat="1" ht="117.5">
      <c r="A252" s="54" t="str">
        <f>IFERROR(VLOOKUP(D252,'Master sheet (Clientes)'!A$6:D$747,2,0)," ")</f>
        <v>PA</v>
      </c>
      <c r="B252" s="54" t="str">
        <f>IFERROR(VLOOKUP(D252,'Master sheet (Clientes)'!A$6:D$747,3,0)," ")</f>
        <v xml:space="preserve">KRE Group Management </v>
      </c>
      <c r="C252" s="54" t="str">
        <f>IFERROR(VLOOKUP(D252,'Master sheet (Clientes)'!A$6:D$747,4,0)," ")</f>
        <v>A-V</v>
      </c>
      <c r="D252" s="54" t="s">
        <v>388</v>
      </c>
      <c r="E252" s="54"/>
      <c r="F252" s="54"/>
      <c r="G252" s="54"/>
      <c r="H252" s="54" t="s">
        <v>1027</v>
      </c>
      <c r="I252" s="54" t="s">
        <v>1028</v>
      </c>
      <c r="J252" s="54" t="s">
        <v>48</v>
      </c>
      <c r="K252" s="54"/>
      <c r="L252" s="54"/>
      <c r="M252" s="54" t="s">
        <v>1029</v>
      </c>
      <c r="N252" s="54" t="s">
        <v>1266</v>
      </c>
      <c r="O252" s="1"/>
      <c r="P252" s="1"/>
      <c r="Q252" s="1"/>
      <c r="R252" s="11"/>
      <c r="S252" s="11"/>
      <c r="T252" s="11"/>
    </row>
    <row r="253" spans="1:20">
      <c r="A253" s="1"/>
      <c r="B253" s="1"/>
      <c r="C253" s="1"/>
      <c r="D253" s="1"/>
      <c r="E253" s="1"/>
      <c r="F253" s="1"/>
      <c r="G253" s="1"/>
      <c r="H253" s="1"/>
      <c r="I253" s="1"/>
      <c r="J253" s="1"/>
      <c r="K253" s="1"/>
      <c r="L253" s="1"/>
      <c r="M253" s="1"/>
      <c r="N253" s="1"/>
    </row>
    <row r="254" spans="1:20" s="1" customFormat="1" ht="47">
      <c r="A254" s="4" t="s">
        <v>8</v>
      </c>
      <c r="B254" s="4" t="s">
        <v>9</v>
      </c>
      <c r="C254" s="4" t="s">
        <v>10</v>
      </c>
      <c r="D254" s="4" t="s">
        <v>11</v>
      </c>
      <c r="E254" s="4" t="s">
        <v>12</v>
      </c>
      <c r="F254" s="4" t="s">
        <v>13</v>
      </c>
      <c r="G254" s="38" t="s">
        <v>14</v>
      </c>
      <c r="H254" s="4" t="s">
        <v>15</v>
      </c>
      <c r="I254" s="38" t="s">
        <v>16</v>
      </c>
      <c r="J254" s="38" t="s">
        <v>17</v>
      </c>
      <c r="K254" s="38" t="s">
        <v>18</v>
      </c>
      <c r="L254" s="38" t="s">
        <v>19</v>
      </c>
      <c r="M254" s="38" t="s">
        <v>20</v>
      </c>
      <c r="N254" s="38" t="s">
        <v>21</v>
      </c>
    </row>
    <row r="255" spans="1:20" s="12" customFormat="1" ht="47">
      <c r="A255" s="54" t="str">
        <f>IFERROR(VLOOKUP(D255,'Master sheet (Clientes)'!A$6:D$747,2,0)," ")</f>
        <v>NJ</v>
      </c>
      <c r="B255" s="54" t="str">
        <f>IFERROR(VLOOKUP(D255,'Master sheet (Clientes)'!A$6:D$747,3,0)," ")</f>
        <v>Bozzuto</v>
      </c>
      <c r="C255" s="54" t="str">
        <f>IFERROR(VLOOKUP(D255,'Master sheet (Clientes)'!A$6:D$747,4,0)," ")</f>
        <v>N-O</v>
      </c>
      <c r="D255" s="54" t="s">
        <v>181</v>
      </c>
      <c r="E255" s="54">
        <v>541</v>
      </c>
      <c r="F255" s="54" t="s">
        <v>45</v>
      </c>
      <c r="G255" s="54" t="s">
        <v>853</v>
      </c>
      <c r="H255" s="54" t="s">
        <v>1444</v>
      </c>
      <c r="I255" s="54" t="s">
        <v>1443</v>
      </c>
      <c r="J255" s="54" t="s">
        <v>48</v>
      </c>
      <c r="K255" s="54"/>
      <c r="L255" s="54"/>
      <c r="M255" s="54" t="s">
        <v>1824</v>
      </c>
      <c r="N255" s="54" t="s">
        <v>1268</v>
      </c>
      <c r="O255" s="1"/>
      <c r="P255" s="1"/>
      <c r="Q255" s="1"/>
      <c r="R255" s="11"/>
      <c r="S255" s="11"/>
      <c r="T255" s="11"/>
    </row>
    <row r="256" spans="1:20" s="12" customFormat="1" ht="47">
      <c r="A256" s="54" t="str">
        <f>IFERROR(VLOOKUP(D256,'Master sheet (Clientes)'!A$6:D$747,2,0)," ")</f>
        <v>NJ</v>
      </c>
      <c r="B256" s="54" t="str">
        <f>IFERROR(VLOOKUP(D256,'Master sheet (Clientes)'!A$6:D$747,3,0)," ")</f>
        <v>Bozzuto</v>
      </c>
      <c r="C256" s="54" t="str">
        <f>IFERROR(VLOOKUP(D256,'Master sheet (Clientes)'!A$6:D$747,4,0)," ")</f>
        <v>N-O</v>
      </c>
      <c r="D256" s="54" t="s">
        <v>181</v>
      </c>
      <c r="E256" s="99">
        <v>547</v>
      </c>
      <c r="F256" s="54" t="s">
        <v>45</v>
      </c>
      <c r="G256" s="54" t="s">
        <v>853</v>
      </c>
      <c r="H256" s="54" t="s">
        <v>1444</v>
      </c>
      <c r="I256" s="54" t="s">
        <v>1443</v>
      </c>
      <c r="J256" s="54" t="s">
        <v>48</v>
      </c>
      <c r="K256" s="54"/>
      <c r="L256" s="54"/>
      <c r="M256" s="54" t="s">
        <v>1824</v>
      </c>
      <c r="N256" s="54" t="s">
        <v>1268</v>
      </c>
      <c r="O256" s="1"/>
      <c r="P256" s="1"/>
      <c r="Q256" s="1"/>
      <c r="R256" s="11"/>
      <c r="S256" s="11"/>
      <c r="T256" s="11"/>
    </row>
    <row r="257" spans="1:20" s="12" customFormat="1" ht="47">
      <c r="A257" s="54" t="str">
        <f>IFERROR(VLOOKUP(D257,'Master sheet (Clientes)'!A$6:D$747,2,0)," ")</f>
        <v>NJ</v>
      </c>
      <c r="B257" s="54" t="str">
        <f>IFERROR(VLOOKUP(D257,'Master sheet (Clientes)'!A$6:D$747,3,0)," ")</f>
        <v>Bozzuto</v>
      </c>
      <c r="C257" s="54" t="str">
        <f>IFERROR(VLOOKUP(D257,'Master sheet (Clientes)'!A$6:D$747,4,0)," ")</f>
        <v>N-O</v>
      </c>
      <c r="D257" s="54" t="s">
        <v>181</v>
      </c>
      <c r="E257" s="54">
        <v>216</v>
      </c>
      <c r="F257" s="54" t="s">
        <v>45</v>
      </c>
      <c r="G257" s="54" t="s">
        <v>853</v>
      </c>
      <c r="H257" s="54" t="s">
        <v>1444</v>
      </c>
      <c r="I257" s="54" t="s">
        <v>1443</v>
      </c>
      <c r="J257" s="54" t="s">
        <v>48</v>
      </c>
      <c r="K257" s="54"/>
      <c r="L257" s="54"/>
      <c r="M257" s="54" t="s">
        <v>1752</v>
      </c>
      <c r="N257" s="54" t="s">
        <v>1268</v>
      </c>
      <c r="O257" s="1"/>
      <c r="P257" s="1"/>
      <c r="Q257" s="1"/>
      <c r="R257" s="11"/>
      <c r="S257" s="11"/>
      <c r="T257" s="11"/>
    </row>
    <row r="258" spans="1:20" s="12" customFormat="1" ht="47">
      <c r="A258" s="54" t="str">
        <f>IFERROR(VLOOKUP(D258,'Master sheet (Clientes)'!A$6:D$747,2,0)," ")</f>
        <v>NJ</v>
      </c>
      <c r="B258" s="54" t="str">
        <f>IFERROR(VLOOKUP(D258,'Master sheet (Clientes)'!A$6:D$747,3,0)," ")</f>
        <v>Bozzuto</v>
      </c>
      <c r="C258" s="54" t="str">
        <f>IFERROR(VLOOKUP(D258,'Master sheet (Clientes)'!A$6:D$747,4,0)," ")</f>
        <v>N-O</v>
      </c>
      <c r="D258" s="54" t="s">
        <v>181</v>
      </c>
      <c r="E258" s="54">
        <v>325</v>
      </c>
      <c r="F258" s="54" t="s">
        <v>45</v>
      </c>
      <c r="G258" s="54" t="s">
        <v>853</v>
      </c>
      <c r="H258" s="54" t="s">
        <v>1444</v>
      </c>
      <c r="I258" s="54" t="s">
        <v>1443</v>
      </c>
      <c r="J258" s="54" t="s">
        <v>48</v>
      </c>
      <c r="K258" s="54"/>
      <c r="L258" s="54"/>
      <c r="M258" s="54" t="s">
        <v>1752</v>
      </c>
      <c r="N258" s="54" t="s">
        <v>1268</v>
      </c>
      <c r="O258" s="1"/>
      <c r="P258" s="1"/>
      <c r="Q258" s="1"/>
      <c r="R258" s="11"/>
      <c r="S258" s="11"/>
      <c r="T258" s="11"/>
    </row>
    <row r="259" spans="1:20" s="12" customFormat="1" ht="47">
      <c r="A259" s="54" t="str">
        <f>IFERROR(VLOOKUP(D259,'Master sheet (Clientes)'!A$6:D$747,2,0)," ")</f>
        <v>NJ</v>
      </c>
      <c r="B259" s="54" t="str">
        <f>IFERROR(VLOOKUP(D259,'Master sheet (Clientes)'!A$6:D$747,3,0)," ")</f>
        <v>Bozzuto</v>
      </c>
      <c r="C259" s="54" t="str">
        <f>IFERROR(VLOOKUP(D259,'Master sheet (Clientes)'!A$6:D$747,4,0)," ")</f>
        <v>N-O</v>
      </c>
      <c r="D259" s="54" t="s">
        <v>181</v>
      </c>
      <c r="E259" s="54">
        <v>331</v>
      </c>
      <c r="F259" s="54" t="s">
        <v>45</v>
      </c>
      <c r="G259" s="54" t="s">
        <v>853</v>
      </c>
      <c r="H259" s="54" t="s">
        <v>1444</v>
      </c>
      <c r="I259" s="54" t="s">
        <v>1443</v>
      </c>
      <c r="J259" s="54" t="s">
        <v>48</v>
      </c>
      <c r="K259" s="54"/>
      <c r="L259" s="54"/>
      <c r="M259" s="54" t="s">
        <v>1753</v>
      </c>
      <c r="N259" s="54" t="s">
        <v>1268</v>
      </c>
      <c r="O259" s="1"/>
      <c r="P259" s="1"/>
      <c r="Q259" s="1"/>
      <c r="R259" s="11"/>
      <c r="S259" s="11"/>
      <c r="T259" s="11"/>
    </row>
    <row r="260" spans="1:20" s="12" customFormat="1" ht="47">
      <c r="A260" s="54" t="str">
        <f>IFERROR(VLOOKUP(D260,'Master sheet (Clientes)'!A$6:D$747,2,0)," ")</f>
        <v>NJ</v>
      </c>
      <c r="B260" s="54" t="str">
        <f>IFERROR(VLOOKUP(D260,'Master sheet (Clientes)'!A$6:D$747,3,0)," ")</f>
        <v>Bozzuto</v>
      </c>
      <c r="C260" s="54" t="str">
        <f>IFERROR(VLOOKUP(D260,'Master sheet (Clientes)'!A$6:D$747,4,0)," ")</f>
        <v>N-O</v>
      </c>
      <c r="D260" s="54" t="s">
        <v>181</v>
      </c>
      <c r="E260" s="54">
        <v>312</v>
      </c>
      <c r="F260" s="54" t="s">
        <v>45</v>
      </c>
      <c r="G260" s="54" t="s">
        <v>853</v>
      </c>
      <c r="H260" s="54" t="s">
        <v>1444</v>
      </c>
      <c r="I260" s="54" t="s">
        <v>1443</v>
      </c>
      <c r="J260" s="54" t="s">
        <v>48</v>
      </c>
      <c r="K260" s="54"/>
      <c r="L260" s="54"/>
      <c r="M260" s="54" t="s">
        <v>1754</v>
      </c>
      <c r="N260" s="54" t="s">
        <v>1268</v>
      </c>
      <c r="O260" s="1"/>
      <c r="P260" s="1"/>
      <c r="Q260" s="1"/>
      <c r="R260" s="11"/>
      <c r="S260" s="11"/>
      <c r="T260" s="11"/>
    </row>
    <row r="261" spans="1:20" s="12" customFormat="1" ht="47">
      <c r="A261" s="54" t="str">
        <f>IFERROR(VLOOKUP(D261,'Master sheet (Clientes)'!A$6:D$747,2,0)," ")</f>
        <v>NJ</v>
      </c>
      <c r="B261" s="54" t="str">
        <f>IFERROR(VLOOKUP(D261,'Master sheet (Clientes)'!A$6:D$747,3,0)," ")</f>
        <v>Bozzuto</v>
      </c>
      <c r="C261" s="54" t="str">
        <f>IFERROR(VLOOKUP(D261,'Master sheet (Clientes)'!A$6:D$747,4,0)," ")</f>
        <v>N-O</v>
      </c>
      <c r="D261" s="54" t="s">
        <v>181</v>
      </c>
      <c r="E261" s="54">
        <v>402</v>
      </c>
      <c r="F261" s="54" t="s">
        <v>874</v>
      </c>
      <c r="G261" s="54" t="s">
        <v>853</v>
      </c>
      <c r="H261" s="54" t="s">
        <v>1444</v>
      </c>
      <c r="I261" s="54" t="s">
        <v>1443</v>
      </c>
      <c r="J261" s="54" t="s">
        <v>48</v>
      </c>
      <c r="K261" s="54"/>
      <c r="L261" s="54"/>
      <c r="M261" s="54" t="s">
        <v>1753</v>
      </c>
      <c r="N261" s="54" t="s">
        <v>1268</v>
      </c>
      <c r="O261" s="1"/>
      <c r="P261" s="1"/>
      <c r="Q261" s="1"/>
      <c r="R261" s="11"/>
      <c r="S261" s="11"/>
      <c r="T261" s="11"/>
    </row>
    <row r="262" spans="1:20" s="12" customFormat="1" ht="47">
      <c r="A262" s="54" t="str">
        <f>IFERROR(VLOOKUP(D262,'Master sheet (Clientes)'!A$6:D$747,2,0)," ")</f>
        <v>NJ</v>
      </c>
      <c r="B262" s="54" t="str">
        <f>IFERROR(VLOOKUP(D262,'Master sheet (Clientes)'!A$6:D$747,3,0)," ")</f>
        <v>Bozzuto</v>
      </c>
      <c r="C262" s="54" t="str">
        <f>IFERROR(VLOOKUP(D262,'Master sheet (Clientes)'!A$6:D$747,4,0)," ")</f>
        <v>N-O</v>
      </c>
      <c r="D262" s="54" t="s">
        <v>181</v>
      </c>
      <c r="E262" s="54">
        <v>464</v>
      </c>
      <c r="F262" s="54" t="s">
        <v>45</v>
      </c>
      <c r="G262" s="54" t="s">
        <v>853</v>
      </c>
      <c r="H262" s="54" t="s">
        <v>1444</v>
      </c>
      <c r="I262" s="54" t="s">
        <v>1443</v>
      </c>
      <c r="J262" s="54" t="s">
        <v>48</v>
      </c>
      <c r="K262" s="54"/>
      <c r="L262" s="54"/>
      <c r="M262" s="54" t="s">
        <v>1753</v>
      </c>
      <c r="N262" s="54" t="s">
        <v>1268</v>
      </c>
      <c r="O262" s="1"/>
      <c r="P262" s="1"/>
      <c r="Q262" s="1"/>
      <c r="R262" s="11"/>
      <c r="S262" s="11"/>
      <c r="T262" s="11"/>
    </row>
    <row r="263" spans="1:20" s="12" customFormat="1" ht="47">
      <c r="A263" s="54" t="str">
        <f>IFERROR(VLOOKUP(D263,'Master sheet (Clientes)'!A$6:D$747,2,0)," ")</f>
        <v>NJ</v>
      </c>
      <c r="B263" s="54" t="str">
        <f>IFERROR(VLOOKUP(D263,'Master sheet (Clientes)'!A$6:D$747,3,0)," ")</f>
        <v>Bozzuto</v>
      </c>
      <c r="C263" s="54" t="str">
        <f>IFERROR(VLOOKUP(D263,'Master sheet (Clientes)'!A$6:D$747,4,0)," ")</f>
        <v>N-O</v>
      </c>
      <c r="D263" s="54" t="s">
        <v>181</v>
      </c>
      <c r="E263" s="54">
        <v>615</v>
      </c>
      <c r="F263" s="54" t="s">
        <v>854</v>
      </c>
      <c r="G263" s="54" t="s">
        <v>853</v>
      </c>
      <c r="H263" s="54" t="s">
        <v>1444</v>
      </c>
      <c r="I263" s="54" t="s">
        <v>1443</v>
      </c>
      <c r="J263" s="54" t="s">
        <v>48</v>
      </c>
      <c r="K263" s="54"/>
      <c r="L263" s="54"/>
      <c r="M263" s="54" t="s">
        <v>1754</v>
      </c>
      <c r="N263" s="54" t="s">
        <v>1268</v>
      </c>
      <c r="O263" s="1"/>
      <c r="P263" s="1"/>
      <c r="Q263" s="1"/>
      <c r="R263" s="11"/>
      <c r="S263" s="11"/>
      <c r="T263" s="11"/>
    </row>
    <row r="264" spans="1:20" s="12" customFormat="1" ht="47">
      <c r="A264" s="54" t="str">
        <f>IFERROR(VLOOKUP(D264,'Master sheet (Clientes)'!A$6:D$747,2,0)," ")</f>
        <v>NJ</v>
      </c>
      <c r="B264" s="54" t="str">
        <f>IFERROR(VLOOKUP(D264,'Master sheet (Clientes)'!A$6:D$747,3,0)," ")</f>
        <v>Bozzuto</v>
      </c>
      <c r="C264" s="54" t="str">
        <f>IFERROR(VLOOKUP(D264,'Master sheet (Clientes)'!A$6:D$747,4,0)," ")</f>
        <v>N-O</v>
      </c>
      <c r="D264" s="54" t="s">
        <v>181</v>
      </c>
      <c r="E264" s="54">
        <v>523</v>
      </c>
      <c r="F264" s="54" t="s">
        <v>45</v>
      </c>
      <c r="G264" s="54" t="s">
        <v>853</v>
      </c>
      <c r="H264" s="54" t="s">
        <v>1444</v>
      </c>
      <c r="I264" s="54" t="s">
        <v>1443</v>
      </c>
      <c r="J264" s="54" t="s">
        <v>48</v>
      </c>
      <c r="K264" s="54"/>
      <c r="L264" s="54"/>
      <c r="M264" s="54" t="s">
        <v>1755</v>
      </c>
      <c r="N264" s="54" t="s">
        <v>1268</v>
      </c>
      <c r="O264" s="1"/>
      <c r="P264" s="1"/>
      <c r="Q264" s="1"/>
      <c r="R264" s="11"/>
      <c r="S264" s="11"/>
      <c r="T264" s="11"/>
    </row>
    <row r="265" spans="1:20" s="12" customFormat="1" ht="47">
      <c r="A265" s="54" t="str">
        <f>IFERROR(VLOOKUP(D265,'Master sheet (Clientes)'!A$6:D$747,2,0)," ")</f>
        <v>NJ</v>
      </c>
      <c r="B265" s="54" t="str">
        <f>IFERROR(VLOOKUP(D265,'Master sheet (Clientes)'!A$6:D$747,3,0)," ")</f>
        <v>Bozzuto</v>
      </c>
      <c r="C265" s="54" t="str">
        <f>IFERROR(VLOOKUP(D265,'Master sheet (Clientes)'!A$6:D$747,4,0)," ")</f>
        <v>N-O</v>
      </c>
      <c r="D265" s="54" t="s">
        <v>181</v>
      </c>
      <c r="E265" s="54">
        <v>606</v>
      </c>
      <c r="F265" s="54" t="s">
        <v>854</v>
      </c>
      <c r="G265" s="54" t="s">
        <v>853</v>
      </c>
      <c r="H265" s="54" t="s">
        <v>1444</v>
      </c>
      <c r="I265" s="54" t="s">
        <v>1443</v>
      </c>
      <c r="J265" s="54" t="s">
        <v>48</v>
      </c>
      <c r="K265" s="54"/>
      <c r="L265" s="54"/>
      <c r="M265" s="54" t="s">
        <v>1756</v>
      </c>
      <c r="N265" s="54" t="s">
        <v>1268</v>
      </c>
      <c r="O265" s="1"/>
      <c r="P265" s="1"/>
      <c r="Q265" s="1"/>
      <c r="R265" s="11"/>
      <c r="S265" s="11"/>
      <c r="T265" s="11"/>
    </row>
    <row r="266" spans="1:20" s="12" customFormat="1" ht="47">
      <c r="A266" s="54" t="str">
        <f>IFERROR(VLOOKUP(D266,'Master sheet (Clientes)'!A$6:D$747,2,0)," ")</f>
        <v>NJ</v>
      </c>
      <c r="B266" s="54" t="str">
        <f>IFERROR(VLOOKUP(D266,'Master sheet (Clientes)'!A$6:D$747,3,0)," ")</f>
        <v>Bozzuto</v>
      </c>
      <c r="C266" s="54" t="str">
        <f>IFERROR(VLOOKUP(D266,'Master sheet (Clientes)'!A$6:D$747,4,0)," ")</f>
        <v>N-O</v>
      </c>
      <c r="D266" s="54" t="s">
        <v>181</v>
      </c>
      <c r="E266" s="54">
        <v>636</v>
      </c>
      <c r="F266" s="54" t="s">
        <v>946</v>
      </c>
      <c r="G266" s="54" t="s">
        <v>853</v>
      </c>
      <c r="H266" s="54" t="s">
        <v>1444</v>
      </c>
      <c r="I266" s="54" t="s">
        <v>1443</v>
      </c>
      <c r="J266" s="54" t="s">
        <v>48</v>
      </c>
      <c r="K266" s="54"/>
      <c r="L266" s="54"/>
      <c r="M266" s="54" t="s">
        <v>1756</v>
      </c>
      <c r="N266" s="54" t="s">
        <v>1268</v>
      </c>
      <c r="O266" s="1"/>
      <c r="P266" s="1"/>
      <c r="Q266" s="1"/>
      <c r="R266" s="11"/>
      <c r="S266" s="11"/>
      <c r="T266" s="11"/>
    </row>
    <row r="267" spans="1:20" s="12" customFormat="1" ht="47">
      <c r="A267" s="54" t="str">
        <f>IFERROR(VLOOKUP(D267,'Master sheet (Clientes)'!A$6:D$747,2,0)," ")</f>
        <v>NJ</v>
      </c>
      <c r="B267" s="54" t="str">
        <f>IFERROR(VLOOKUP(D267,'Master sheet (Clientes)'!A$6:D$747,3,0)," ")</f>
        <v>Bozzuto</v>
      </c>
      <c r="C267" s="54" t="str">
        <f>IFERROR(VLOOKUP(D267,'Master sheet (Clientes)'!A$6:D$747,4,0)," ")</f>
        <v>N-O</v>
      </c>
      <c r="D267" s="54" t="s">
        <v>181</v>
      </c>
      <c r="E267" s="54">
        <v>671</v>
      </c>
      <c r="F267" s="54" t="s">
        <v>946</v>
      </c>
      <c r="G267" s="54" t="s">
        <v>853</v>
      </c>
      <c r="H267" s="54" t="s">
        <v>1444</v>
      </c>
      <c r="I267" s="54" t="s">
        <v>1443</v>
      </c>
      <c r="J267" s="54" t="s">
        <v>48</v>
      </c>
      <c r="K267" s="54"/>
      <c r="L267" s="54"/>
      <c r="M267" s="54" t="s">
        <v>1756</v>
      </c>
      <c r="N267" s="54" t="s">
        <v>1268</v>
      </c>
      <c r="O267" s="1"/>
      <c r="P267" s="1"/>
      <c r="Q267" s="1"/>
      <c r="R267" s="11"/>
      <c r="S267" s="11"/>
      <c r="T267" s="11"/>
    </row>
    <row r="268" spans="1:20">
      <c r="A268" s="1"/>
      <c r="B268" s="1"/>
      <c r="C268" s="1"/>
      <c r="D268" s="1"/>
      <c r="E268" s="1"/>
      <c r="F268" s="1"/>
      <c r="G268" s="1"/>
      <c r="H268" s="1"/>
      <c r="I268" s="1"/>
      <c r="K268" s="1"/>
      <c r="L268" s="1"/>
      <c r="M268" s="1"/>
      <c r="N268" s="1"/>
    </row>
    <row r="269" spans="1:20">
      <c r="A269" s="1"/>
      <c r="B269" s="1"/>
      <c r="C269" s="1"/>
      <c r="D269" s="1"/>
      <c r="E269" s="1"/>
      <c r="F269" s="1"/>
      <c r="G269" s="1"/>
      <c r="H269" s="1"/>
      <c r="I269" s="1"/>
      <c r="K269" s="1"/>
      <c r="L269" s="1"/>
      <c r="M269" s="1"/>
      <c r="N269" s="1"/>
    </row>
    <row r="270" spans="1:20" s="5" customFormat="1">
      <c r="A270" s="135"/>
      <c r="B270" s="135"/>
      <c r="C270" s="135"/>
      <c r="D270" s="30" t="s">
        <v>37</v>
      </c>
      <c r="E270" s="30"/>
      <c r="F270" s="30"/>
      <c r="G270" s="30"/>
      <c r="H270" s="2"/>
      <c r="I270" s="3"/>
      <c r="J270" s="3"/>
      <c r="K270" s="2"/>
      <c r="L270" s="2"/>
      <c r="M270" s="3"/>
      <c r="N270" s="7"/>
      <c r="O270" s="35"/>
      <c r="P270" s="35"/>
      <c r="Q270" s="35"/>
    </row>
    <row r="271" spans="1:20" s="5" customFormat="1">
      <c r="A271" s="136"/>
      <c r="B271" s="136"/>
      <c r="C271" s="136"/>
      <c r="D271" s="137" t="s">
        <v>38</v>
      </c>
      <c r="E271" s="137"/>
      <c r="F271" s="137"/>
      <c r="G271" s="2"/>
      <c r="H271" s="2"/>
      <c r="I271" s="3"/>
      <c r="J271" s="3"/>
      <c r="K271" s="2"/>
      <c r="L271" s="2"/>
      <c r="M271" s="3"/>
      <c r="N271" s="7"/>
      <c r="O271" s="35"/>
      <c r="P271" s="35"/>
      <c r="Q271" s="35"/>
    </row>
    <row r="272" spans="1:20" s="5" customFormat="1">
      <c r="A272" s="138"/>
      <c r="B272" s="138"/>
      <c r="C272" s="138"/>
      <c r="D272" s="139" t="s">
        <v>39</v>
      </c>
      <c r="E272" s="139"/>
      <c r="F272" s="139"/>
      <c r="G272" s="2"/>
      <c r="H272" s="2"/>
      <c r="I272" s="3"/>
      <c r="J272" s="3"/>
      <c r="K272" s="2"/>
      <c r="L272" s="2"/>
      <c r="M272" s="3"/>
      <c r="N272" s="7"/>
      <c r="O272" s="35"/>
      <c r="P272" s="35"/>
      <c r="Q272" s="35"/>
    </row>
    <row r="273" spans="1:17" s="5" customFormat="1">
      <c r="A273" s="132"/>
      <c r="B273" s="132"/>
      <c r="C273" s="132"/>
      <c r="D273" s="133" t="s">
        <v>40</v>
      </c>
      <c r="E273" s="133"/>
      <c r="F273" s="133"/>
      <c r="G273" s="2"/>
      <c r="H273" s="2"/>
      <c r="I273" s="3"/>
      <c r="J273" s="3"/>
      <c r="K273" s="2"/>
      <c r="L273" s="2"/>
      <c r="M273" s="3"/>
      <c r="N273" s="7"/>
      <c r="O273" s="35"/>
      <c r="P273" s="35"/>
      <c r="Q273" s="35"/>
    </row>
    <row r="274" spans="1:17" s="5" customFormat="1">
      <c r="A274" s="134"/>
      <c r="B274" s="134"/>
      <c r="C274" s="134"/>
      <c r="D274" s="28" t="s">
        <v>41</v>
      </c>
      <c r="E274" s="29"/>
      <c r="F274" s="29"/>
      <c r="G274" s="30"/>
      <c r="H274" s="2"/>
      <c r="I274" s="3"/>
      <c r="J274" s="3"/>
      <c r="K274" s="2"/>
      <c r="L274" s="2"/>
      <c r="M274" s="3"/>
      <c r="N274" s="7"/>
      <c r="O274" s="35"/>
      <c r="P274" s="35"/>
      <c r="Q274" s="35"/>
    </row>
    <row r="275" spans="1:17">
      <c r="C275" s="30"/>
      <c r="D275" s="30"/>
      <c r="E275" s="30"/>
      <c r="F275" s="30"/>
      <c r="G275" s="30"/>
      <c r="H275" s="30"/>
    </row>
    <row r="276" spans="1:17">
      <c r="C276" s="28"/>
      <c r="E276" s="28"/>
      <c r="F276" s="29"/>
      <c r="G276" s="29"/>
      <c r="H276" s="30"/>
    </row>
  </sheetData>
  <mergeCells count="32">
    <mergeCell ref="A274:C274"/>
    <mergeCell ref="A271:C271"/>
    <mergeCell ref="D271:F271"/>
    <mergeCell ref="A272:C272"/>
    <mergeCell ref="D272:F272"/>
    <mergeCell ref="A273:C273"/>
    <mergeCell ref="D273:F273"/>
    <mergeCell ref="D227:L227"/>
    <mergeCell ref="D229:L229"/>
    <mergeCell ref="D230:I230"/>
    <mergeCell ref="D231:I231"/>
    <mergeCell ref="A270:C270"/>
    <mergeCell ref="D181:L181"/>
    <mergeCell ref="D182:L182"/>
    <mergeCell ref="D222:L222"/>
    <mergeCell ref="D224:L224"/>
    <mergeCell ref="D226:L226"/>
    <mergeCell ref="D152:L152"/>
    <mergeCell ref="A8:L8"/>
    <mergeCell ref="D9:L9"/>
    <mergeCell ref="D11:L11"/>
    <mergeCell ref="D12:L12"/>
    <mergeCell ref="D31:L31"/>
    <mergeCell ref="D32:L32"/>
    <mergeCell ref="D89:L89"/>
    <mergeCell ref="D90:L90"/>
    <mergeCell ref="D151:L151"/>
    <mergeCell ref="A1:M1"/>
    <mergeCell ref="A3:L3"/>
    <mergeCell ref="A4:L4"/>
    <mergeCell ref="A5:L5"/>
    <mergeCell ref="A6:L6"/>
  </mergeCells>
  <phoneticPr fontId="12" type="noConversion"/>
  <pageMargins left="0.25" right="0.25" top="0.75" bottom="0.75" header="0.3" footer="0.3"/>
  <pageSetup fitToHeight="0" orientation="landscape" r:id="rId1"/>
  <rowBreaks count="9" manualBreakCount="9">
    <brk id="29" max="16383" man="1"/>
    <brk id="57" max="12" man="1"/>
    <brk id="87" max="16383" man="1"/>
    <brk id="109" max="12" man="1"/>
    <brk id="134" max="12" man="1"/>
    <brk id="149" max="16383" man="1"/>
    <brk id="179" max="16383" man="1"/>
    <brk id="202" max="12" man="1"/>
    <brk id="220"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0A136DFE-9076-FC43-BFF4-8785C1073FD3}">
          <x14:formula1>
            <xm:f>'Master sheet (Clientes)'!$A$6:$A$654</xm:f>
          </x14:formula1>
          <xm:sqref>D84 D117:D118 D27:D28 D220 D217 D210 D137:D138 D169 D112:D114 D134 D93 D149 D21 D126:D131 D172 D244 D121:D123 D235:D238 D36:D37 D57 D65:D67 D197:D198 D60:D62 D161 D202 D96 D100:D101 D103:D107 D179 D213:D214 D47 D109 D187:D191 D50:D54 D40:D44 D80:D81 D255:D267 D70:D77 D164:D166 D241 D194 D155:D158 D16:D18 D140:D146 D252 D175:D176 D205:D207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9572-9D70-694F-99D9-2F767211B339}">
  <sheetPr>
    <pageSetUpPr fitToPage="1"/>
  </sheetPr>
  <dimension ref="A1:T266"/>
  <sheetViews>
    <sheetView topLeftCell="A13" zoomScale="70" zoomScaleNormal="70" workbookViewId="0">
      <selection activeCell="F16" sqref="F16"/>
    </sheetView>
  </sheetViews>
  <sheetFormatPr baseColWidth="10" defaultColWidth="10.83203125" defaultRowHeight="23.5"/>
  <cols>
    <col min="1" max="1" width="8" style="2" customWidth="1"/>
    <col min="2" max="2" width="27.33203125" style="2" customWidth="1"/>
    <col min="3" max="3" width="19.1640625" style="2" customWidth="1"/>
    <col min="4" max="4" width="43.83203125" style="2" customWidth="1"/>
    <col min="5" max="7" width="18.83203125" style="2" customWidth="1"/>
    <col min="8" max="8" width="153.33203125" style="2" customWidth="1"/>
    <col min="9" max="9" width="40.83203125" style="2" customWidth="1"/>
    <col min="10" max="10" width="24.5" style="3" bestFit="1" customWidth="1"/>
    <col min="11" max="12" width="23.1640625" style="3" customWidth="1"/>
    <col min="13" max="13" width="40.83203125" style="2" customWidth="1"/>
    <col min="14" max="14" width="22.83203125" style="3" customWidth="1"/>
    <col min="15" max="17" width="27.1640625" style="1" customWidth="1"/>
    <col min="18" max="16384" width="10.83203125" style="2"/>
  </cols>
  <sheetData>
    <row r="1" spans="1:20" s="1" customFormat="1" ht="36">
      <c r="A1" s="129" t="s">
        <v>43</v>
      </c>
      <c r="B1" s="129"/>
      <c r="C1" s="129"/>
      <c r="D1" s="129"/>
      <c r="E1" s="129"/>
      <c r="F1" s="129"/>
      <c r="G1" s="129"/>
      <c r="H1" s="129"/>
      <c r="I1" s="129"/>
      <c r="J1" s="129"/>
      <c r="K1" s="129"/>
      <c r="L1" s="129"/>
      <c r="M1" s="129"/>
      <c r="N1" s="32"/>
    </row>
    <row r="2" spans="1:20" s="1" customFormat="1"/>
    <row r="3" spans="1:20" s="1" customFormat="1" ht="26">
      <c r="A3" s="125" t="s">
        <v>1</v>
      </c>
      <c r="B3" s="125"/>
      <c r="C3" s="125"/>
      <c r="D3" s="125"/>
      <c r="E3" s="125"/>
      <c r="F3" s="125"/>
      <c r="G3" s="125"/>
      <c r="H3" s="125"/>
      <c r="I3" s="125"/>
      <c r="J3" s="125"/>
      <c r="K3" s="125"/>
      <c r="L3" s="125"/>
      <c r="M3" s="15"/>
      <c r="N3" s="15"/>
    </row>
    <row r="4" spans="1:20" s="1" customFormat="1" ht="26">
      <c r="A4" s="130" t="s">
        <v>2</v>
      </c>
      <c r="B4" s="130"/>
      <c r="C4" s="130"/>
      <c r="D4" s="130"/>
      <c r="E4" s="130"/>
      <c r="F4" s="130"/>
      <c r="G4" s="130"/>
      <c r="H4" s="130"/>
      <c r="I4" s="130"/>
      <c r="J4" s="130"/>
      <c r="K4" s="130"/>
      <c r="L4" s="130"/>
      <c r="M4" s="15"/>
      <c r="N4" s="15"/>
    </row>
    <row r="5" spans="1:20" s="1" customFormat="1" ht="26">
      <c r="A5" s="130" t="s">
        <v>3</v>
      </c>
      <c r="B5" s="130"/>
      <c r="C5" s="130"/>
      <c r="D5" s="130"/>
      <c r="E5" s="130"/>
      <c r="F5" s="130"/>
      <c r="G5" s="130"/>
      <c r="H5" s="130"/>
      <c r="I5" s="130"/>
      <c r="J5" s="130"/>
      <c r="K5" s="130"/>
      <c r="L5" s="130"/>
      <c r="M5" s="15"/>
      <c r="N5" s="15"/>
    </row>
    <row r="6" spans="1:20" s="1" customFormat="1" ht="26">
      <c r="A6" s="125" t="s">
        <v>4</v>
      </c>
      <c r="B6" s="125"/>
      <c r="C6" s="125"/>
      <c r="D6" s="125"/>
      <c r="E6" s="125"/>
      <c r="F6" s="125"/>
      <c r="G6" s="125"/>
      <c r="H6" s="125"/>
      <c r="I6" s="125"/>
      <c r="J6" s="125"/>
      <c r="K6" s="125"/>
      <c r="L6" s="125"/>
      <c r="M6" s="15"/>
      <c r="N6" s="15"/>
    </row>
    <row r="7" spans="1:20" s="1" customFormat="1" ht="26">
      <c r="A7" s="19"/>
      <c r="B7" s="19"/>
      <c r="C7" s="17"/>
      <c r="D7" s="17"/>
      <c r="E7" s="17"/>
      <c r="F7" s="17"/>
      <c r="G7" s="17"/>
      <c r="H7" s="17"/>
      <c r="I7" s="17"/>
      <c r="J7" s="17"/>
      <c r="K7" s="17"/>
      <c r="L7" s="17"/>
      <c r="M7" s="15"/>
      <c r="N7" s="15"/>
    </row>
    <row r="8" spans="1:20" s="1" customFormat="1" ht="26">
      <c r="A8" s="125"/>
      <c r="B8" s="125"/>
      <c r="C8" s="125"/>
      <c r="D8" s="125"/>
      <c r="E8" s="125"/>
      <c r="F8" s="125"/>
      <c r="G8" s="125"/>
      <c r="H8" s="125"/>
      <c r="I8" s="125"/>
      <c r="J8" s="125"/>
      <c r="K8" s="125"/>
      <c r="L8" s="125"/>
      <c r="M8" s="15"/>
      <c r="N8" s="15"/>
    </row>
    <row r="9" spans="1:20" ht="28.5">
      <c r="A9" s="34"/>
      <c r="B9" s="34"/>
      <c r="C9" s="34"/>
      <c r="D9" s="126" t="s">
        <v>5</v>
      </c>
      <c r="E9" s="126"/>
      <c r="F9" s="126"/>
      <c r="G9" s="126"/>
      <c r="H9" s="126"/>
      <c r="I9" s="126"/>
      <c r="J9" s="126"/>
      <c r="K9" s="126"/>
      <c r="L9" s="126"/>
      <c r="M9" s="18"/>
      <c r="N9" s="18"/>
    </row>
    <row r="10" spans="1:20" s="5" customFormat="1">
      <c r="A10" s="3"/>
      <c r="B10" s="3"/>
      <c r="C10" s="3"/>
      <c r="D10" s="3"/>
      <c r="E10" s="3"/>
      <c r="F10" s="3"/>
      <c r="G10" s="3"/>
      <c r="H10" s="3"/>
      <c r="I10" s="3"/>
      <c r="J10" s="3"/>
      <c r="K10" s="1"/>
      <c r="L10" s="1"/>
      <c r="M10" s="1"/>
      <c r="N10" s="1"/>
      <c r="O10" s="35"/>
      <c r="P10" s="35"/>
      <c r="Q10" s="35"/>
    </row>
    <row r="11" spans="1:20" s="5" customFormat="1" ht="26">
      <c r="A11" s="33"/>
      <c r="B11" s="33"/>
      <c r="C11" s="33"/>
      <c r="D11" s="127" t="s">
        <v>6</v>
      </c>
      <c r="E11" s="127"/>
      <c r="F11" s="127"/>
      <c r="G11" s="127"/>
      <c r="H11" s="127"/>
      <c r="I11" s="127"/>
      <c r="J11" s="127"/>
      <c r="K11" s="127"/>
      <c r="L11" s="127"/>
      <c r="M11" s="16"/>
      <c r="N11" s="16"/>
      <c r="O11" s="35"/>
      <c r="P11" s="35"/>
      <c r="Q11" s="35"/>
    </row>
    <row r="12" spans="1:20" s="5" customFormat="1" ht="26">
      <c r="A12" s="43"/>
      <c r="B12" s="43"/>
      <c r="C12" s="43"/>
      <c r="D12" s="128" t="s">
        <v>7</v>
      </c>
      <c r="E12" s="128"/>
      <c r="F12" s="128"/>
      <c r="G12" s="128"/>
      <c r="H12" s="128"/>
      <c r="I12" s="128"/>
      <c r="J12" s="128"/>
      <c r="K12" s="128"/>
      <c r="L12" s="128"/>
      <c r="M12" s="44"/>
      <c r="N12" s="44"/>
      <c r="O12" s="35"/>
      <c r="P12" s="35"/>
      <c r="Q12" s="35"/>
    </row>
    <row r="13" spans="1:20" s="1" customFormat="1">
      <c r="A13" s="3"/>
      <c r="B13" s="3"/>
      <c r="C13" s="3"/>
      <c r="D13" s="3"/>
      <c r="E13" s="3"/>
      <c r="F13" s="3"/>
      <c r="G13" s="3"/>
      <c r="H13" s="3"/>
      <c r="I13" s="3"/>
      <c r="J13" s="3"/>
    </row>
    <row r="14" spans="1:20" s="1" customFormat="1" ht="117.5">
      <c r="A14" s="4" t="s">
        <v>8</v>
      </c>
      <c r="B14" s="4" t="s">
        <v>1900</v>
      </c>
      <c r="C14" s="4" t="s">
        <v>1901</v>
      </c>
      <c r="D14" s="4" t="s">
        <v>1902</v>
      </c>
      <c r="E14" s="4" t="s">
        <v>1903</v>
      </c>
      <c r="F14" s="4" t="s">
        <v>1904</v>
      </c>
      <c r="G14" s="38" t="s">
        <v>1905</v>
      </c>
      <c r="H14" s="4" t="s">
        <v>15</v>
      </c>
      <c r="I14" s="38" t="s">
        <v>1906</v>
      </c>
      <c r="J14" s="38" t="s">
        <v>1907</v>
      </c>
      <c r="K14" s="38" t="s">
        <v>1908</v>
      </c>
      <c r="L14" s="38" t="s">
        <v>19</v>
      </c>
      <c r="M14" s="38" t="s">
        <v>20</v>
      </c>
      <c r="N14" s="38" t="s">
        <v>1909</v>
      </c>
    </row>
    <row r="15" spans="1:20" s="117" customFormat="1" ht="113">
      <c r="A15" s="114" t="str">
        <f>IFERROR(VLOOKUP(D15,'Master sheet (Clientes)'!A$6:D$747,2,0)," ")</f>
        <v>NJ</v>
      </c>
      <c r="B15" s="114" t="str">
        <f>IFERROR(VLOOKUP(D15,'Master sheet (Clientes)'!A$6:D$747,3,0)," ")</f>
        <v>Vivmark Residential</v>
      </c>
      <c r="C15" s="114" t="str">
        <f>IFERROR(VLOOKUP(D15,'Master sheet (Clientes)'!A$6:D$747,4,0)," ")</f>
        <v>N-O</v>
      </c>
      <c r="D15" s="114" t="s">
        <v>78</v>
      </c>
      <c r="E15" s="114">
        <v>104</v>
      </c>
      <c r="F15" s="114" t="s">
        <v>45</v>
      </c>
      <c r="G15" s="114" t="s">
        <v>1054</v>
      </c>
      <c r="H15" s="114" t="s">
        <v>1548</v>
      </c>
      <c r="I15" s="54" t="s">
        <v>1579</v>
      </c>
      <c r="J15" s="114" t="s">
        <v>48</v>
      </c>
      <c r="K15" s="114"/>
      <c r="L15" s="114"/>
      <c r="M15" s="114"/>
      <c r="N15" s="114" t="s">
        <v>1266</v>
      </c>
      <c r="O15" s="35"/>
      <c r="P15" s="35"/>
      <c r="Q15" s="35"/>
      <c r="R15" s="116"/>
      <c r="S15" s="116"/>
      <c r="T15" s="116"/>
    </row>
    <row r="16" spans="1:20" s="117" customFormat="1" ht="68">
      <c r="A16" s="114" t="str">
        <f>IFERROR(VLOOKUP(D16,'Master sheet (Clientes)'!A$6:D$747,2,0)," ")</f>
        <v>NJ</v>
      </c>
      <c r="B16" s="114" t="str">
        <f>IFERROR(VLOOKUP(D16,'Master sheet (Clientes)'!A$6:D$747,3,0)," ")</f>
        <v>Vivmark Residential</v>
      </c>
      <c r="C16" s="114" t="str">
        <f>IFERROR(VLOOKUP(D16,'Master sheet (Clientes)'!A$6:D$747,4,0)," ")</f>
        <v>N-O</v>
      </c>
      <c r="D16" s="114" t="s">
        <v>78</v>
      </c>
      <c r="E16" s="114">
        <v>155</v>
      </c>
      <c r="F16" s="114"/>
      <c r="G16" s="114" t="s">
        <v>917</v>
      </c>
      <c r="H16" s="114" t="s">
        <v>1549</v>
      </c>
      <c r="I16" s="54" t="s">
        <v>1581</v>
      </c>
      <c r="J16" s="114" t="s">
        <v>48</v>
      </c>
      <c r="K16" s="114"/>
      <c r="L16" s="114"/>
      <c r="M16" s="114"/>
      <c r="N16" s="114" t="s">
        <v>1266</v>
      </c>
      <c r="O16" s="35"/>
      <c r="P16" s="35"/>
      <c r="Q16" s="35"/>
      <c r="R16" s="116"/>
      <c r="S16" s="116"/>
      <c r="T16" s="116"/>
    </row>
    <row r="17" spans="1:20" s="117" customFormat="1" ht="90.5">
      <c r="A17" s="114" t="str">
        <f>IFERROR(VLOOKUP(D17,'Master sheet (Clientes)'!A$6:D$747,2,0)," ")</f>
        <v>NJ</v>
      </c>
      <c r="B17" s="114" t="str">
        <f>IFERROR(VLOOKUP(D17,'Master sheet (Clientes)'!A$6:D$747,3,0)," ")</f>
        <v>Skylight</v>
      </c>
      <c r="C17" s="114" t="str">
        <f>IFERROR(VLOOKUP(D17,'Master sheet (Clientes)'!A$6:D$747,4,0)," ")</f>
        <v>N-O</v>
      </c>
      <c r="D17" s="114" t="s">
        <v>730</v>
      </c>
      <c r="E17" s="115" t="s">
        <v>1305</v>
      </c>
      <c r="F17" s="115"/>
      <c r="G17" s="115" t="s">
        <v>837</v>
      </c>
      <c r="H17" s="115" t="s">
        <v>1737</v>
      </c>
      <c r="I17" s="54" t="s">
        <v>1411</v>
      </c>
      <c r="J17" s="115" t="s">
        <v>48</v>
      </c>
      <c r="K17" s="115"/>
      <c r="L17" s="114"/>
      <c r="M17" s="114"/>
      <c r="N17" s="114" t="s">
        <v>1268</v>
      </c>
      <c r="O17" s="35"/>
      <c r="P17" s="35"/>
      <c r="Q17" s="35"/>
      <c r="R17" s="116"/>
      <c r="S17" s="116"/>
      <c r="T17" s="116"/>
    </row>
    <row r="18" spans="1:20" s="12" customFormat="1" ht="164.5">
      <c r="A18" s="54" t="str">
        <f>IFERROR(VLOOKUP(D18,'Master sheet (Clientes)'!A$6:D$747,2,0)," ")</f>
        <v>NJ</v>
      </c>
      <c r="B18" s="54" t="str">
        <f>IFERROR(VLOOKUP(D18,'Master sheet (Clientes)'!A$6:D$747,3,0)," ")</f>
        <v>Vivmark Residential</v>
      </c>
      <c r="C18" s="54" t="str">
        <f>IFERROR(VLOOKUP(D18,'Master sheet (Clientes)'!A$6:D$747,4,0)," ")</f>
        <v>N-O</v>
      </c>
      <c r="D18" s="54" t="s">
        <v>72</v>
      </c>
      <c r="E18" s="54">
        <v>426</v>
      </c>
      <c r="F18" s="54"/>
      <c r="G18" s="54" t="s">
        <v>837</v>
      </c>
      <c r="H18" s="54" t="s">
        <v>1550</v>
      </c>
      <c r="I18" s="54" t="s">
        <v>1582</v>
      </c>
      <c r="J18" s="54" t="s">
        <v>48</v>
      </c>
      <c r="K18" s="54"/>
      <c r="L18" s="54"/>
      <c r="M18" s="54"/>
      <c r="N18" s="54" t="s">
        <v>1268</v>
      </c>
      <c r="O18" s="1"/>
      <c r="P18" s="1"/>
      <c r="Q18" s="1"/>
      <c r="R18" s="11"/>
      <c r="S18" s="11"/>
      <c r="T18" s="11"/>
    </row>
    <row r="19" spans="1:20" s="12" customFormat="1" ht="70.5">
      <c r="A19" s="54" t="str">
        <f>IFERROR(VLOOKUP(D19,'Master sheet (Clientes)'!A$6:D$747,2,0)," ")</f>
        <v>NJ</v>
      </c>
      <c r="B19" s="54" t="str">
        <f>IFERROR(VLOOKUP(D19,'Master sheet (Clientes)'!A$6:D$747,3,0)," ")</f>
        <v>Skylight</v>
      </c>
      <c r="C19" s="54" t="str">
        <f>IFERROR(VLOOKUP(D19,'Master sheet (Clientes)'!A$6:D$747,4,0)," ")</f>
        <v>N-O</v>
      </c>
      <c r="D19" s="54" t="s">
        <v>728</v>
      </c>
      <c r="E19" s="54">
        <v>801</v>
      </c>
      <c r="F19" s="54" t="s">
        <v>45</v>
      </c>
      <c r="G19" s="54" t="s">
        <v>853</v>
      </c>
      <c r="H19" s="54" t="s">
        <v>1421</v>
      </c>
      <c r="I19" s="54" t="s">
        <v>1583</v>
      </c>
      <c r="J19" s="54" t="s">
        <v>48</v>
      </c>
      <c r="K19" s="54"/>
      <c r="L19" s="54"/>
      <c r="M19" s="54"/>
      <c r="N19" s="54" t="s">
        <v>1268</v>
      </c>
      <c r="O19" s="1"/>
      <c r="P19" s="1"/>
      <c r="Q19" s="1"/>
      <c r="R19" s="11"/>
      <c r="S19" s="11"/>
      <c r="T19" s="11"/>
    </row>
    <row r="20" spans="1:20" s="1" customFormat="1">
      <c r="A20" s="3"/>
      <c r="B20" s="3"/>
      <c r="C20" s="3"/>
      <c r="D20" s="3"/>
      <c r="E20" s="3"/>
      <c r="F20" s="3"/>
      <c r="G20" s="3"/>
      <c r="H20" s="3"/>
      <c r="I20" s="3"/>
      <c r="J20" s="3"/>
    </row>
    <row r="21" spans="1:20" s="1" customFormat="1" ht="47">
      <c r="A21" s="4" t="s">
        <v>8</v>
      </c>
      <c r="B21" s="4" t="s">
        <v>9</v>
      </c>
      <c r="C21" s="4" t="s">
        <v>10</v>
      </c>
      <c r="D21" s="4" t="s">
        <v>11</v>
      </c>
      <c r="E21" s="4" t="s">
        <v>12</v>
      </c>
      <c r="F21" s="4" t="s">
        <v>13</v>
      </c>
      <c r="G21" s="38" t="s">
        <v>14</v>
      </c>
      <c r="H21" s="4" t="s">
        <v>15</v>
      </c>
      <c r="I21" s="38" t="s">
        <v>16</v>
      </c>
      <c r="J21" s="38" t="s">
        <v>17</v>
      </c>
      <c r="K21" s="38" t="s">
        <v>18</v>
      </c>
      <c r="L21" s="38" t="s">
        <v>19</v>
      </c>
      <c r="M21" s="38" t="s">
        <v>20</v>
      </c>
      <c r="N21" s="38" t="s">
        <v>21</v>
      </c>
    </row>
    <row r="22" spans="1:20" s="12" customFormat="1" ht="70.5">
      <c r="A22" s="54" t="str">
        <f>IFERROR(VLOOKUP(D22,'Master sheet (Clientes)'!A$6:D$747,2,0)," ")</f>
        <v>NJ</v>
      </c>
      <c r="B22" s="54" t="str">
        <f>IFERROR(VLOOKUP(D22,'Master sheet (Clientes)'!A$6:D$747,3,0)," ")</f>
        <v>Skylight</v>
      </c>
      <c r="C22" s="54" t="str">
        <f>IFERROR(VLOOKUP(D22,'Master sheet (Clientes)'!A$6:D$747,4,0)," ")</f>
        <v>N-O</v>
      </c>
      <c r="D22" s="54" t="s">
        <v>727</v>
      </c>
      <c r="E22" s="54">
        <v>523</v>
      </c>
      <c r="F22" s="54" t="s">
        <v>45</v>
      </c>
      <c r="G22" s="54" t="s">
        <v>853</v>
      </c>
      <c r="H22" s="54" t="s">
        <v>1336</v>
      </c>
      <c r="I22" s="54" t="s">
        <v>1090</v>
      </c>
      <c r="J22" s="54" t="s">
        <v>48</v>
      </c>
      <c r="K22" s="54"/>
      <c r="L22" s="54"/>
      <c r="M22" s="54" t="s">
        <v>1337</v>
      </c>
      <c r="N22" s="54" t="s">
        <v>1747</v>
      </c>
      <c r="O22" s="1"/>
      <c r="P22" s="1"/>
      <c r="Q22" s="1"/>
      <c r="R22" s="11"/>
      <c r="S22" s="11"/>
      <c r="T22" s="11"/>
    </row>
    <row r="23" spans="1:20" s="12" customFormat="1" ht="70.5">
      <c r="A23" s="54" t="str">
        <f>IFERROR(VLOOKUP(D23,'Master sheet (Clientes)'!A$6:D$747,2,0)," ")</f>
        <v>NJ</v>
      </c>
      <c r="B23" s="54" t="str">
        <f>IFERROR(VLOOKUP(D23,'Master sheet (Clientes)'!A$6:D$747,3,0)," ")</f>
        <v>Vivmark Residential</v>
      </c>
      <c r="C23" s="54" t="str">
        <f>IFERROR(VLOOKUP(D23,'Master sheet (Clientes)'!A$6:D$747,4,0)," ")</f>
        <v>N-O</v>
      </c>
      <c r="D23" s="54" t="s">
        <v>86</v>
      </c>
      <c r="E23" s="54">
        <v>630</v>
      </c>
      <c r="F23" s="54" t="s">
        <v>854</v>
      </c>
      <c r="G23" s="99" t="s">
        <v>837</v>
      </c>
      <c r="H23" s="54" t="s">
        <v>860</v>
      </c>
      <c r="I23" s="54" t="s">
        <v>1519</v>
      </c>
      <c r="J23" s="54" t="s">
        <v>1467</v>
      </c>
      <c r="K23" s="54"/>
      <c r="L23" s="54"/>
      <c r="M23" s="54"/>
      <c r="N23" s="54" t="s">
        <v>1268</v>
      </c>
      <c r="O23" s="1"/>
      <c r="P23" s="1"/>
      <c r="Q23" s="1"/>
      <c r="R23" s="11"/>
      <c r="S23" s="11"/>
      <c r="T23" s="11"/>
    </row>
    <row r="24" spans="1:20" s="1" customFormat="1">
      <c r="A24" s="3"/>
      <c r="B24" s="3"/>
      <c r="C24" s="3"/>
      <c r="D24" s="3"/>
      <c r="E24" s="3"/>
      <c r="F24" s="3"/>
      <c r="G24" s="3"/>
      <c r="H24" s="3"/>
      <c r="I24" s="3"/>
      <c r="J24" s="3"/>
    </row>
    <row r="25" spans="1:20" s="1" customFormat="1" ht="47">
      <c r="A25" s="4" t="s">
        <v>8</v>
      </c>
      <c r="B25" s="4" t="s">
        <v>9</v>
      </c>
      <c r="C25" s="4" t="s">
        <v>10</v>
      </c>
      <c r="D25" s="4" t="s">
        <v>11</v>
      </c>
      <c r="E25" s="4" t="s">
        <v>12</v>
      </c>
      <c r="F25" s="4" t="s">
        <v>13</v>
      </c>
      <c r="G25" s="38" t="s">
        <v>14</v>
      </c>
      <c r="H25" s="4" t="s">
        <v>15</v>
      </c>
      <c r="I25" s="38" t="s">
        <v>16</v>
      </c>
      <c r="J25" s="38" t="s">
        <v>17</v>
      </c>
      <c r="K25" s="38" t="s">
        <v>18</v>
      </c>
      <c r="L25" s="38" t="s">
        <v>19</v>
      </c>
      <c r="M25" s="38" t="s">
        <v>20</v>
      </c>
      <c r="N25" s="38" t="s">
        <v>21</v>
      </c>
    </row>
    <row r="26" spans="1:20" s="117" customFormat="1" ht="67.5">
      <c r="A26" s="114" t="str">
        <f>IFERROR(VLOOKUP(D26,'Master sheet (Clientes)'!A$6:D$747,2,0)," ")</f>
        <v>NJ</v>
      </c>
      <c r="B26" s="114" t="str">
        <f>IFERROR(VLOOKUP(D26,'Master sheet (Clientes)'!A$6:D$747,3,0)," ")</f>
        <v>No Charge / Courtesy Job</v>
      </c>
      <c r="C26" s="114" t="str">
        <f>IFERROR(VLOOKUP(D26,'Master sheet (Clientes)'!A$6:D$747,4,0)," ")</f>
        <v>N/A</v>
      </c>
      <c r="D26" s="114" t="s">
        <v>465</v>
      </c>
      <c r="E26" s="114"/>
      <c r="F26" s="114"/>
      <c r="G26" s="114"/>
      <c r="H26" s="114" t="s">
        <v>1551</v>
      </c>
      <c r="I26" s="114" t="s">
        <v>1606</v>
      </c>
      <c r="J26" s="114" t="s">
        <v>48</v>
      </c>
      <c r="K26" s="114"/>
      <c r="L26" s="114"/>
      <c r="M26" s="114" t="s">
        <v>1282</v>
      </c>
      <c r="N26" s="114" t="s">
        <v>1666</v>
      </c>
      <c r="O26" s="35"/>
      <c r="P26" s="35"/>
      <c r="Q26" s="35"/>
      <c r="R26" s="116"/>
      <c r="S26" s="116"/>
      <c r="T26" s="116"/>
    </row>
    <row r="27" spans="1:20">
      <c r="A27" s="1"/>
      <c r="B27" s="1"/>
      <c r="C27" s="1"/>
      <c r="D27" s="1"/>
      <c r="E27" s="1"/>
      <c r="F27" s="1"/>
      <c r="G27" s="1"/>
      <c r="H27" s="1"/>
      <c r="I27" s="1"/>
      <c r="J27" s="1"/>
      <c r="K27" s="1"/>
      <c r="L27" s="1"/>
      <c r="M27" s="1"/>
      <c r="N27" s="1"/>
    </row>
    <row r="28" spans="1:20" s="1" customFormat="1" ht="47">
      <c r="A28" s="4" t="s">
        <v>8</v>
      </c>
      <c r="B28" s="4" t="s">
        <v>9</v>
      </c>
      <c r="C28" s="4" t="s">
        <v>10</v>
      </c>
      <c r="D28" s="4" t="s">
        <v>11</v>
      </c>
      <c r="E28" s="4" t="s">
        <v>12</v>
      </c>
      <c r="F28" s="4" t="s">
        <v>13</v>
      </c>
      <c r="G28" s="38" t="s">
        <v>14</v>
      </c>
      <c r="H28" s="4" t="s">
        <v>15</v>
      </c>
      <c r="I28" s="38" t="s">
        <v>16</v>
      </c>
      <c r="J28" s="38" t="s">
        <v>17</v>
      </c>
      <c r="K28" s="38" t="s">
        <v>18</v>
      </c>
      <c r="L28" s="38" t="s">
        <v>19</v>
      </c>
      <c r="M28" s="38" t="s">
        <v>20</v>
      </c>
      <c r="N28" s="38" t="s">
        <v>21</v>
      </c>
    </row>
    <row r="29" spans="1:20" s="12" customFormat="1" ht="70.5">
      <c r="A29" s="54" t="str">
        <f>IFERROR(VLOOKUP(D29,'Master sheet (Clientes)'!A$6:D$747,2,0)," ")</f>
        <v>NJ</v>
      </c>
      <c r="B29" s="54" t="str">
        <f>IFERROR(VLOOKUP(D29,'Master sheet (Clientes)'!A$6:D$747,3,0)," ")</f>
        <v>Vivmark Residential</v>
      </c>
      <c r="C29" s="54" t="str">
        <f>IFERROR(VLOOKUP(D29,'Master sheet (Clientes)'!A$6:D$747,4,0)," ")</f>
        <v>A-V</v>
      </c>
      <c r="D29" s="54" t="s">
        <v>293</v>
      </c>
      <c r="E29" s="54" t="s">
        <v>1457</v>
      </c>
      <c r="F29" s="54"/>
      <c r="G29" s="54" t="s">
        <v>917</v>
      </c>
      <c r="H29" s="54" t="s">
        <v>1552</v>
      </c>
      <c r="I29" s="54" t="s">
        <v>960</v>
      </c>
      <c r="J29" s="54" t="s">
        <v>48</v>
      </c>
      <c r="K29" s="54"/>
      <c r="L29" s="54"/>
      <c r="M29" s="54"/>
      <c r="N29" s="54" t="s">
        <v>1268</v>
      </c>
      <c r="O29" s="1"/>
      <c r="P29" s="1"/>
      <c r="Q29" s="1"/>
      <c r="R29" s="11"/>
      <c r="S29" s="11"/>
      <c r="T29" s="11"/>
    </row>
    <row r="30" spans="1:20" s="12" customFormat="1" ht="70.5">
      <c r="A30" s="54" t="str">
        <f>IFERROR(VLOOKUP(D30,'Master sheet (Clientes)'!A$6:D$747,2,0)," ")</f>
        <v>NJ</v>
      </c>
      <c r="B30" s="54" t="str">
        <f>IFERROR(VLOOKUP(D30,'Master sheet (Clientes)'!A$6:D$747,3,0)," ")</f>
        <v>Vivmark Residential</v>
      </c>
      <c r="C30" s="54" t="str">
        <f>IFERROR(VLOOKUP(D30,'Master sheet (Clientes)'!A$6:D$747,4,0)," ")</f>
        <v>A-V</v>
      </c>
      <c r="D30" s="54" t="s">
        <v>293</v>
      </c>
      <c r="E30" s="54" t="s">
        <v>1498</v>
      </c>
      <c r="F30" s="54"/>
      <c r="G30" s="54" t="s">
        <v>917</v>
      </c>
      <c r="H30" s="54" t="s">
        <v>1499</v>
      </c>
      <c r="I30" s="54" t="s">
        <v>960</v>
      </c>
      <c r="J30" s="54" t="s">
        <v>48</v>
      </c>
      <c r="K30" s="54"/>
      <c r="L30" s="54"/>
      <c r="M30" s="54"/>
      <c r="N30" s="54" t="s">
        <v>1268</v>
      </c>
      <c r="O30" s="1"/>
      <c r="P30" s="1"/>
      <c r="Q30" s="1"/>
      <c r="R30" s="11"/>
      <c r="S30" s="11"/>
      <c r="T30" s="11"/>
    </row>
    <row r="31" spans="1:20" s="12" customFormat="1" ht="70.5">
      <c r="A31" s="54" t="str">
        <f>IFERROR(VLOOKUP(D31,'Master sheet (Clientes)'!A$6:D$747,2,0)," ")</f>
        <v>NJ</v>
      </c>
      <c r="B31" s="54" t="str">
        <f>IFERROR(VLOOKUP(D31,'Master sheet (Clientes)'!A$6:D$747,3,0)," ")</f>
        <v>Vivmark Residential</v>
      </c>
      <c r="C31" s="54" t="str">
        <f>IFERROR(VLOOKUP(D31,'Master sheet (Clientes)'!A$6:D$747,4,0)," ")</f>
        <v>A-V</v>
      </c>
      <c r="D31" s="54" t="s">
        <v>293</v>
      </c>
      <c r="E31" s="54" t="s">
        <v>1677</v>
      </c>
      <c r="F31" s="54"/>
      <c r="G31" s="54" t="s">
        <v>917</v>
      </c>
      <c r="H31" s="54" t="s">
        <v>1679</v>
      </c>
      <c r="I31" s="54" t="s">
        <v>960</v>
      </c>
      <c r="J31" s="99" t="s">
        <v>1678</v>
      </c>
      <c r="K31" s="54"/>
      <c r="L31" s="54"/>
      <c r="M31" s="54"/>
      <c r="N31" s="54" t="s">
        <v>1268</v>
      </c>
      <c r="O31" s="1"/>
      <c r="P31" s="1"/>
      <c r="Q31" s="1"/>
      <c r="R31" s="11"/>
      <c r="S31" s="11"/>
      <c r="T31" s="11"/>
    </row>
    <row r="32" spans="1:20" s="12" customFormat="1" ht="70.5">
      <c r="A32" s="54" t="str">
        <f>IFERROR(VLOOKUP(D32,'Master sheet (Clientes)'!A$6:D$747,2,0)," ")</f>
        <v>NJ</v>
      </c>
      <c r="B32" s="54" t="str">
        <f>IFERROR(VLOOKUP(D32,'Master sheet (Clientes)'!A$6:D$747,3,0)," ")</f>
        <v>Vivmark Residential</v>
      </c>
      <c r="C32" s="54" t="str">
        <f>IFERROR(VLOOKUP(D32,'Master sheet (Clientes)'!A$6:D$747,4,0)," ")</f>
        <v>A-V</v>
      </c>
      <c r="D32" s="54" t="s">
        <v>293</v>
      </c>
      <c r="E32" s="54" t="s">
        <v>1698</v>
      </c>
      <c r="F32" s="54"/>
      <c r="G32" s="54" t="s">
        <v>917</v>
      </c>
      <c r="H32" s="54" t="s">
        <v>1679</v>
      </c>
      <c r="I32" s="54" t="s">
        <v>960</v>
      </c>
      <c r="J32" s="99" t="s">
        <v>1678</v>
      </c>
      <c r="K32" s="54"/>
      <c r="L32" s="54"/>
      <c r="M32" s="54"/>
      <c r="N32" s="54" t="s">
        <v>1268</v>
      </c>
      <c r="O32" s="1"/>
      <c r="P32" s="1"/>
      <c r="Q32" s="1"/>
      <c r="R32" s="11"/>
      <c r="S32" s="11"/>
      <c r="T32" s="11"/>
    </row>
    <row r="33" spans="1:20">
      <c r="A33" s="1"/>
      <c r="B33" s="1"/>
      <c r="C33" s="1"/>
      <c r="D33" s="1"/>
      <c r="E33" s="1"/>
      <c r="F33" s="1"/>
      <c r="G33" s="1"/>
      <c r="H33" s="1"/>
      <c r="I33" s="1"/>
      <c r="J33" s="1"/>
      <c r="K33" s="1"/>
      <c r="L33" s="1"/>
      <c r="M33" s="1"/>
      <c r="N33" s="1"/>
    </row>
    <row r="34" spans="1:20" s="1" customFormat="1" ht="47">
      <c r="A34" s="4" t="s">
        <v>8</v>
      </c>
      <c r="B34" s="4" t="s">
        <v>9</v>
      </c>
      <c r="C34" s="4" t="s">
        <v>10</v>
      </c>
      <c r="D34" s="4" t="s">
        <v>11</v>
      </c>
      <c r="E34" s="4" t="s">
        <v>12</v>
      </c>
      <c r="F34" s="4" t="s">
        <v>13</v>
      </c>
      <c r="G34" s="38" t="s">
        <v>14</v>
      </c>
      <c r="H34" s="4" t="s">
        <v>15</v>
      </c>
      <c r="I34" s="38" t="s">
        <v>16</v>
      </c>
      <c r="J34" s="38" t="s">
        <v>17</v>
      </c>
      <c r="K34" s="38" t="s">
        <v>18</v>
      </c>
      <c r="L34" s="38" t="s">
        <v>19</v>
      </c>
      <c r="M34" s="38" t="s">
        <v>20</v>
      </c>
      <c r="N34" s="38" t="s">
        <v>21</v>
      </c>
    </row>
    <row r="35" spans="1:20" s="12" customFormat="1" ht="70.5">
      <c r="A35" s="54" t="str">
        <f>IFERROR(VLOOKUP(D35,'Master sheet (Clientes)'!A$6:D$747,2,0)," ")</f>
        <v>NJ</v>
      </c>
      <c r="B35" s="54" t="str">
        <f>IFERROR(VLOOKUP(D35,'Master sheet (Clientes)'!A$6:D$747,3,0)," ")</f>
        <v>Vivmark Residential</v>
      </c>
      <c r="C35" s="54" t="str">
        <f>IFERROR(VLOOKUP(D35,'Master sheet (Clientes)'!A$6:D$747,4,0)," ")</f>
        <v>A-V</v>
      </c>
      <c r="D35" s="54" t="s">
        <v>293</v>
      </c>
      <c r="E35" s="54" t="s">
        <v>978</v>
      </c>
      <c r="F35" s="54" t="s">
        <v>854</v>
      </c>
      <c r="G35" s="54" t="s">
        <v>853</v>
      </c>
      <c r="H35" s="54" t="s">
        <v>980</v>
      </c>
      <c r="I35" s="54" t="s">
        <v>901</v>
      </c>
      <c r="J35" s="54" t="s">
        <v>48</v>
      </c>
      <c r="K35" s="54"/>
      <c r="L35" s="54"/>
      <c r="M35" s="54"/>
      <c r="N35" s="54" t="s">
        <v>1268</v>
      </c>
      <c r="O35" s="1"/>
      <c r="P35" s="1"/>
      <c r="Q35" s="1"/>
      <c r="R35" s="11"/>
      <c r="S35" s="11"/>
      <c r="T35" s="11"/>
    </row>
    <row r="36" spans="1:20" ht="70.5">
      <c r="A36" s="54" t="str">
        <f>IFERROR(VLOOKUP(D36,'Master sheet (Clientes)'!A$6:D$747,2,0)," ")</f>
        <v>NJ</v>
      </c>
      <c r="B36" s="54" t="str">
        <f>IFERROR(VLOOKUP(D36,'Master sheet (Clientes)'!A$6:D$747,3,0)," ")</f>
        <v>Post Brothers</v>
      </c>
      <c r="C36" s="54" t="str">
        <f>IFERROR(VLOOKUP(D36,'Master sheet (Clientes)'!A$6:D$747,4,0)," ")</f>
        <v>A-V</v>
      </c>
      <c r="D36" s="54" t="s">
        <v>626</v>
      </c>
      <c r="E36" s="54">
        <v>1222</v>
      </c>
      <c r="F36" s="54" t="s">
        <v>854</v>
      </c>
      <c r="G36" s="54" t="s">
        <v>853</v>
      </c>
      <c r="H36" s="54" t="s">
        <v>980</v>
      </c>
      <c r="I36" s="54" t="s">
        <v>901</v>
      </c>
      <c r="J36" s="54" t="s">
        <v>48</v>
      </c>
      <c r="K36" s="54"/>
      <c r="L36" s="54"/>
      <c r="M36" s="54"/>
      <c r="N36" s="54" t="s">
        <v>1268</v>
      </c>
    </row>
    <row r="37" spans="1:20" ht="70.5">
      <c r="A37" s="54" t="str">
        <f>IFERROR(VLOOKUP(D37,'Master sheet (Clientes)'!A$6:D$747,2,0)," ")</f>
        <v>NJ</v>
      </c>
      <c r="B37" s="54" t="str">
        <f>IFERROR(VLOOKUP(D37,'Master sheet (Clientes)'!A$6:D$747,3,0)," ")</f>
        <v>Skylight</v>
      </c>
      <c r="C37" s="54" t="str">
        <f>IFERROR(VLOOKUP(D37,'Master sheet (Clientes)'!A$6:D$747,4,0)," ")</f>
        <v>N-O</v>
      </c>
      <c r="D37" s="54" t="s">
        <v>727</v>
      </c>
      <c r="E37" s="54">
        <v>609</v>
      </c>
      <c r="F37" s="54" t="s">
        <v>45</v>
      </c>
      <c r="G37" s="54" t="s">
        <v>853</v>
      </c>
      <c r="H37" s="54" t="s">
        <v>1553</v>
      </c>
      <c r="I37" s="54" t="s">
        <v>901</v>
      </c>
      <c r="J37" s="54" t="s">
        <v>48</v>
      </c>
      <c r="K37" s="54"/>
      <c r="L37" s="54"/>
      <c r="M37" s="54"/>
      <c r="N37" s="54" t="s">
        <v>1268</v>
      </c>
    </row>
    <row r="38" spans="1:20" ht="47">
      <c r="A38" s="54" t="str">
        <f>IFERROR(VLOOKUP(D38,'Master sheet (Clientes)'!A$6:D$747,2,0)," ")</f>
        <v>NJ</v>
      </c>
      <c r="B38" s="54" t="str">
        <f>IFERROR(VLOOKUP(D38,'Master sheet (Clientes)'!A$6:D$747,3,0)," ")</f>
        <v>Vivmark Residential</v>
      </c>
      <c r="C38" s="54" t="str">
        <f>IFERROR(VLOOKUP(D38,'Master sheet (Clientes)'!A$6:D$747,4,0)," ")</f>
        <v>N-O</v>
      </c>
      <c r="D38" s="54" t="s">
        <v>78</v>
      </c>
      <c r="E38" s="54">
        <v>104</v>
      </c>
      <c r="F38" s="54" t="s">
        <v>45</v>
      </c>
      <c r="G38" s="54" t="s">
        <v>1054</v>
      </c>
      <c r="H38" s="54" t="s">
        <v>1509</v>
      </c>
      <c r="I38" s="54" t="s">
        <v>901</v>
      </c>
      <c r="J38" s="54" t="s">
        <v>48</v>
      </c>
      <c r="K38" s="54"/>
      <c r="L38" s="54"/>
      <c r="M38" s="54"/>
      <c r="N38" s="54" t="s">
        <v>1268</v>
      </c>
    </row>
    <row r="39" spans="1:20" s="94" customFormat="1" ht="47">
      <c r="A39" s="92" t="str">
        <f>IFERROR(VLOOKUP(D39,'Master sheet (Clientes)'!A$6:D$747,2,0)," ")</f>
        <v>NJ</v>
      </c>
      <c r="B39" s="92" t="str">
        <f>IFERROR(VLOOKUP(D39,'Master sheet (Clientes)'!A$6:D$747,3,0)," ")</f>
        <v>Vivmark Residential</v>
      </c>
      <c r="C39" s="92" t="str">
        <f>IFERROR(VLOOKUP(D39,'Master sheet (Clientes)'!A$6:D$747,4,0)," ")</f>
        <v>N-O</v>
      </c>
      <c r="D39" s="92" t="s">
        <v>78</v>
      </c>
      <c r="E39" s="92">
        <v>155</v>
      </c>
      <c r="F39" s="92"/>
      <c r="G39" s="92" t="s">
        <v>917</v>
      </c>
      <c r="H39" s="92" t="s">
        <v>1894</v>
      </c>
      <c r="I39" s="92" t="s">
        <v>901</v>
      </c>
      <c r="J39" s="92" t="s">
        <v>48</v>
      </c>
      <c r="K39" s="92"/>
      <c r="L39" s="92"/>
      <c r="M39" s="92" t="s">
        <v>1592</v>
      </c>
      <c r="N39" s="92" t="s">
        <v>1895</v>
      </c>
      <c r="O39" s="93"/>
      <c r="P39" s="93"/>
      <c r="Q39" s="93"/>
    </row>
    <row r="40" spans="1:20">
      <c r="A40" s="1"/>
      <c r="B40" s="1"/>
      <c r="C40" s="1"/>
      <c r="D40" s="1"/>
      <c r="E40" s="1"/>
      <c r="F40" s="1"/>
      <c r="G40" s="1"/>
      <c r="H40" s="1"/>
      <c r="I40" s="1"/>
      <c r="J40" s="1"/>
      <c r="K40" s="1"/>
      <c r="L40" s="1"/>
      <c r="M40" s="1"/>
      <c r="N40" s="1"/>
    </row>
    <row r="41" spans="1:20" ht="26">
      <c r="A41" s="33"/>
      <c r="B41" s="33"/>
      <c r="C41" s="33"/>
      <c r="D41" s="127" t="s">
        <v>24</v>
      </c>
      <c r="E41" s="127"/>
      <c r="F41" s="127"/>
      <c r="G41" s="127"/>
      <c r="H41" s="127"/>
      <c r="I41" s="127"/>
      <c r="J41" s="127"/>
      <c r="K41" s="127"/>
      <c r="L41" s="127"/>
      <c r="M41" s="16"/>
      <c r="N41" s="16"/>
    </row>
    <row r="42" spans="1:20" s="5" customFormat="1" ht="26">
      <c r="A42" s="43"/>
      <c r="B42" s="43"/>
      <c r="C42" s="43"/>
      <c r="D42" s="128" t="s">
        <v>25</v>
      </c>
      <c r="E42" s="128"/>
      <c r="F42" s="128"/>
      <c r="G42" s="128"/>
      <c r="H42" s="128"/>
      <c r="I42" s="128"/>
      <c r="J42" s="128"/>
      <c r="K42" s="128"/>
      <c r="L42" s="128"/>
      <c r="M42" s="44"/>
      <c r="N42" s="44"/>
      <c r="O42" s="35"/>
      <c r="P42" s="35"/>
      <c r="Q42" s="35"/>
    </row>
    <row r="43" spans="1:20">
      <c r="A43" s="1"/>
      <c r="B43" s="1"/>
      <c r="C43" s="1"/>
      <c r="D43" s="1"/>
      <c r="E43" s="1"/>
      <c r="F43" s="1"/>
      <c r="G43" s="1"/>
      <c r="H43" s="1"/>
      <c r="I43" s="1"/>
      <c r="J43" s="1"/>
      <c r="K43" s="1"/>
      <c r="L43" s="1"/>
      <c r="M43" s="1"/>
      <c r="N43" s="1"/>
    </row>
    <row r="44" spans="1:20" s="1" customFormat="1" ht="47">
      <c r="A44" s="4" t="s">
        <v>8</v>
      </c>
      <c r="B44" s="4" t="s">
        <v>9</v>
      </c>
      <c r="C44" s="4" t="s">
        <v>10</v>
      </c>
      <c r="D44" s="4" t="s">
        <v>11</v>
      </c>
      <c r="E44" s="4" t="s">
        <v>12</v>
      </c>
      <c r="F44" s="4" t="s">
        <v>13</v>
      </c>
      <c r="G44" s="38" t="s">
        <v>14</v>
      </c>
      <c r="H44" s="4" t="s">
        <v>15</v>
      </c>
      <c r="I44" s="38" t="s">
        <v>16</v>
      </c>
      <c r="J44" s="38" t="s">
        <v>17</v>
      </c>
      <c r="K44" s="38" t="s">
        <v>18</v>
      </c>
      <c r="L44" s="38" t="s">
        <v>19</v>
      </c>
      <c r="M44" s="38" t="s">
        <v>20</v>
      </c>
      <c r="N44" s="38" t="s">
        <v>21</v>
      </c>
    </row>
    <row r="45" spans="1:20" ht="70.5">
      <c r="A45" s="54" t="str">
        <f>IFERROR(VLOOKUP(D45,'Master sheet (Clientes)'!A$6:D$747,2,0)," ")</f>
        <v>NJ</v>
      </c>
      <c r="B45" s="54" t="str">
        <f>IFERROR(VLOOKUP(D45,'Master sheet (Clientes)'!A$6:D$747,3,0)," ")</f>
        <v>Skylight</v>
      </c>
      <c r="C45" s="54" t="str">
        <f>IFERROR(VLOOKUP(D45,'Master sheet (Clientes)'!A$6:D$747,4,0)," ")</f>
        <v>N-O</v>
      </c>
      <c r="D45" s="54" t="s">
        <v>726</v>
      </c>
      <c r="E45" s="54"/>
      <c r="F45" s="54"/>
      <c r="G45" s="54"/>
      <c r="H45" s="54" t="s">
        <v>994</v>
      </c>
      <c r="I45" s="54" t="s">
        <v>995</v>
      </c>
      <c r="J45" s="54" t="s">
        <v>48</v>
      </c>
      <c r="K45" s="54"/>
      <c r="L45" s="54"/>
      <c r="M45" s="54" t="s">
        <v>996</v>
      </c>
      <c r="N45" s="54" t="s">
        <v>1266</v>
      </c>
    </row>
    <row r="46" spans="1:20" ht="47">
      <c r="A46" s="54" t="str">
        <f>IFERROR(VLOOKUP(D46,'Master sheet (Clientes)'!A$6:D$747,2,0)," ")</f>
        <v>NJ</v>
      </c>
      <c r="B46" s="54" t="str">
        <f>IFERROR(VLOOKUP(D46,'Master sheet (Clientes)'!A$6:D$747,3,0)," ")</f>
        <v>Skylight</v>
      </c>
      <c r="C46" s="54" t="str">
        <f>IFERROR(VLOOKUP(D46,'Master sheet (Clientes)'!A$6:D$747,4,0)," ")</f>
        <v>N-O</v>
      </c>
      <c r="D46" s="54" t="s">
        <v>726</v>
      </c>
      <c r="E46" s="54"/>
      <c r="F46" s="54"/>
      <c r="G46" s="54"/>
      <c r="H46" s="54" t="s">
        <v>997</v>
      </c>
      <c r="I46" s="54" t="s">
        <v>998</v>
      </c>
      <c r="J46" s="54" t="s">
        <v>48</v>
      </c>
      <c r="K46" s="54"/>
      <c r="L46" s="54"/>
      <c r="M46" s="54" t="s">
        <v>996</v>
      </c>
      <c r="N46" s="54" t="s">
        <v>1266</v>
      </c>
    </row>
    <row r="47" spans="1:20" ht="70.5">
      <c r="A47" s="54" t="str">
        <f>IFERROR(VLOOKUP(D47,'Master sheet (Clientes)'!A$6:D$747,2,0)," ")</f>
        <v>NJ</v>
      </c>
      <c r="B47" s="54" t="str">
        <f>IFERROR(VLOOKUP(D47,'Master sheet (Clientes)'!A$6:D$747,3,0)," ")</f>
        <v>RHO</v>
      </c>
      <c r="C47" s="54" t="str">
        <f>IFERROR(VLOOKUP(D47,'Master sheet (Clientes)'!A$6:D$747,4,0)," ")</f>
        <v>A-V</v>
      </c>
      <c r="D47" s="54" t="s">
        <v>777</v>
      </c>
      <c r="E47" s="54"/>
      <c r="F47" s="54"/>
      <c r="G47" s="54"/>
      <c r="H47" s="54" t="s">
        <v>1554</v>
      </c>
      <c r="I47" s="54" t="s">
        <v>1046</v>
      </c>
      <c r="J47" s="54" t="s">
        <v>48</v>
      </c>
      <c r="K47" s="54"/>
      <c r="L47" s="54"/>
      <c r="M47" s="54" t="s">
        <v>1456</v>
      </c>
      <c r="N47" s="54" t="s">
        <v>1266</v>
      </c>
    </row>
    <row r="48" spans="1:20" s="1" customFormat="1">
      <c r="A48" s="3"/>
      <c r="B48" s="3"/>
      <c r="C48" s="3"/>
      <c r="D48" s="3"/>
      <c r="E48" s="3"/>
      <c r="F48" s="3"/>
      <c r="G48" s="3"/>
      <c r="H48" s="3"/>
      <c r="I48" s="3"/>
      <c r="J48" s="3"/>
    </row>
    <row r="49" spans="1:20" s="1" customFormat="1" ht="47">
      <c r="A49" s="4" t="s">
        <v>8</v>
      </c>
      <c r="B49" s="4" t="s">
        <v>9</v>
      </c>
      <c r="C49" s="4" t="s">
        <v>10</v>
      </c>
      <c r="D49" s="4" t="s">
        <v>11</v>
      </c>
      <c r="E49" s="4" t="s">
        <v>12</v>
      </c>
      <c r="F49" s="4" t="s">
        <v>13</v>
      </c>
      <c r="G49" s="38" t="s">
        <v>14</v>
      </c>
      <c r="H49" s="4" t="s">
        <v>15</v>
      </c>
      <c r="I49" s="38" t="s">
        <v>16</v>
      </c>
      <c r="J49" s="38" t="s">
        <v>17</v>
      </c>
      <c r="K49" s="38" t="s">
        <v>18</v>
      </c>
      <c r="L49" s="38" t="s">
        <v>19</v>
      </c>
      <c r="M49" s="38" t="s">
        <v>20</v>
      </c>
      <c r="N49" s="38" t="s">
        <v>21</v>
      </c>
    </row>
    <row r="50" spans="1:20" ht="70.5">
      <c r="A50" s="54" t="str">
        <f>IFERROR(VLOOKUP(D50,'Master sheet (Clientes)'!A$6:D$747,2,0)," ")</f>
        <v>NJ</v>
      </c>
      <c r="B50" s="54" t="str">
        <f>IFERROR(VLOOKUP(D50,'Master sheet (Clientes)'!A$6:D$747,3,0)," ")</f>
        <v>Rose Associates</v>
      </c>
      <c r="C50" s="54" t="str">
        <f>IFERROR(VLOOKUP(D50,'Master sheet (Clientes)'!A$6:D$747,4,0)," ")</f>
        <v>A-V</v>
      </c>
      <c r="D50" s="54" t="s">
        <v>1381</v>
      </c>
      <c r="E50" s="54"/>
      <c r="F50" s="54"/>
      <c r="G50" s="54"/>
      <c r="H50" s="54" t="s">
        <v>999</v>
      </c>
      <c r="I50" s="54" t="s">
        <v>1000</v>
      </c>
      <c r="J50" s="54" t="s">
        <v>48</v>
      </c>
      <c r="K50" s="54"/>
      <c r="L50" s="54"/>
      <c r="M50" s="54" t="s">
        <v>1001</v>
      </c>
      <c r="N50" s="54" t="s">
        <v>1266</v>
      </c>
    </row>
    <row r="51" spans="1:20" ht="70.5">
      <c r="A51" s="54" t="str">
        <f>IFERROR(VLOOKUP(D51,'Master sheet (Clientes)'!A$6:D$747,2,0)," ")</f>
        <v>NJ</v>
      </c>
      <c r="B51" s="54" t="str">
        <f>IFERROR(VLOOKUP(D51,'Master sheet (Clientes)'!A$6:D$747,3,0)," ")</f>
        <v>Vivmark Residential</v>
      </c>
      <c r="C51" s="54" t="str">
        <f>IFERROR(VLOOKUP(D51,'Master sheet (Clientes)'!A$6:D$747,4,0)," ")</f>
        <v>A-V</v>
      </c>
      <c r="D51" s="54" t="s">
        <v>286</v>
      </c>
      <c r="E51" s="54"/>
      <c r="F51" s="54"/>
      <c r="G51" s="54"/>
      <c r="H51" s="54" t="s">
        <v>1349</v>
      </c>
      <c r="I51" s="54" t="s">
        <v>1283</v>
      </c>
      <c r="J51" s="54" t="s">
        <v>1350</v>
      </c>
      <c r="K51" s="54"/>
      <c r="L51" s="54"/>
      <c r="M51" s="54"/>
      <c r="N51" s="54" t="s">
        <v>1268</v>
      </c>
    </row>
    <row r="52" spans="1:20" ht="70.5">
      <c r="A52" s="54" t="str">
        <f>IFERROR(VLOOKUP(D52,'Master sheet (Clientes)'!A$6:D$747,2,0)," ")</f>
        <v>NJ</v>
      </c>
      <c r="B52" s="54" t="str">
        <f>IFERROR(VLOOKUP(D52,'Master sheet (Clientes)'!A$6:D$747,3,0)," ")</f>
        <v>Dalan Management</v>
      </c>
      <c r="C52" s="54" t="str">
        <f>IFERROR(VLOOKUP(D52,'Master sheet (Clientes)'!A$6:D$747,4,0)," ")</f>
        <v>N-O</v>
      </c>
      <c r="D52" s="54" t="s">
        <v>254</v>
      </c>
      <c r="E52" s="54">
        <v>1611</v>
      </c>
      <c r="F52" s="54" t="s">
        <v>1279</v>
      </c>
      <c r="G52" s="54" t="s">
        <v>853</v>
      </c>
      <c r="H52" s="54" t="s">
        <v>1544</v>
      </c>
      <c r="I52" s="54" t="s">
        <v>1522</v>
      </c>
      <c r="J52" s="54" t="s">
        <v>48</v>
      </c>
      <c r="K52" s="54"/>
      <c r="L52" s="54"/>
      <c r="M52" s="54"/>
      <c r="N52" s="54" t="s">
        <v>1265</v>
      </c>
    </row>
    <row r="53" spans="1:20">
      <c r="A53" s="1"/>
      <c r="B53" s="1"/>
      <c r="C53" s="1"/>
      <c r="D53" s="1"/>
      <c r="E53" s="1"/>
      <c r="F53" s="1"/>
      <c r="G53" s="1"/>
      <c r="H53" s="1"/>
      <c r="I53" s="1"/>
      <c r="J53" s="1"/>
      <c r="K53" s="1"/>
      <c r="L53" s="1"/>
      <c r="M53" s="1"/>
      <c r="N53" s="1"/>
    </row>
    <row r="54" spans="1:20" s="1" customFormat="1" ht="47">
      <c r="A54" s="4" t="s">
        <v>8</v>
      </c>
      <c r="B54" s="4" t="s">
        <v>9</v>
      </c>
      <c r="C54" s="4" t="s">
        <v>10</v>
      </c>
      <c r="D54" s="4" t="s">
        <v>11</v>
      </c>
      <c r="E54" s="4" t="s">
        <v>12</v>
      </c>
      <c r="F54" s="4" t="s">
        <v>13</v>
      </c>
      <c r="G54" s="38" t="s">
        <v>14</v>
      </c>
      <c r="H54" s="4" t="s">
        <v>15</v>
      </c>
      <c r="I54" s="38" t="s">
        <v>16</v>
      </c>
      <c r="J54" s="38" t="s">
        <v>17</v>
      </c>
      <c r="K54" s="38" t="s">
        <v>18</v>
      </c>
      <c r="L54" s="38" t="s">
        <v>19</v>
      </c>
      <c r="M54" s="38" t="s">
        <v>20</v>
      </c>
      <c r="N54" s="38" t="s">
        <v>21</v>
      </c>
    </row>
    <row r="55" spans="1:20" ht="70.5">
      <c r="A55" s="54" t="str">
        <f>IFERROR(VLOOKUP(D55,'Master sheet (Clientes)'!A$6:D$747,2,0)," ")</f>
        <v>NJ</v>
      </c>
      <c r="B55" s="54" t="str">
        <f>IFERROR(VLOOKUP(D55,'Master sheet (Clientes)'!A$6:D$747,3,0)," ")</f>
        <v>Vivmark Residential</v>
      </c>
      <c r="C55" s="54" t="str">
        <f>IFERROR(VLOOKUP(D55,'Master sheet (Clientes)'!A$6:D$747,4,0)," ")</f>
        <v>A-V</v>
      </c>
      <c r="D55" s="54" t="s">
        <v>286</v>
      </c>
      <c r="E55" s="54">
        <v>2807</v>
      </c>
      <c r="F55" s="54" t="s">
        <v>45</v>
      </c>
      <c r="G55" s="54" t="s">
        <v>853</v>
      </c>
      <c r="H55" s="54" t="s">
        <v>1153</v>
      </c>
      <c r="I55" s="54" t="s">
        <v>1525</v>
      </c>
      <c r="J55" s="54" t="s">
        <v>1152</v>
      </c>
      <c r="K55" s="54"/>
      <c r="L55" s="54"/>
      <c r="M55" s="54" t="s">
        <v>1285</v>
      </c>
      <c r="N55" s="54" t="s">
        <v>1747</v>
      </c>
    </row>
    <row r="56" spans="1:20" ht="70.5">
      <c r="A56" s="54" t="str">
        <f>IFERROR(VLOOKUP(D56,'Master sheet (Clientes)'!A$6:D$747,2,0)," ")</f>
        <v>NJ</v>
      </c>
      <c r="B56" s="54" t="str">
        <f>IFERROR(VLOOKUP(D56,'Master sheet (Clientes)'!A$6:D$747,3,0)," ")</f>
        <v>Vivmark Residential</v>
      </c>
      <c r="C56" s="54" t="str">
        <f>IFERROR(VLOOKUP(D56,'Master sheet (Clientes)'!A$6:D$747,4,0)," ")</f>
        <v>A-V</v>
      </c>
      <c r="D56" s="54" t="s">
        <v>286</v>
      </c>
      <c r="E56" s="54" t="s">
        <v>1412</v>
      </c>
      <c r="F56" s="54" t="s">
        <v>874</v>
      </c>
      <c r="G56" s="54" t="s">
        <v>853</v>
      </c>
      <c r="H56" s="54" t="s">
        <v>860</v>
      </c>
      <c r="I56" s="54" t="s">
        <v>1525</v>
      </c>
      <c r="J56" s="54" t="s">
        <v>1152</v>
      </c>
      <c r="K56" s="54"/>
      <c r="L56" s="54"/>
      <c r="M56" s="54" t="s">
        <v>1157</v>
      </c>
      <c r="N56" s="54" t="s">
        <v>1747</v>
      </c>
    </row>
    <row r="57" spans="1:20" ht="70.5">
      <c r="A57" s="54" t="str">
        <f>IFERROR(VLOOKUP(D57,'Master sheet (Clientes)'!A$6:D$747,2,0)," ")</f>
        <v>NJ</v>
      </c>
      <c r="B57" s="54" t="str">
        <f>IFERROR(VLOOKUP(D57,'Master sheet (Clientes)'!A$6:D$747,3,0)," ")</f>
        <v>Vivmark Residential</v>
      </c>
      <c r="C57" s="54" t="str">
        <f>IFERROR(VLOOKUP(D57,'Master sheet (Clientes)'!A$6:D$747,4,0)," ")</f>
        <v>A-V</v>
      </c>
      <c r="D57" s="54" t="s">
        <v>286</v>
      </c>
      <c r="E57" s="54">
        <v>2408</v>
      </c>
      <c r="F57" s="54" t="s">
        <v>45</v>
      </c>
      <c r="G57" s="54" t="s">
        <v>853</v>
      </c>
      <c r="H57" s="54" t="s">
        <v>1413</v>
      </c>
      <c r="I57" s="54" t="s">
        <v>1525</v>
      </c>
      <c r="J57" s="54" t="s">
        <v>1152</v>
      </c>
      <c r="K57" s="54"/>
      <c r="L57" s="54"/>
      <c r="M57" s="54" t="s">
        <v>1157</v>
      </c>
      <c r="N57" s="54" t="s">
        <v>1747</v>
      </c>
    </row>
    <row r="58" spans="1:20" ht="70.5">
      <c r="A58" s="54" t="str">
        <f>IFERROR(VLOOKUP(D58,'Master sheet (Clientes)'!A$6:D$747,2,0)," ")</f>
        <v>NJ</v>
      </c>
      <c r="B58" s="54" t="str">
        <f>IFERROR(VLOOKUP(D58,'Master sheet (Clientes)'!A$6:D$747,3,0)," ")</f>
        <v>Vivmark Residential</v>
      </c>
      <c r="C58" s="54" t="str">
        <f>IFERROR(VLOOKUP(D58,'Master sheet (Clientes)'!A$6:D$747,4,0)," ")</f>
        <v>A-V</v>
      </c>
      <c r="D58" s="54" t="s">
        <v>286</v>
      </c>
      <c r="E58" s="54"/>
      <c r="F58" s="54"/>
      <c r="G58" s="54"/>
      <c r="H58" s="54" t="s">
        <v>1545</v>
      </c>
      <c r="I58" s="54" t="s">
        <v>1296</v>
      </c>
      <c r="J58" s="54" t="s">
        <v>1350</v>
      </c>
      <c r="K58" s="54"/>
      <c r="L58" s="54"/>
      <c r="M58" s="54"/>
      <c r="N58" s="54" t="s">
        <v>1268</v>
      </c>
    </row>
    <row r="59" spans="1:20" s="1" customFormat="1">
      <c r="A59" s="3"/>
      <c r="B59" s="3"/>
      <c r="C59" s="3"/>
      <c r="D59" s="3"/>
      <c r="E59" s="3"/>
      <c r="F59" s="3"/>
      <c r="G59" s="3"/>
      <c r="H59" s="3"/>
      <c r="I59" s="3"/>
      <c r="J59" s="3"/>
    </row>
    <row r="60" spans="1:20" s="1" customFormat="1" ht="47">
      <c r="A60" s="4" t="s">
        <v>8</v>
      </c>
      <c r="B60" s="4" t="s">
        <v>9</v>
      </c>
      <c r="C60" s="4" t="s">
        <v>10</v>
      </c>
      <c r="D60" s="4" t="s">
        <v>11</v>
      </c>
      <c r="E60" s="4" t="s">
        <v>12</v>
      </c>
      <c r="F60" s="4" t="s">
        <v>13</v>
      </c>
      <c r="G60" s="38" t="s">
        <v>14</v>
      </c>
      <c r="H60" s="4" t="s">
        <v>15</v>
      </c>
      <c r="I60" s="38" t="s">
        <v>16</v>
      </c>
      <c r="J60" s="38" t="s">
        <v>17</v>
      </c>
      <c r="K60" s="38" t="s">
        <v>18</v>
      </c>
      <c r="L60" s="38" t="s">
        <v>19</v>
      </c>
      <c r="M60" s="38" t="s">
        <v>20</v>
      </c>
      <c r="N60" s="38" t="s">
        <v>21</v>
      </c>
    </row>
    <row r="61" spans="1:20" ht="47">
      <c r="A61" s="54" t="str">
        <f>IFERROR(VLOOKUP(D61,'Master sheet (Clientes)'!A$6:D$747,2,0)," ")</f>
        <v>NJ</v>
      </c>
      <c r="B61" s="54" t="str">
        <f>IFERROR(VLOOKUP(D61,'Master sheet (Clientes)'!A$6:D$747,3,0)," ")</f>
        <v>Skylight</v>
      </c>
      <c r="C61" s="54" t="str">
        <f>IFERROR(VLOOKUP(D61,'Master sheet (Clientes)'!A$6:D$747,4,0)," ")</f>
        <v>N-O</v>
      </c>
      <c r="D61" s="54" t="s">
        <v>726</v>
      </c>
      <c r="E61" s="54">
        <v>410</v>
      </c>
      <c r="F61" s="54" t="s">
        <v>1279</v>
      </c>
      <c r="G61" s="54" t="s">
        <v>853</v>
      </c>
      <c r="H61" s="54" t="s">
        <v>1148</v>
      </c>
      <c r="I61" s="54" t="s">
        <v>1524</v>
      </c>
      <c r="J61" s="54" t="s">
        <v>48</v>
      </c>
      <c r="K61" s="54"/>
      <c r="L61" s="54"/>
      <c r="M61" s="54"/>
      <c r="N61" s="54" t="s">
        <v>1747</v>
      </c>
    </row>
    <row r="62" spans="1:20" ht="70.5">
      <c r="A62" s="54" t="str">
        <f>IFERROR(VLOOKUP(D62,'Master sheet (Clientes)'!A$6:D$747,2,0)," ")</f>
        <v>NJ</v>
      </c>
      <c r="B62" s="54" t="str">
        <f>IFERROR(VLOOKUP(D62,'Master sheet (Clientes)'!A$6:D$747,3,0)," ")</f>
        <v>Vivmark Residential</v>
      </c>
      <c r="C62" s="54" t="str">
        <f>IFERROR(VLOOKUP(D62,'Master sheet (Clientes)'!A$6:D$747,4,0)," ")</f>
        <v>A-V</v>
      </c>
      <c r="D62" s="54" t="s">
        <v>292</v>
      </c>
      <c r="E62" s="54">
        <v>542</v>
      </c>
      <c r="F62" s="54" t="s">
        <v>45</v>
      </c>
      <c r="G62" s="54" t="s">
        <v>853</v>
      </c>
      <c r="H62" s="54" t="s">
        <v>1408</v>
      </c>
      <c r="I62" s="54" t="s">
        <v>1523</v>
      </c>
      <c r="J62" s="54" t="s">
        <v>1406</v>
      </c>
      <c r="K62" s="54"/>
      <c r="L62" s="54"/>
      <c r="M62" s="54" t="s">
        <v>1157</v>
      </c>
      <c r="N62" s="54" t="s">
        <v>1747</v>
      </c>
    </row>
    <row r="63" spans="1:20" s="117" customFormat="1" ht="47">
      <c r="A63" s="114" t="str">
        <f>IFERROR(VLOOKUP(D63,'Master sheet (Clientes)'!A$6:D$747,2,0)," ")</f>
        <v>NJ</v>
      </c>
      <c r="B63" s="114" t="str">
        <f>IFERROR(VLOOKUP(D63,'Master sheet (Clientes)'!A$6:D$747,3,0)," ")</f>
        <v>Skylight</v>
      </c>
      <c r="C63" s="114" t="str">
        <f>IFERROR(VLOOKUP(D63,'Master sheet (Clientes)'!A$6:D$747,4,0)," ")</f>
        <v>N-O</v>
      </c>
      <c r="D63" s="54" t="s">
        <v>713</v>
      </c>
      <c r="E63" s="114">
        <v>303</v>
      </c>
      <c r="F63" s="114" t="s">
        <v>45</v>
      </c>
      <c r="G63" s="114" t="s">
        <v>853</v>
      </c>
      <c r="H63" s="114" t="s">
        <v>1585</v>
      </c>
      <c r="I63" s="114" t="s">
        <v>1584</v>
      </c>
      <c r="J63" s="114" t="s">
        <v>48</v>
      </c>
      <c r="K63" s="114"/>
      <c r="L63" s="114"/>
      <c r="M63" s="114"/>
      <c r="N63" s="54" t="s">
        <v>1747</v>
      </c>
      <c r="O63" s="35"/>
      <c r="P63" s="35"/>
      <c r="Q63" s="35"/>
      <c r="R63" s="116"/>
      <c r="S63" s="116"/>
      <c r="T63" s="116"/>
    </row>
    <row r="64" spans="1:20">
      <c r="A64" s="1"/>
      <c r="B64" s="1"/>
      <c r="C64" s="1"/>
      <c r="D64" s="1"/>
      <c r="E64" s="1"/>
      <c r="F64" s="1"/>
      <c r="G64" s="1"/>
      <c r="H64" s="1"/>
      <c r="I64" s="1"/>
      <c r="J64" s="1"/>
      <c r="K64" s="1"/>
      <c r="L64" s="1"/>
      <c r="M64" s="1"/>
      <c r="N64" s="1"/>
    </row>
    <row r="65" spans="1:17" s="1" customFormat="1" ht="47">
      <c r="A65" s="4" t="s">
        <v>8</v>
      </c>
      <c r="B65" s="4" t="s">
        <v>9</v>
      </c>
      <c r="C65" s="4" t="s">
        <v>10</v>
      </c>
      <c r="D65" s="4" t="s">
        <v>11</v>
      </c>
      <c r="E65" s="4" t="s">
        <v>12</v>
      </c>
      <c r="F65" s="4" t="s">
        <v>13</v>
      </c>
      <c r="G65" s="38" t="s">
        <v>14</v>
      </c>
      <c r="H65" s="4" t="s">
        <v>15</v>
      </c>
      <c r="I65" s="38" t="s">
        <v>16</v>
      </c>
      <c r="J65" s="38" t="s">
        <v>17</v>
      </c>
      <c r="K65" s="38" t="s">
        <v>18</v>
      </c>
      <c r="L65" s="38" t="s">
        <v>19</v>
      </c>
      <c r="M65" s="38" t="s">
        <v>20</v>
      </c>
      <c r="N65" s="38" t="s">
        <v>21</v>
      </c>
    </row>
    <row r="66" spans="1:17" ht="70.5">
      <c r="A66" s="54" t="str">
        <f>IFERROR(VLOOKUP(D66,'Master sheet (Clientes)'!A$6:D$747,2,0)," ")</f>
        <v>NJ</v>
      </c>
      <c r="B66" s="54" t="str">
        <f>IFERROR(VLOOKUP(D66,'Master sheet (Clientes)'!A$6:D$747,3,0)," ")</f>
        <v>Vivmark Residential</v>
      </c>
      <c r="C66" s="54" t="str">
        <f>IFERROR(VLOOKUP(D66,'Master sheet (Clientes)'!A$6:D$747,4,0)," ")</f>
        <v>A-V</v>
      </c>
      <c r="D66" s="54" t="s">
        <v>286</v>
      </c>
      <c r="E66" s="54">
        <v>2807</v>
      </c>
      <c r="F66" s="54" t="s">
        <v>45</v>
      </c>
      <c r="G66" s="54" t="s">
        <v>853</v>
      </c>
      <c r="H66" s="54" t="s">
        <v>1361</v>
      </c>
      <c r="I66" s="54" t="s">
        <v>901</v>
      </c>
      <c r="J66" s="54" t="s">
        <v>1154</v>
      </c>
      <c r="K66" s="54"/>
      <c r="L66" s="54"/>
      <c r="M66" s="54" t="s">
        <v>1286</v>
      </c>
      <c r="N66" s="54" t="s">
        <v>1268</v>
      </c>
    </row>
    <row r="67" spans="1:17" ht="70.5">
      <c r="A67" s="54" t="str">
        <f>IFERROR(VLOOKUP(D67,'Master sheet (Clientes)'!A$6:D$747,2,0)," ")</f>
        <v>NJ</v>
      </c>
      <c r="B67" s="54" t="str">
        <f>IFERROR(VLOOKUP(D67,'Master sheet (Clientes)'!A$6:D$747,3,0)," ")</f>
        <v>Vivmark Residential</v>
      </c>
      <c r="C67" s="54" t="str">
        <f>IFERROR(VLOOKUP(D67,'Master sheet (Clientes)'!A$6:D$747,4,0)," ")</f>
        <v>A-V</v>
      </c>
      <c r="D67" s="54" t="s">
        <v>286</v>
      </c>
      <c r="E67" s="54">
        <v>3107</v>
      </c>
      <c r="F67" s="54" t="s">
        <v>45</v>
      </c>
      <c r="G67" s="54" t="s">
        <v>853</v>
      </c>
      <c r="H67" s="54" t="s">
        <v>857</v>
      </c>
      <c r="I67" s="54" t="s">
        <v>901</v>
      </c>
      <c r="J67" s="54" t="s">
        <v>1154</v>
      </c>
      <c r="K67" s="54"/>
      <c r="L67" s="54"/>
      <c r="M67" s="54"/>
      <c r="N67" s="54" t="s">
        <v>1268</v>
      </c>
    </row>
    <row r="68" spans="1:17" s="94" customFormat="1" ht="70.5">
      <c r="A68" s="92" t="str">
        <f>IFERROR(VLOOKUP(D68,'Master sheet (Clientes)'!A$6:D$747,2,0)," ")</f>
        <v>NJ</v>
      </c>
      <c r="B68" s="92" t="str">
        <f>IFERROR(VLOOKUP(D68,'Master sheet (Clientes)'!A$6:D$747,3,0)," ")</f>
        <v>Vivmark Residential</v>
      </c>
      <c r="C68" s="92" t="str">
        <f>IFERROR(VLOOKUP(D68,'Master sheet (Clientes)'!A$6:D$747,4,0)," ")</f>
        <v>A-V</v>
      </c>
      <c r="D68" s="92" t="s">
        <v>290</v>
      </c>
      <c r="E68" s="92" t="s">
        <v>859</v>
      </c>
      <c r="F68" s="92" t="s">
        <v>45</v>
      </c>
      <c r="G68" s="92" t="s">
        <v>853</v>
      </c>
      <c r="H68" s="92" t="s">
        <v>857</v>
      </c>
      <c r="I68" s="92" t="s">
        <v>901</v>
      </c>
      <c r="J68" s="92" t="s">
        <v>863</v>
      </c>
      <c r="K68" s="92"/>
      <c r="L68" s="92"/>
      <c r="M68" s="92" t="s">
        <v>1683</v>
      </c>
      <c r="N68" s="92" t="s">
        <v>1684</v>
      </c>
      <c r="O68" s="93"/>
      <c r="P68" s="93"/>
      <c r="Q68" s="93"/>
    </row>
    <row r="69" spans="1:17" ht="70.5">
      <c r="A69" s="54" t="str">
        <f>IFERROR(VLOOKUP(D69,'Master sheet (Clientes)'!A$6:D$747,2,0)," ")</f>
        <v>NJ</v>
      </c>
      <c r="B69" s="54" t="str">
        <f>IFERROR(VLOOKUP(D69,'Master sheet (Clientes)'!A$6:D$747,3,0)," ")</f>
        <v>Greystar</v>
      </c>
      <c r="C69" s="54" t="str">
        <f>IFERROR(VLOOKUP(D69,'Master sheet (Clientes)'!A$6:D$747,4,0)," ")</f>
        <v>A-V</v>
      </c>
      <c r="D69" s="54" t="s">
        <v>321</v>
      </c>
      <c r="E69" s="54">
        <v>239</v>
      </c>
      <c r="F69" s="54" t="s">
        <v>854</v>
      </c>
      <c r="G69" s="54" t="s">
        <v>46</v>
      </c>
      <c r="H69" s="54" t="s">
        <v>857</v>
      </c>
      <c r="I69" s="54" t="s">
        <v>901</v>
      </c>
      <c r="J69" s="54" t="s">
        <v>855</v>
      </c>
      <c r="K69" s="54"/>
      <c r="L69" s="54"/>
      <c r="M69" s="54"/>
      <c r="N69" s="54" t="s">
        <v>1268</v>
      </c>
    </row>
    <row r="70" spans="1:17" ht="70.5">
      <c r="A70" s="54" t="str">
        <f>IFERROR(VLOOKUP(D70,'Master sheet (Clientes)'!A$6:D$747,2,0)," ")</f>
        <v>NJ</v>
      </c>
      <c r="B70" s="54" t="str">
        <f>IFERROR(VLOOKUP(D70,'Master sheet (Clientes)'!A$6:D$747,3,0)," ")</f>
        <v>Greystar</v>
      </c>
      <c r="C70" s="54" t="str">
        <f>IFERROR(VLOOKUP(D70,'Master sheet (Clientes)'!A$6:D$747,4,0)," ")</f>
        <v>A-V</v>
      </c>
      <c r="D70" s="54" t="s">
        <v>321</v>
      </c>
      <c r="E70" s="54">
        <v>147</v>
      </c>
      <c r="F70" s="54" t="s">
        <v>45</v>
      </c>
      <c r="G70" s="54" t="s">
        <v>46</v>
      </c>
      <c r="H70" s="54" t="s">
        <v>857</v>
      </c>
      <c r="I70" s="54" t="s">
        <v>901</v>
      </c>
      <c r="J70" s="54" t="s">
        <v>855</v>
      </c>
      <c r="K70" s="54"/>
      <c r="L70" s="54"/>
      <c r="M70" s="54"/>
      <c r="N70" s="54" t="s">
        <v>1268</v>
      </c>
    </row>
    <row r="71" spans="1:17" ht="70.5">
      <c r="A71" s="54" t="str">
        <f>IFERROR(VLOOKUP(D71,'Master sheet (Clientes)'!A$6:D$747,2,0)," ")</f>
        <v>NJ</v>
      </c>
      <c r="B71" s="54" t="str">
        <f>IFERROR(VLOOKUP(D71,'Master sheet (Clientes)'!A$6:D$747,3,0)," ")</f>
        <v>Greystar</v>
      </c>
      <c r="C71" s="54" t="str">
        <f>IFERROR(VLOOKUP(D71,'Master sheet (Clientes)'!A$6:D$747,4,0)," ")</f>
        <v>A-V</v>
      </c>
      <c r="D71" s="54" t="s">
        <v>321</v>
      </c>
      <c r="E71" s="54">
        <v>109</v>
      </c>
      <c r="F71" s="54" t="s">
        <v>45</v>
      </c>
      <c r="G71" s="54" t="s">
        <v>46</v>
      </c>
      <c r="H71" s="54" t="s">
        <v>857</v>
      </c>
      <c r="I71" s="54" t="s">
        <v>901</v>
      </c>
      <c r="J71" s="54" t="s">
        <v>855</v>
      </c>
      <c r="K71" s="54"/>
      <c r="L71" s="54"/>
      <c r="M71" s="54"/>
      <c r="N71" s="54" t="s">
        <v>1268</v>
      </c>
    </row>
    <row r="72" spans="1:17">
      <c r="A72" s="1"/>
      <c r="B72" s="1"/>
      <c r="C72" s="1"/>
      <c r="D72" s="1"/>
      <c r="E72" s="1"/>
      <c r="F72" s="1"/>
      <c r="G72" s="1"/>
      <c r="H72" s="1"/>
      <c r="I72" s="1"/>
      <c r="J72" s="1"/>
      <c r="K72" s="1"/>
      <c r="L72" s="1"/>
      <c r="M72" s="1"/>
      <c r="N72" s="1"/>
    </row>
    <row r="73" spans="1:17" s="1" customFormat="1" ht="47">
      <c r="A73" s="4" t="s">
        <v>8</v>
      </c>
      <c r="B73" s="4" t="s">
        <v>9</v>
      </c>
      <c r="C73" s="4" t="s">
        <v>10</v>
      </c>
      <c r="D73" s="4" t="s">
        <v>11</v>
      </c>
      <c r="E73" s="4" t="s">
        <v>12</v>
      </c>
      <c r="F73" s="4" t="s">
        <v>13</v>
      </c>
      <c r="G73" s="38" t="s">
        <v>14</v>
      </c>
      <c r="H73" s="4" t="s">
        <v>15</v>
      </c>
      <c r="I73" s="38" t="s">
        <v>16</v>
      </c>
      <c r="J73" s="38" t="s">
        <v>17</v>
      </c>
      <c r="K73" s="38" t="s">
        <v>18</v>
      </c>
      <c r="L73" s="38" t="s">
        <v>19</v>
      </c>
      <c r="M73" s="38" t="s">
        <v>20</v>
      </c>
      <c r="N73" s="38" t="s">
        <v>21</v>
      </c>
    </row>
    <row r="74" spans="1:17" ht="47">
      <c r="A74" s="54" t="str">
        <f>IFERROR(VLOOKUP(D74,'Master sheet (Clientes)'!A$6:D$747,2,0)," ")</f>
        <v>NJ</v>
      </c>
      <c r="B74" s="54" t="str">
        <f>IFERROR(VLOOKUP(D74,'Master sheet (Clientes)'!A$6:D$747,3,0)," ")</f>
        <v>Bozzuto</v>
      </c>
      <c r="C74" s="54" t="str">
        <f>IFERROR(VLOOKUP(D74,'Master sheet (Clientes)'!A$6:D$747,4,0)," ")</f>
        <v>N-O</v>
      </c>
      <c r="D74" s="54" t="s">
        <v>44</v>
      </c>
      <c r="E74" s="54">
        <v>201</v>
      </c>
      <c r="F74" s="54" t="s">
        <v>45</v>
      </c>
      <c r="G74" s="54" t="s">
        <v>46</v>
      </c>
      <c r="H74" s="54" t="s">
        <v>47</v>
      </c>
      <c r="I74" s="54" t="s">
        <v>1521</v>
      </c>
      <c r="J74" s="54" t="s">
        <v>48</v>
      </c>
      <c r="K74" s="54"/>
      <c r="L74" s="54"/>
      <c r="M74" s="54"/>
      <c r="N74" s="54" t="s">
        <v>1268</v>
      </c>
    </row>
    <row r="75" spans="1:17" ht="47">
      <c r="A75" s="54" t="str">
        <f>IFERROR(VLOOKUP(D75,'Master sheet (Clientes)'!A$6:D$747,2,0)," ")</f>
        <v>NJ</v>
      </c>
      <c r="B75" s="54" t="str">
        <f>IFERROR(VLOOKUP(D75,'Master sheet (Clientes)'!A$6:D$747,3,0)," ")</f>
        <v>Bozzuto</v>
      </c>
      <c r="C75" s="54" t="str">
        <f>IFERROR(VLOOKUP(D75,'Master sheet (Clientes)'!A$6:D$747,4,0)," ")</f>
        <v>N-O</v>
      </c>
      <c r="D75" s="54" t="s">
        <v>175</v>
      </c>
      <c r="E75" s="54">
        <v>609</v>
      </c>
      <c r="F75" s="54" t="s">
        <v>874</v>
      </c>
      <c r="G75" s="54" t="s">
        <v>46</v>
      </c>
      <c r="H75" s="54" t="s">
        <v>1418</v>
      </c>
      <c r="I75" s="54" t="s">
        <v>1521</v>
      </c>
      <c r="J75" s="54" t="s">
        <v>48</v>
      </c>
      <c r="K75" s="54"/>
      <c r="L75" s="54"/>
      <c r="M75" s="54"/>
      <c r="N75" s="54" t="s">
        <v>1268</v>
      </c>
    </row>
    <row r="76" spans="1:17">
      <c r="A76" s="1"/>
      <c r="B76" s="1"/>
      <c r="C76" s="1"/>
      <c r="D76" s="1"/>
      <c r="E76" s="1"/>
      <c r="F76" s="1"/>
      <c r="G76" s="1"/>
      <c r="H76" s="1"/>
      <c r="I76" s="1"/>
      <c r="J76" s="1"/>
      <c r="K76" s="1"/>
      <c r="L76" s="1"/>
      <c r="M76" s="1"/>
      <c r="N76" s="1"/>
    </row>
    <row r="77" spans="1:17" s="1" customFormat="1" ht="47">
      <c r="A77" s="4" t="s">
        <v>8</v>
      </c>
      <c r="B77" s="4" t="s">
        <v>9</v>
      </c>
      <c r="C77" s="4" t="s">
        <v>10</v>
      </c>
      <c r="D77" s="4" t="s">
        <v>11</v>
      </c>
      <c r="E77" s="4" t="s">
        <v>12</v>
      </c>
      <c r="F77" s="4" t="s">
        <v>13</v>
      </c>
      <c r="G77" s="38" t="s">
        <v>14</v>
      </c>
      <c r="H77" s="4" t="s">
        <v>15</v>
      </c>
      <c r="I77" s="38" t="s">
        <v>16</v>
      </c>
      <c r="J77" s="38" t="s">
        <v>17</v>
      </c>
      <c r="K77" s="38" t="s">
        <v>18</v>
      </c>
      <c r="L77" s="38" t="s">
        <v>19</v>
      </c>
      <c r="M77" s="38" t="s">
        <v>20</v>
      </c>
      <c r="N77" s="38" t="s">
        <v>21</v>
      </c>
    </row>
    <row r="78" spans="1:17" ht="47">
      <c r="A78" s="54" t="str">
        <f>IFERROR(VLOOKUP(D78,'Master sheet (Clientes)'!A$6:D$747,2,0)," ")</f>
        <v>NJ</v>
      </c>
      <c r="B78" s="54" t="str">
        <f>IFERROR(VLOOKUP(D78,'Master sheet (Clientes)'!A$6:D$747,3,0)," ")</f>
        <v>Greystar</v>
      </c>
      <c r="C78" s="54" t="str">
        <f>IFERROR(VLOOKUP(D78,'Master sheet (Clientes)'!A$6:D$747,4,0)," ")</f>
        <v>A-V</v>
      </c>
      <c r="D78" s="54" t="s">
        <v>305</v>
      </c>
      <c r="E78" s="54">
        <v>801</v>
      </c>
      <c r="F78" s="54" t="s">
        <v>854</v>
      </c>
      <c r="G78" s="54" t="s">
        <v>853</v>
      </c>
      <c r="H78" s="54" t="s">
        <v>923</v>
      </c>
      <c r="I78" s="54" t="s">
        <v>839</v>
      </c>
      <c r="J78" s="54" t="s">
        <v>48</v>
      </c>
      <c r="K78" s="54"/>
      <c r="L78" s="54"/>
      <c r="M78" s="54"/>
      <c r="N78" s="54" t="s">
        <v>1268</v>
      </c>
    </row>
    <row r="79" spans="1:17" ht="70.5">
      <c r="A79" s="54" t="str">
        <f>IFERROR(VLOOKUP(D79,'Master sheet (Clientes)'!A$6:D$747,2,0)," ")</f>
        <v>NJ</v>
      </c>
      <c r="B79" s="54" t="str">
        <f>IFERROR(VLOOKUP(D79,'Master sheet (Clientes)'!A$6:D$747,3,0)," ")</f>
        <v xml:space="preserve">KRE Group Management </v>
      </c>
      <c r="C79" s="54" t="str">
        <f>IFERROR(VLOOKUP(D79,'Master sheet (Clientes)'!A$6:D$747,4,0)," ")</f>
        <v>A-V</v>
      </c>
      <c r="D79" s="54" t="s">
        <v>381</v>
      </c>
      <c r="E79" s="54">
        <v>1617</v>
      </c>
      <c r="F79" s="54"/>
      <c r="G79" s="54" t="s">
        <v>853</v>
      </c>
      <c r="H79" s="54" t="s">
        <v>1460</v>
      </c>
      <c r="I79" s="54" t="s">
        <v>839</v>
      </c>
      <c r="J79" s="54" t="s">
        <v>48</v>
      </c>
      <c r="K79" s="54"/>
      <c r="L79" s="54"/>
      <c r="M79" s="54"/>
      <c r="N79" s="54" t="s">
        <v>1268</v>
      </c>
    </row>
    <row r="80" spans="1:17" ht="70.5">
      <c r="A80" s="54" t="str">
        <f>IFERROR(VLOOKUP(D80,'Master sheet (Clientes)'!A$6:D$747,2,0)," ")</f>
        <v>NJ</v>
      </c>
      <c r="B80" s="54" t="str">
        <f>IFERROR(VLOOKUP(D80,'Master sheet (Clientes)'!A$6:D$747,3,0)," ")</f>
        <v xml:space="preserve">KRE Group Management </v>
      </c>
      <c r="C80" s="54" t="str">
        <f>IFERROR(VLOOKUP(D80,'Master sheet (Clientes)'!A$6:D$747,4,0)," ")</f>
        <v>A-V</v>
      </c>
      <c r="D80" s="54" t="s">
        <v>381</v>
      </c>
      <c r="E80" s="54">
        <v>1619</v>
      </c>
      <c r="F80" s="54"/>
      <c r="G80" s="54" t="s">
        <v>853</v>
      </c>
      <c r="H80" s="54" t="s">
        <v>1460</v>
      </c>
      <c r="I80" s="54" t="s">
        <v>839</v>
      </c>
      <c r="J80" s="54" t="s">
        <v>48</v>
      </c>
      <c r="K80" s="54"/>
      <c r="L80" s="54"/>
      <c r="M80" s="54"/>
      <c r="N80" s="54" t="s">
        <v>1268</v>
      </c>
    </row>
    <row r="81" spans="1:17">
      <c r="A81" s="1"/>
      <c r="B81" s="1"/>
      <c r="C81" s="1"/>
      <c r="D81" s="1"/>
      <c r="E81" s="1"/>
      <c r="F81" s="1"/>
      <c r="G81" s="1"/>
      <c r="H81" s="1"/>
      <c r="I81" s="1"/>
      <c r="J81" s="1"/>
      <c r="K81" s="1"/>
      <c r="L81" s="1"/>
      <c r="M81" s="1"/>
      <c r="N81" s="1"/>
    </row>
    <row r="82" spans="1:17" ht="26">
      <c r="A82" s="33"/>
      <c r="B82" s="33"/>
      <c r="C82" s="33"/>
      <c r="D82" s="127" t="s">
        <v>26</v>
      </c>
      <c r="E82" s="127"/>
      <c r="F82" s="127"/>
      <c r="G82" s="127"/>
      <c r="H82" s="127"/>
      <c r="I82" s="127"/>
      <c r="J82" s="127"/>
      <c r="K82" s="127"/>
      <c r="L82" s="127"/>
      <c r="M82" s="16"/>
      <c r="N82" s="16"/>
    </row>
    <row r="83" spans="1:17" s="5" customFormat="1" ht="26">
      <c r="A83" s="43"/>
      <c r="B83" s="43"/>
      <c r="C83" s="43"/>
      <c r="D83" s="128" t="s">
        <v>27</v>
      </c>
      <c r="E83" s="128"/>
      <c r="F83" s="128"/>
      <c r="G83" s="128"/>
      <c r="H83" s="128"/>
      <c r="I83" s="128"/>
      <c r="J83" s="128"/>
      <c r="K83" s="128"/>
      <c r="L83" s="128"/>
      <c r="M83" s="44"/>
      <c r="N83" s="44"/>
      <c r="O83" s="35"/>
      <c r="P83" s="35"/>
      <c r="Q83" s="35"/>
    </row>
    <row r="84" spans="1:17" s="1" customFormat="1">
      <c r="A84" s="3"/>
      <c r="B84" s="3"/>
      <c r="C84" s="3"/>
      <c r="D84" s="3"/>
      <c r="E84" s="3"/>
      <c r="F84" s="3"/>
      <c r="G84" s="3"/>
      <c r="H84" s="3"/>
      <c r="I84" s="3"/>
      <c r="J84" s="3"/>
    </row>
    <row r="85" spans="1:17" s="1" customFormat="1" ht="47">
      <c r="A85" s="4" t="s">
        <v>8</v>
      </c>
      <c r="B85" s="4" t="s">
        <v>9</v>
      </c>
      <c r="C85" s="4" t="s">
        <v>10</v>
      </c>
      <c r="D85" s="4" t="s">
        <v>11</v>
      </c>
      <c r="E85" s="4" t="s">
        <v>12</v>
      </c>
      <c r="F85" s="4" t="s">
        <v>13</v>
      </c>
      <c r="G85" s="38" t="s">
        <v>14</v>
      </c>
      <c r="H85" s="4" t="s">
        <v>15</v>
      </c>
      <c r="I85" s="38" t="s">
        <v>16</v>
      </c>
      <c r="J85" s="38" t="s">
        <v>17</v>
      </c>
      <c r="K85" s="38" t="s">
        <v>18</v>
      </c>
      <c r="L85" s="38" t="s">
        <v>19</v>
      </c>
      <c r="M85" s="38" t="s">
        <v>20</v>
      </c>
      <c r="N85" s="38" t="s">
        <v>21</v>
      </c>
    </row>
    <row r="86" spans="1:17" ht="70.5">
      <c r="A86" s="54" t="str">
        <f>IFERROR(VLOOKUP(D86,'Master sheet (Clientes)'!A$6:D$747,2,0)," ")</f>
        <v>NJ</v>
      </c>
      <c r="B86" s="54" t="str">
        <f>IFERROR(VLOOKUP(D86,'Master sheet (Clientes)'!A$6:D$747,3,0)," ")</f>
        <v>C/O Realty</v>
      </c>
      <c r="C86" s="54" t="str">
        <f>IFERROR(VLOOKUP(D86,'Master sheet (Clientes)'!A$6:D$747,4,0)," ")</f>
        <v>N-O</v>
      </c>
      <c r="D86" s="54" t="s">
        <v>217</v>
      </c>
      <c r="E86" s="54"/>
      <c r="F86" s="54"/>
      <c r="G86" s="54"/>
      <c r="H86" s="54" t="s">
        <v>878</v>
      </c>
      <c r="I86" s="54" t="s">
        <v>1251</v>
      </c>
      <c r="J86" s="54" t="s">
        <v>869</v>
      </c>
      <c r="K86" s="54" t="s">
        <v>898</v>
      </c>
      <c r="L86" s="54"/>
      <c r="M86" s="54" t="s">
        <v>900</v>
      </c>
      <c r="N86" s="54" t="s">
        <v>1269</v>
      </c>
    </row>
    <row r="87" spans="1:17" ht="70.5">
      <c r="A87" s="54" t="str">
        <f>IFERROR(VLOOKUP(D87,'Master sheet (Clientes)'!A$6:D$747,2,0)," ")</f>
        <v>NJ</v>
      </c>
      <c r="B87" s="54" t="str">
        <f>IFERROR(VLOOKUP(D87,'Master sheet (Clientes)'!A$6:D$747,3,0)," ")</f>
        <v>C/O Realty</v>
      </c>
      <c r="C87" s="54" t="str">
        <f>IFERROR(VLOOKUP(D87,'Master sheet (Clientes)'!A$6:D$747,4,0)," ")</f>
        <v>N-O</v>
      </c>
      <c r="D87" s="54" t="s">
        <v>217</v>
      </c>
      <c r="E87" s="54"/>
      <c r="F87" s="54"/>
      <c r="G87" s="54"/>
      <c r="H87" s="54" t="s">
        <v>879</v>
      </c>
      <c r="I87" s="54" t="s">
        <v>1607</v>
      </c>
      <c r="J87" s="54" t="s">
        <v>869</v>
      </c>
      <c r="K87" s="54" t="s">
        <v>899</v>
      </c>
      <c r="L87" s="54"/>
      <c r="M87" s="54" t="s">
        <v>900</v>
      </c>
      <c r="N87" s="54" t="s">
        <v>1269</v>
      </c>
    </row>
    <row r="88" spans="1:17" ht="94">
      <c r="A88" s="54" t="str">
        <f>IFERROR(VLOOKUP(D88,'Master sheet (Clientes)'!A$6:D$747,2,0)," ")</f>
        <v>NJ</v>
      </c>
      <c r="B88" s="54" t="str">
        <f>IFERROR(VLOOKUP(D88,'Master sheet (Clientes)'!A$6:D$747,3,0)," ")</f>
        <v>C/O Realty</v>
      </c>
      <c r="C88" s="54" t="str">
        <f>IFERROR(VLOOKUP(D88,'Master sheet (Clientes)'!A$6:D$747,4,0)," ")</f>
        <v>N-O</v>
      </c>
      <c r="D88" s="54" t="s">
        <v>219</v>
      </c>
      <c r="E88" s="54"/>
      <c r="F88" s="54"/>
      <c r="G88" s="54"/>
      <c r="H88" s="54" t="s">
        <v>1008</v>
      </c>
      <c r="I88" s="54" t="s">
        <v>1009</v>
      </c>
      <c r="J88" s="54" t="s">
        <v>869</v>
      </c>
      <c r="K88" s="54"/>
      <c r="L88" s="54"/>
      <c r="M88" s="54" t="s">
        <v>1010</v>
      </c>
      <c r="N88" s="54" t="s">
        <v>1269</v>
      </c>
    </row>
    <row r="89" spans="1:17" ht="94">
      <c r="A89" s="54" t="str">
        <f>IFERROR(VLOOKUP(D89,'Master sheet (Clientes)'!A$6:D$747,2,0)," ")</f>
        <v>NJ</v>
      </c>
      <c r="B89" s="54" t="str">
        <f>IFERROR(VLOOKUP(D89,'Master sheet (Clientes)'!A$6:D$747,3,0)," ")</f>
        <v>C/O Realty</v>
      </c>
      <c r="C89" s="54" t="str">
        <f>IFERROR(VLOOKUP(D89,'Master sheet (Clientes)'!A$6:D$747,4,0)," ")</f>
        <v>N-O</v>
      </c>
      <c r="D89" s="54" t="s">
        <v>218</v>
      </c>
      <c r="E89" s="54"/>
      <c r="F89" s="54"/>
      <c r="G89" s="54"/>
      <c r="H89" s="54" t="s">
        <v>1011</v>
      </c>
      <c r="I89" s="54" t="s">
        <v>1012</v>
      </c>
      <c r="J89" s="54" t="s">
        <v>869</v>
      </c>
      <c r="K89" s="54"/>
      <c r="L89" s="54"/>
      <c r="M89" s="54" t="s">
        <v>1010</v>
      </c>
      <c r="N89" s="54" t="s">
        <v>1269</v>
      </c>
    </row>
    <row r="90" spans="1:17" ht="47">
      <c r="A90" s="54" t="str">
        <f>IFERROR(VLOOKUP(D90,'Master sheet (Clientes)'!A$6:D$747,2,0)," ")</f>
        <v>NJ</v>
      </c>
      <c r="B90" s="54" t="str">
        <f>IFERROR(VLOOKUP(D90,'Master sheet (Clientes)'!A$6:D$747,3,0)," ")</f>
        <v>C/O Realty</v>
      </c>
      <c r="C90" s="54" t="str">
        <f>IFERROR(VLOOKUP(D90,'Master sheet (Clientes)'!A$6:D$747,4,0)," ")</f>
        <v>N-O</v>
      </c>
      <c r="D90" s="54" t="s">
        <v>212</v>
      </c>
      <c r="E90" s="54">
        <v>415</v>
      </c>
      <c r="F90" s="54" t="s">
        <v>45</v>
      </c>
      <c r="G90" s="54" t="s">
        <v>853</v>
      </c>
      <c r="H90" s="54" t="s">
        <v>1351</v>
      </c>
      <c r="I90" s="54" t="s">
        <v>1608</v>
      </c>
      <c r="J90" s="54" t="s">
        <v>869</v>
      </c>
      <c r="K90" s="54"/>
      <c r="L90" s="54"/>
      <c r="M90" s="54"/>
      <c r="N90" s="54" t="s">
        <v>1269</v>
      </c>
    </row>
    <row r="91" spans="1:17" ht="70.5">
      <c r="A91" s="54" t="str">
        <f>IFERROR(VLOOKUP(D91,'Master sheet (Clientes)'!A$6:D$747,2,0)," ")</f>
        <v>NJ</v>
      </c>
      <c r="B91" s="54" t="str">
        <f>IFERROR(VLOOKUP(D91,'Master sheet (Clientes)'!A$6:D$747,3,0)," ")</f>
        <v>C/O Realty</v>
      </c>
      <c r="C91" s="54" t="str">
        <f>IFERROR(VLOOKUP(D91,'Master sheet (Clientes)'!A$6:D$747,4,0)," ")</f>
        <v>N-O</v>
      </c>
      <c r="D91" s="54" t="s">
        <v>220</v>
      </c>
      <c r="E91" s="54" t="s">
        <v>1002</v>
      </c>
      <c r="F91" s="54"/>
      <c r="G91" s="54"/>
      <c r="H91" s="54" t="s">
        <v>1294</v>
      </c>
      <c r="I91" s="54" t="s">
        <v>1572</v>
      </c>
      <c r="J91" s="54" t="s">
        <v>869</v>
      </c>
      <c r="K91" s="54"/>
      <c r="L91" s="54"/>
      <c r="M91" s="54" t="s">
        <v>1004</v>
      </c>
      <c r="N91" s="54" t="s">
        <v>1269</v>
      </c>
    </row>
    <row r="92" spans="1:17" ht="70.5">
      <c r="A92" s="54" t="str">
        <f>IFERROR(VLOOKUP(D92,'Master sheet (Clientes)'!A$6:D$747,2,0)," ")</f>
        <v>NJ</v>
      </c>
      <c r="B92" s="54" t="str">
        <f>IFERROR(VLOOKUP(D92,'Master sheet (Clientes)'!A$6:D$747,3,0)," ")</f>
        <v>C/O Realty</v>
      </c>
      <c r="C92" s="54" t="str">
        <f>IFERROR(VLOOKUP(D92,'Master sheet (Clientes)'!A$6:D$747,4,0)," ")</f>
        <v>N-O</v>
      </c>
      <c r="D92" s="54" t="s">
        <v>221</v>
      </c>
      <c r="E92" s="54"/>
      <c r="F92" s="54"/>
      <c r="G92" s="54"/>
      <c r="H92" s="54" t="s">
        <v>929</v>
      </c>
      <c r="I92" s="54" t="s">
        <v>930</v>
      </c>
      <c r="J92" s="54" t="s">
        <v>869</v>
      </c>
      <c r="K92" s="54" t="s">
        <v>931</v>
      </c>
      <c r="L92" s="54"/>
      <c r="M92" s="54" t="s">
        <v>932</v>
      </c>
      <c r="N92" s="54" t="s">
        <v>1269</v>
      </c>
    </row>
    <row r="93" spans="1:17" ht="70.5">
      <c r="A93" s="54" t="str">
        <f>IFERROR(VLOOKUP(D93,'Master sheet (Clientes)'!A$6:D$747,2,0)," ")</f>
        <v>NJ</v>
      </c>
      <c r="B93" s="54" t="str">
        <f>IFERROR(VLOOKUP(D93,'Master sheet (Clientes)'!A$6:D$747,3,0)," ")</f>
        <v>C/O Realty</v>
      </c>
      <c r="C93" s="54" t="str">
        <f>IFERROR(VLOOKUP(D93,'Master sheet (Clientes)'!A$6:D$747,4,0)," ")</f>
        <v>N-O</v>
      </c>
      <c r="D93" s="54" t="s">
        <v>226</v>
      </c>
      <c r="E93" s="54"/>
      <c r="F93" s="54"/>
      <c r="G93" s="54"/>
      <c r="H93" s="54" t="s">
        <v>1005</v>
      </c>
      <c r="I93" s="54" t="s">
        <v>1006</v>
      </c>
      <c r="J93" s="54" t="s">
        <v>869</v>
      </c>
      <c r="K93" s="54" t="s">
        <v>1007</v>
      </c>
      <c r="L93" s="54"/>
      <c r="M93" s="54"/>
      <c r="N93" s="54" t="s">
        <v>1269</v>
      </c>
    </row>
    <row r="94" spans="1:17" ht="70.5">
      <c r="A94" s="54" t="str">
        <f>IFERROR(VLOOKUP(D94,'Master sheet (Clientes)'!A$6:D$747,2,0)," ")</f>
        <v>NJ</v>
      </c>
      <c r="B94" s="54" t="str">
        <f>IFERROR(VLOOKUP(D94,'Master sheet (Clientes)'!A$6:D$747,3,0)," ")</f>
        <v>C/O Realty</v>
      </c>
      <c r="C94" s="54" t="str">
        <f>IFERROR(VLOOKUP(D94,'Master sheet (Clientes)'!A$6:D$747,4,0)," ")</f>
        <v>N-O</v>
      </c>
      <c r="D94" s="54" t="s">
        <v>217</v>
      </c>
      <c r="E94" s="54">
        <v>1409</v>
      </c>
      <c r="F94" s="54" t="s">
        <v>854</v>
      </c>
      <c r="G94" s="54" t="s">
        <v>853</v>
      </c>
      <c r="H94" s="54" t="s">
        <v>1364</v>
      </c>
      <c r="I94" s="54" t="s">
        <v>1609</v>
      </c>
      <c r="J94" s="54" t="s">
        <v>869</v>
      </c>
      <c r="K94" s="54" t="s">
        <v>943</v>
      </c>
      <c r="L94" s="54"/>
      <c r="M94" s="54"/>
      <c r="N94" s="54" t="s">
        <v>1269</v>
      </c>
    </row>
    <row r="95" spans="1:17" ht="70.5">
      <c r="A95" s="54" t="str">
        <f>IFERROR(VLOOKUP(D95,'Master sheet (Clientes)'!A$6:D$747,2,0)," ")</f>
        <v>NJ</v>
      </c>
      <c r="B95" s="54" t="str">
        <f>IFERROR(VLOOKUP(D95,'Master sheet (Clientes)'!A$6:D$747,3,0)," ")</f>
        <v>C/O Realty</v>
      </c>
      <c r="C95" s="54" t="str">
        <f>IFERROR(VLOOKUP(D95,'Master sheet (Clientes)'!A$6:D$747,4,0)," ")</f>
        <v>N-O</v>
      </c>
      <c r="D95" s="54" t="s">
        <v>217</v>
      </c>
      <c r="E95" s="54">
        <v>2504</v>
      </c>
      <c r="F95" s="54"/>
      <c r="G95" s="54"/>
      <c r="H95" s="54" t="s">
        <v>1365</v>
      </c>
      <c r="I95" s="54" t="s">
        <v>1610</v>
      </c>
      <c r="J95" s="54" t="s">
        <v>869</v>
      </c>
      <c r="K95" s="54" t="s">
        <v>1080</v>
      </c>
      <c r="L95" s="54"/>
      <c r="M95" s="54"/>
      <c r="N95" s="54" t="s">
        <v>1268</v>
      </c>
    </row>
    <row r="96" spans="1:17" s="94" customFormat="1" ht="117.5">
      <c r="A96" s="92" t="str">
        <f>IFERROR(VLOOKUP(D96,'Master sheet (Clientes)'!A$6:D$747,2,0)," ")</f>
        <v>NJ</v>
      </c>
      <c r="B96" s="92" t="str">
        <f>IFERROR(VLOOKUP(D96,'Master sheet (Clientes)'!A$6:D$747,3,0)," ")</f>
        <v>C/O Realty</v>
      </c>
      <c r="C96" s="92" t="str">
        <f>IFERROR(VLOOKUP(D96,'Master sheet (Clientes)'!A$6:D$747,4,0)," ")</f>
        <v>N-O</v>
      </c>
      <c r="D96" s="92" t="s">
        <v>208</v>
      </c>
      <c r="E96" s="92" t="s">
        <v>1317</v>
      </c>
      <c r="F96" s="92"/>
      <c r="G96" s="92"/>
      <c r="H96" s="92" t="s">
        <v>1517</v>
      </c>
      <c r="I96" s="92" t="s">
        <v>1328</v>
      </c>
      <c r="J96" s="92" t="s">
        <v>869</v>
      </c>
      <c r="K96" s="92" t="s">
        <v>1319</v>
      </c>
      <c r="L96" s="92"/>
      <c r="M96" s="92" t="s">
        <v>1320</v>
      </c>
      <c r="N96" s="92" t="s">
        <v>1641</v>
      </c>
      <c r="O96" s="93"/>
      <c r="P96" s="93"/>
      <c r="Q96" s="93"/>
    </row>
    <row r="97" spans="1:17" ht="47">
      <c r="A97" s="54" t="str">
        <f>IFERROR(VLOOKUP(D97,'Master sheet (Clientes)'!A$6:D$747,2,0)," ")</f>
        <v>NJ</v>
      </c>
      <c r="B97" s="54" t="str">
        <f>IFERROR(VLOOKUP(D97,'Master sheet (Clientes)'!A$6:D$747,3,0)," ")</f>
        <v>C/O Realty</v>
      </c>
      <c r="C97" s="54" t="str">
        <f>IFERROR(VLOOKUP(D97,'Master sheet (Clientes)'!A$6:D$747,4,0)," ")</f>
        <v>N-O</v>
      </c>
      <c r="D97" s="54" t="s">
        <v>209</v>
      </c>
      <c r="E97" s="54"/>
      <c r="F97" s="54"/>
      <c r="G97" s="54"/>
      <c r="H97" s="54" t="s">
        <v>1238</v>
      </c>
      <c r="I97" s="54" t="s">
        <v>1611</v>
      </c>
      <c r="J97" s="54" t="s">
        <v>840</v>
      </c>
      <c r="K97" s="54"/>
      <c r="L97" s="54"/>
      <c r="M97" s="54"/>
      <c r="N97" s="54" t="s">
        <v>1268</v>
      </c>
    </row>
    <row r="98" spans="1:17" ht="70.5">
      <c r="A98" s="54" t="str">
        <f>IFERROR(VLOOKUP(D98,'Master sheet (Clientes)'!A$6:D$747,2,0)," ")</f>
        <v>NJ</v>
      </c>
      <c r="B98" s="54" t="str">
        <f>IFERROR(VLOOKUP(D98,'Master sheet (Clientes)'!A$6:D$747,3,0)," ")</f>
        <v>C/O Realty</v>
      </c>
      <c r="C98" s="54" t="str">
        <f>IFERROR(VLOOKUP(D98,'Master sheet (Clientes)'!A$6:D$747,4,0)," ")</f>
        <v>N-O</v>
      </c>
      <c r="D98" s="54" t="s">
        <v>217</v>
      </c>
      <c r="E98" s="54">
        <v>1907</v>
      </c>
      <c r="F98" s="54" t="s">
        <v>45</v>
      </c>
      <c r="G98" s="54" t="s">
        <v>853</v>
      </c>
      <c r="H98" s="54" t="s">
        <v>1364</v>
      </c>
      <c r="I98" s="54" t="s">
        <v>1612</v>
      </c>
      <c r="J98" s="54" t="s">
        <v>869</v>
      </c>
      <c r="K98" s="54" t="s">
        <v>870</v>
      </c>
      <c r="L98" s="54"/>
      <c r="M98" s="54"/>
      <c r="N98" s="54" t="s">
        <v>1268</v>
      </c>
    </row>
    <row r="99" spans="1:17" ht="70.5">
      <c r="A99" s="54" t="str">
        <f>IFERROR(VLOOKUP(D99,'Master sheet (Clientes)'!A$6:D$747,2,0)," ")</f>
        <v>NJ</v>
      </c>
      <c r="B99" s="54" t="str">
        <f>IFERROR(VLOOKUP(D99,'Master sheet (Clientes)'!A$6:D$747,3,0)," ")</f>
        <v>C/O Realty</v>
      </c>
      <c r="C99" s="54" t="str">
        <f>IFERROR(VLOOKUP(D99,'Master sheet (Clientes)'!A$6:D$747,4,0)," ")</f>
        <v>N-O</v>
      </c>
      <c r="D99" s="54" t="s">
        <v>217</v>
      </c>
      <c r="E99" s="54">
        <v>2007</v>
      </c>
      <c r="F99" s="54" t="s">
        <v>45</v>
      </c>
      <c r="G99" s="54" t="s">
        <v>853</v>
      </c>
      <c r="H99" s="54" t="s">
        <v>1555</v>
      </c>
      <c r="I99" s="77" t="s">
        <v>1613</v>
      </c>
      <c r="J99" s="54" t="s">
        <v>869</v>
      </c>
      <c r="K99" s="54"/>
      <c r="L99" s="54"/>
      <c r="M99" s="54"/>
      <c r="N99" s="54" t="s">
        <v>1269</v>
      </c>
    </row>
    <row r="100" spans="1:17" ht="70.5">
      <c r="A100" s="54" t="str">
        <f>IFERROR(VLOOKUP(D100,'Master sheet (Clientes)'!A$6:D$747,2,0)," ")</f>
        <v>NJ</v>
      </c>
      <c r="B100" s="54" t="str">
        <f>IFERROR(VLOOKUP(D100,'Master sheet (Clientes)'!A$6:D$747,3,0)," ")</f>
        <v>C/O Realty</v>
      </c>
      <c r="C100" s="54" t="str">
        <f>IFERROR(VLOOKUP(D100,'Master sheet (Clientes)'!A$6:D$747,4,0)," ")</f>
        <v>N-O</v>
      </c>
      <c r="D100" s="54" t="s">
        <v>217</v>
      </c>
      <c r="E100" s="54">
        <v>1701</v>
      </c>
      <c r="F100" s="54" t="s">
        <v>876</v>
      </c>
      <c r="G100" s="54" t="s">
        <v>876</v>
      </c>
      <c r="H100" s="54" t="s">
        <v>1330</v>
      </c>
      <c r="I100" s="54" t="s">
        <v>1264</v>
      </c>
      <c r="J100" s="54" t="s">
        <v>869</v>
      </c>
      <c r="K100" s="54" t="s">
        <v>1329</v>
      </c>
      <c r="L100" s="54"/>
      <c r="M100" s="54"/>
      <c r="N100" s="54" t="s">
        <v>1268</v>
      </c>
    </row>
    <row r="101" spans="1:17" ht="94">
      <c r="A101" s="54" t="str">
        <f>IFERROR(VLOOKUP(D101,'Master sheet (Clientes)'!A$6:D$747,2,0)," ")</f>
        <v>NJ</v>
      </c>
      <c r="B101" s="54" t="str">
        <f>IFERROR(VLOOKUP(D101,'Master sheet (Clientes)'!A$6:D$747,3,0)," ")</f>
        <v>C/O Realty</v>
      </c>
      <c r="C101" s="54" t="str">
        <f>IFERROR(VLOOKUP(D101,'Master sheet (Clientes)'!A$6:D$747,4,0)," ")</f>
        <v>N-O</v>
      </c>
      <c r="D101" s="54" t="s">
        <v>208</v>
      </c>
      <c r="E101" s="54">
        <v>3208</v>
      </c>
      <c r="F101" s="54"/>
      <c r="G101" s="54" t="s">
        <v>853</v>
      </c>
      <c r="H101" s="54" t="s">
        <v>1702</v>
      </c>
      <c r="I101" s="54" t="s">
        <v>1615</v>
      </c>
      <c r="J101" s="54" t="s">
        <v>869</v>
      </c>
      <c r="K101" s="54"/>
      <c r="L101" s="54"/>
      <c r="M101" s="54" t="s">
        <v>1697</v>
      </c>
      <c r="N101" s="54" t="s">
        <v>1269</v>
      </c>
    </row>
    <row r="102" spans="1:17" s="94" customFormat="1" ht="70.5">
      <c r="A102" s="92" t="str">
        <f>IFERROR(VLOOKUP(D102,'Master sheet (Clientes)'!A$6:D$747,2,0)," ")</f>
        <v>NJ</v>
      </c>
      <c r="B102" s="92" t="str">
        <f>IFERROR(VLOOKUP(D102,'Master sheet (Clientes)'!A$6:D$747,3,0)," ")</f>
        <v>C/O Realty</v>
      </c>
      <c r="C102" s="92" t="str">
        <f>IFERROR(VLOOKUP(D102,'Master sheet (Clientes)'!A$6:D$747,4,0)," ")</f>
        <v>N-O</v>
      </c>
      <c r="D102" s="92" t="s">
        <v>217</v>
      </c>
      <c r="E102" s="92">
        <v>2504</v>
      </c>
      <c r="F102" s="92"/>
      <c r="G102" s="92" t="s">
        <v>853</v>
      </c>
      <c r="H102" s="92" t="s">
        <v>1414</v>
      </c>
      <c r="I102" s="92" t="s">
        <v>1328</v>
      </c>
      <c r="J102" s="92" t="s">
        <v>869</v>
      </c>
      <c r="K102" s="92"/>
      <c r="L102" s="92"/>
      <c r="M102" s="92"/>
      <c r="N102" s="92" t="s">
        <v>1616</v>
      </c>
      <c r="O102" s="93"/>
      <c r="P102" s="93"/>
      <c r="Q102" s="93"/>
    </row>
    <row r="103" spans="1:17" ht="47">
      <c r="A103" s="54" t="str">
        <f>IFERROR(VLOOKUP(D103,'Master sheet (Clientes)'!A$6:D$747,2,0)," ")</f>
        <v>NJ</v>
      </c>
      <c r="B103" s="54" t="str">
        <f>IFERROR(VLOOKUP(D103,'Master sheet (Clientes)'!A$6:D$747,3,0)," ")</f>
        <v>C/O Realty</v>
      </c>
      <c r="C103" s="54" t="str">
        <f>IFERROR(VLOOKUP(D103,'Master sheet (Clientes)'!A$6:D$747,4,0)," ")</f>
        <v>N-O</v>
      </c>
      <c r="D103" s="54" t="s">
        <v>209</v>
      </c>
      <c r="E103" s="54" t="s">
        <v>1461</v>
      </c>
      <c r="F103" s="54"/>
      <c r="G103" s="54" t="s">
        <v>853</v>
      </c>
      <c r="H103" s="54" t="s">
        <v>1502</v>
      </c>
      <c r="I103" s="54" t="s">
        <v>1617</v>
      </c>
      <c r="J103" s="54" t="s">
        <v>1504</v>
      </c>
      <c r="K103" s="54"/>
      <c r="L103" s="54"/>
      <c r="M103" s="54"/>
      <c r="N103" s="54" t="s">
        <v>1268</v>
      </c>
    </row>
    <row r="104" spans="1:17" ht="94">
      <c r="A104" s="54" t="str">
        <f>IFERROR(VLOOKUP(D104,'Master sheet (Clientes)'!A$6:D$747,2,0)," ")</f>
        <v>NJ</v>
      </c>
      <c r="B104" s="54" t="str">
        <f>IFERROR(VLOOKUP(D104,'Master sheet (Clientes)'!A$6:D$747,3,0)," ")</f>
        <v>C/O Realty</v>
      </c>
      <c r="C104" s="54" t="str">
        <f>IFERROR(VLOOKUP(D104,'Master sheet (Clientes)'!A$6:D$747,4,0)," ")</f>
        <v>N-O</v>
      </c>
      <c r="D104" s="54" t="s">
        <v>220</v>
      </c>
      <c r="E104" s="54">
        <v>2905</v>
      </c>
      <c r="F104" s="54" t="s">
        <v>854</v>
      </c>
      <c r="G104" s="54" t="s">
        <v>853</v>
      </c>
      <c r="H104" s="54" t="s">
        <v>1696</v>
      </c>
      <c r="I104" s="54" t="s">
        <v>1618</v>
      </c>
      <c r="J104" s="54" t="s">
        <v>869</v>
      </c>
      <c r="K104" s="54"/>
      <c r="L104" s="54"/>
      <c r="M104" s="54" t="s">
        <v>1697</v>
      </c>
      <c r="N104" s="54" t="s">
        <v>1269</v>
      </c>
    </row>
    <row r="105" spans="1:17" ht="47">
      <c r="A105" s="54" t="str">
        <f>IFERROR(VLOOKUP(D105,'Master sheet (Clientes)'!A$6:D$747,2,0)," ")</f>
        <v>NJ</v>
      </c>
      <c r="B105" s="54" t="str">
        <f>IFERROR(VLOOKUP(D105,'Master sheet (Clientes)'!A$6:D$747,3,0)," ")</f>
        <v>C/O Realty</v>
      </c>
      <c r="C105" s="54" t="str">
        <f>IFERROR(VLOOKUP(D105,'Master sheet (Clientes)'!A$6:D$747,4,0)," ")</f>
        <v>N-O</v>
      </c>
      <c r="D105" s="54" t="s">
        <v>220</v>
      </c>
      <c r="E105" s="54" t="s">
        <v>1476</v>
      </c>
      <c r="F105" s="54"/>
      <c r="G105" s="54"/>
      <c r="H105" s="54" t="s">
        <v>1477</v>
      </c>
      <c r="I105" s="54" t="s">
        <v>1619</v>
      </c>
      <c r="J105" s="54" t="s">
        <v>869</v>
      </c>
      <c r="K105" s="54"/>
      <c r="L105" s="54"/>
      <c r="M105" s="54"/>
      <c r="N105" s="54" t="s">
        <v>1268</v>
      </c>
    </row>
    <row r="106" spans="1:17" ht="47">
      <c r="A106" s="54" t="str">
        <f>IFERROR(VLOOKUP(D106,'Master sheet (Clientes)'!A$6:D$747,2,0)," ")</f>
        <v>NJ</v>
      </c>
      <c r="B106" s="54" t="str">
        <f>IFERROR(VLOOKUP(D106,'Master sheet (Clientes)'!A$6:D$747,3,0)," ")</f>
        <v>C/O Realty</v>
      </c>
      <c r="C106" s="54" t="str">
        <f>IFERROR(VLOOKUP(D106,'Master sheet (Clientes)'!A$6:D$747,4,0)," ")</f>
        <v>N-O</v>
      </c>
      <c r="D106" s="54" t="s">
        <v>213</v>
      </c>
      <c r="E106" s="54">
        <v>3310</v>
      </c>
      <c r="F106" s="54"/>
      <c r="G106" s="54" t="s">
        <v>837</v>
      </c>
      <c r="H106" s="54" t="s">
        <v>1556</v>
      </c>
      <c r="I106" s="54" t="s">
        <v>1620</v>
      </c>
      <c r="J106" s="54" t="s">
        <v>869</v>
      </c>
      <c r="K106" s="54" t="s">
        <v>1466</v>
      </c>
      <c r="L106" s="54"/>
      <c r="M106" s="54"/>
      <c r="N106" s="54" t="s">
        <v>1268</v>
      </c>
    </row>
    <row r="107" spans="1:17" ht="94">
      <c r="A107" s="54" t="str">
        <f>IFERROR(VLOOKUP(D107,'Master sheet (Clientes)'!A$6:D$747,2,0)," ")</f>
        <v>NJ</v>
      </c>
      <c r="B107" s="54" t="str">
        <f>IFERROR(VLOOKUP(D107,'Master sheet (Clientes)'!A$6:D$747,3,0)," ")</f>
        <v>C/O Realty</v>
      </c>
      <c r="C107" s="54" t="str">
        <f>IFERROR(VLOOKUP(D107,'Master sheet (Clientes)'!A$6:D$747,4,0)," ")</f>
        <v>N-O</v>
      </c>
      <c r="D107" s="54" t="s">
        <v>209</v>
      </c>
      <c r="E107" s="54">
        <v>3508</v>
      </c>
      <c r="F107" s="54"/>
      <c r="G107" s="54" t="s">
        <v>837</v>
      </c>
      <c r="H107" s="83" t="s">
        <v>1557</v>
      </c>
      <c r="I107" s="54" t="s">
        <v>1621</v>
      </c>
      <c r="J107" s="54" t="s">
        <v>869</v>
      </c>
      <c r="K107" s="54" t="s">
        <v>1468</v>
      </c>
      <c r="L107" s="54"/>
      <c r="M107" s="54"/>
      <c r="N107" s="54" t="s">
        <v>1268</v>
      </c>
    </row>
    <row r="108" spans="1:17" ht="47">
      <c r="A108" s="54" t="str">
        <f>IFERROR(VLOOKUP(D108,'Master sheet (Clientes)'!A$6:D$747,2,0)," ")</f>
        <v>NJ</v>
      </c>
      <c r="B108" s="54" t="str">
        <f>IFERROR(VLOOKUP(D108,'Master sheet (Clientes)'!A$6:D$747,3,0)," ")</f>
        <v>C/O Realty</v>
      </c>
      <c r="C108" s="54" t="str">
        <f>IFERROR(VLOOKUP(D108,'Master sheet (Clientes)'!A$6:D$747,4,0)," ")</f>
        <v>N-O</v>
      </c>
      <c r="D108" s="54" t="s">
        <v>220</v>
      </c>
      <c r="E108" s="54"/>
      <c r="F108" s="54"/>
      <c r="G108" s="54"/>
      <c r="H108" s="54" t="s">
        <v>1515</v>
      </c>
      <c r="I108" s="54" t="s">
        <v>1623</v>
      </c>
      <c r="J108" s="54" t="s">
        <v>869</v>
      </c>
      <c r="K108" s="54" t="s">
        <v>1058</v>
      </c>
      <c r="L108" s="54"/>
      <c r="M108" s="54"/>
      <c r="N108" s="54" t="s">
        <v>1269</v>
      </c>
    </row>
    <row r="109" spans="1:17" ht="94">
      <c r="A109" s="54" t="str">
        <f>IFERROR(VLOOKUP(D109,'Master sheet (Clientes)'!A$6:D$747,2,0)," ")</f>
        <v>NJ</v>
      </c>
      <c r="B109" s="54" t="str">
        <f>IFERROR(VLOOKUP(D109,'Master sheet (Clientes)'!A$6:D$747,3,0)," ")</f>
        <v>C/O Realty</v>
      </c>
      <c r="C109" s="54" t="str">
        <f>IFERROR(VLOOKUP(D109,'Master sheet (Clientes)'!A$6:D$747,4,0)," ")</f>
        <v>N-O</v>
      </c>
      <c r="D109" s="54" t="s">
        <v>209</v>
      </c>
      <c r="E109" s="54">
        <v>1202</v>
      </c>
      <c r="F109" s="54"/>
      <c r="G109" s="54" t="s">
        <v>853</v>
      </c>
      <c r="H109" s="54" t="s">
        <v>1518</v>
      </c>
      <c r="I109" s="54" t="s">
        <v>1624</v>
      </c>
      <c r="J109" s="54" t="s">
        <v>869</v>
      </c>
      <c r="K109" s="54" t="s">
        <v>1500</v>
      </c>
      <c r="L109" s="54"/>
      <c r="M109" s="54"/>
      <c r="N109" s="54" t="s">
        <v>1642</v>
      </c>
    </row>
    <row r="110" spans="1:17">
      <c r="A110" s="1"/>
      <c r="B110" s="1"/>
      <c r="C110" s="1"/>
      <c r="D110" s="1"/>
      <c r="E110" s="1"/>
      <c r="F110" s="1"/>
      <c r="G110" s="1"/>
      <c r="H110" s="1"/>
      <c r="I110" s="1"/>
      <c r="J110" s="1"/>
      <c r="K110" s="1"/>
      <c r="L110" s="1"/>
      <c r="M110" s="1"/>
      <c r="N110" s="1"/>
    </row>
    <row r="111" spans="1:17" s="1" customFormat="1" ht="47">
      <c r="A111" s="4" t="s">
        <v>8</v>
      </c>
      <c r="B111" s="4" t="s">
        <v>9</v>
      </c>
      <c r="C111" s="4" t="s">
        <v>10</v>
      </c>
      <c r="D111" s="4" t="s">
        <v>11</v>
      </c>
      <c r="E111" s="4" t="s">
        <v>12</v>
      </c>
      <c r="F111" s="4" t="s">
        <v>13</v>
      </c>
      <c r="G111" s="38" t="s">
        <v>14</v>
      </c>
      <c r="H111" s="4" t="s">
        <v>15</v>
      </c>
      <c r="I111" s="38" t="s">
        <v>16</v>
      </c>
      <c r="J111" s="38" t="s">
        <v>17</v>
      </c>
      <c r="K111" s="38" t="s">
        <v>18</v>
      </c>
      <c r="L111" s="38" t="s">
        <v>19</v>
      </c>
      <c r="M111" s="38" t="s">
        <v>20</v>
      </c>
      <c r="N111" s="38" t="s">
        <v>21</v>
      </c>
    </row>
    <row r="112" spans="1:17" s="94" customFormat="1" ht="47">
      <c r="A112" s="92" t="str">
        <f>IFERROR(VLOOKUP(D112,'Master sheet (Clientes)'!A$6:D$747,2,0)," ")</f>
        <v>NJ</v>
      </c>
      <c r="B112" s="92" t="str">
        <f>IFERROR(VLOOKUP(D112,'Master sheet (Clientes)'!A$6:D$747,3,0)," ")</f>
        <v>C/O Realty</v>
      </c>
      <c r="C112" s="92" t="str">
        <f>IFERROR(VLOOKUP(D112,'Master sheet (Clientes)'!A$6:D$747,4,0)," ")</f>
        <v>N-O</v>
      </c>
      <c r="D112" s="92" t="s">
        <v>209</v>
      </c>
      <c r="E112" s="92">
        <v>1202</v>
      </c>
      <c r="F112" s="92"/>
      <c r="G112" s="92" t="s">
        <v>853</v>
      </c>
      <c r="H112" s="92" t="s">
        <v>1503</v>
      </c>
      <c r="I112" s="92" t="s">
        <v>1501</v>
      </c>
      <c r="J112" s="92" t="s">
        <v>869</v>
      </c>
      <c r="K112" s="92" t="s">
        <v>1500</v>
      </c>
      <c r="L112" s="92"/>
      <c r="M112" s="92"/>
      <c r="N112" s="92" t="s">
        <v>1139</v>
      </c>
      <c r="O112" s="93"/>
      <c r="P112" s="93"/>
      <c r="Q112" s="93"/>
    </row>
    <row r="113" spans="1:14">
      <c r="A113" s="1"/>
      <c r="B113" s="1"/>
      <c r="C113" s="1"/>
      <c r="D113" s="1"/>
      <c r="E113" s="1"/>
      <c r="F113" s="1"/>
      <c r="G113" s="1"/>
      <c r="H113" s="1"/>
      <c r="I113" s="1"/>
      <c r="J113" s="1"/>
      <c r="K113" s="1"/>
      <c r="L113" s="1"/>
      <c r="M113" s="1"/>
      <c r="N113" s="1"/>
    </row>
    <row r="114" spans="1:14" s="1" customFormat="1" ht="47">
      <c r="A114" s="4" t="s">
        <v>8</v>
      </c>
      <c r="B114" s="4" t="s">
        <v>9</v>
      </c>
      <c r="C114" s="4" t="s">
        <v>10</v>
      </c>
      <c r="D114" s="4" t="s">
        <v>11</v>
      </c>
      <c r="E114" s="4" t="s">
        <v>12</v>
      </c>
      <c r="F114" s="4" t="s">
        <v>13</v>
      </c>
      <c r="G114" s="38" t="s">
        <v>14</v>
      </c>
      <c r="H114" s="4" t="s">
        <v>15</v>
      </c>
      <c r="I114" s="38" t="s">
        <v>16</v>
      </c>
      <c r="J114" s="38" t="s">
        <v>17</v>
      </c>
      <c r="K114" s="38" t="s">
        <v>18</v>
      </c>
      <c r="L114" s="38" t="s">
        <v>19</v>
      </c>
      <c r="M114" s="38" t="s">
        <v>20</v>
      </c>
      <c r="N114" s="38" t="s">
        <v>21</v>
      </c>
    </row>
    <row r="115" spans="1:14" ht="47">
      <c r="A115" s="54" t="str">
        <f>IFERROR(VLOOKUP(D115,'Master sheet (Clientes)'!A$6:D$747,2,0)," ")</f>
        <v>NJ</v>
      </c>
      <c r="B115" s="54" t="str">
        <f>IFERROR(VLOOKUP(D115,'Master sheet (Clientes)'!A$6:D$747,3,0)," ")</f>
        <v>C/O Realty</v>
      </c>
      <c r="C115" s="54" t="str">
        <f>IFERROR(VLOOKUP(D115,'Master sheet (Clientes)'!A$6:D$747,4,0)," ")</f>
        <v>N-O</v>
      </c>
      <c r="D115" s="54" t="s">
        <v>226</v>
      </c>
      <c r="E115" s="54">
        <v>3405</v>
      </c>
      <c r="F115" s="54" t="s">
        <v>854</v>
      </c>
      <c r="G115" s="54" t="s">
        <v>917</v>
      </c>
      <c r="H115" s="54" t="s">
        <v>1691</v>
      </c>
      <c r="I115" s="54" t="s">
        <v>987</v>
      </c>
      <c r="J115" s="54" t="s">
        <v>869</v>
      </c>
      <c r="K115" s="54" t="s">
        <v>1692</v>
      </c>
      <c r="L115" s="54"/>
      <c r="M115" s="54" t="s">
        <v>1681</v>
      </c>
      <c r="N115" s="54" t="s">
        <v>1266</v>
      </c>
    </row>
    <row r="116" spans="1:14" ht="94">
      <c r="A116" s="54" t="str">
        <f>IFERROR(VLOOKUP(D116,'Master sheet (Clientes)'!A$6:D$747,2,0)," ")</f>
        <v>NJ</v>
      </c>
      <c r="B116" s="54" t="str">
        <f>IFERROR(VLOOKUP(D116,'Master sheet (Clientes)'!A$6:D$747,3,0)," ")</f>
        <v>C/O Realty</v>
      </c>
      <c r="C116" s="54" t="str">
        <f>IFERROR(VLOOKUP(D116,'Master sheet (Clientes)'!A$6:D$747,4,0)," ")</f>
        <v>N-O</v>
      </c>
      <c r="D116" s="54" t="s">
        <v>211</v>
      </c>
      <c r="E116" s="54">
        <v>3202</v>
      </c>
      <c r="F116" s="54" t="s">
        <v>1428</v>
      </c>
      <c r="G116" s="54" t="s">
        <v>1428</v>
      </c>
      <c r="H116" s="54" t="s">
        <v>1680</v>
      </c>
      <c r="I116" s="54" t="s">
        <v>987</v>
      </c>
      <c r="J116" s="54" t="s">
        <v>869</v>
      </c>
      <c r="K116" s="54" t="s">
        <v>1479</v>
      </c>
      <c r="L116" s="54"/>
      <c r="M116" s="54" t="s">
        <v>1681</v>
      </c>
      <c r="N116" s="54" t="s">
        <v>1266</v>
      </c>
    </row>
    <row r="117" spans="1:14" ht="47">
      <c r="A117" s="54" t="str">
        <f>IFERROR(VLOOKUP(D117,'Master sheet (Clientes)'!A$6:D$747,2,0)," ")</f>
        <v>NJ</v>
      </c>
      <c r="B117" s="54" t="str">
        <f>IFERROR(VLOOKUP(D117,'Master sheet (Clientes)'!A$6:D$747,3,0)," ")</f>
        <v>C/O Realty</v>
      </c>
      <c r="C117" s="54" t="str">
        <f>IFERROR(VLOOKUP(D117,'Master sheet (Clientes)'!A$6:D$747,4,0)," ")</f>
        <v>N-O</v>
      </c>
      <c r="D117" s="54" t="s">
        <v>209</v>
      </c>
      <c r="E117" s="54">
        <v>1811</v>
      </c>
      <c r="F117" s="54"/>
      <c r="G117" s="54" t="s">
        <v>46</v>
      </c>
      <c r="H117" s="54" t="s">
        <v>1558</v>
      </c>
      <c r="I117" s="54" t="s">
        <v>987</v>
      </c>
      <c r="J117" s="54" t="s">
        <v>869</v>
      </c>
      <c r="K117" s="54" t="s">
        <v>1482</v>
      </c>
      <c r="L117" s="54"/>
      <c r="M117" s="54"/>
      <c r="N117" s="54" t="s">
        <v>1268</v>
      </c>
    </row>
    <row r="118" spans="1:14" ht="70.5">
      <c r="A118" s="54" t="str">
        <f>IFERROR(VLOOKUP(D118,'Master sheet (Clientes)'!A$6:D$747,2,0)," ")</f>
        <v>NJ</v>
      </c>
      <c r="B118" s="54" t="str">
        <f>IFERROR(VLOOKUP(D118,'Master sheet (Clientes)'!A$6:D$747,3,0)," ")</f>
        <v>C/O Realty</v>
      </c>
      <c r="C118" s="54" t="str">
        <f>IFERROR(VLOOKUP(D118,'Master sheet (Clientes)'!A$6:D$747,4,0)," ")</f>
        <v>N-O</v>
      </c>
      <c r="D118" s="54" t="s">
        <v>209</v>
      </c>
      <c r="E118" s="54">
        <v>1711</v>
      </c>
      <c r="F118" s="54"/>
      <c r="G118" s="54" t="s">
        <v>917</v>
      </c>
      <c r="H118" s="54" t="s">
        <v>1559</v>
      </c>
      <c r="I118" s="54" t="s">
        <v>987</v>
      </c>
      <c r="J118" s="54" t="s">
        <v>869</v>
      </c>
      <c r="K118" s="54" t="s">
        <v>1533</v>
      </c>
      <c r="L118" s="54"/>
      <c r="M118" s="54"/>
      <c r="N118" s="54" t="s">
        <v>1268</v>
      </c>
    </row>
    <row r="119" spans="1:14" ht="70.5">
      <c r="A119" s="54" t="str">
        <f>IFERROR(VLOOKUP(D119,'Master sheet (Clientes)'!A$6:D$747,2,0)," ")</f>
        <v>NJ</v>
      </c>
      <c r="B119" s="54" t="str">
        <f>IFERROR(VLOOKUP(D119,'Master sheet (Clientes)'!A$6:D$747,3,0)," ")</f>
        <v>C/O Realty</v>
      </c>
      <c r="C119" s="54" t="str">
        <f>IFERROR(VLOOKUP(D119,'Master sheet (Clientes)'!A$6:D$747,4,0)," ")</f>
        <v>N-O</v>
      </c>
      <c r="D119" s="54" t="s">
        <v>220</v>
      </c>
      <c r="E119" s="54">
        <v>2907</v>
      </c>
      <c r="F119" s="54"/>
      <c r="G119" s="54" t="s">
        <v>46</v>
      </c>
      <c r="H119" s="83" t="s">
        <v>1560</v>
      </c>
      <c r="I119" s="54" t="s">
        <v>987</v>
      </c>
      <c r="J119" s="54" t="s">
        <v>869</v>
      </c>
      <c r="K119" s="54" t="s">
        <v>1484</v>
      </c>
      <c r="L119" s="54"/>
      <c r="M119" s="54"/>
      <c r="N119" s="54" t="s">
        <v>1268</v>
      </c>
    </row>
    <row r="120" spans="1:14">
      <c r="A120" s="1"/>
      <c r="B120" s="1"/>
      <c r="C120" s="1"/>
      <c r="D120" s="1"/>
      <c r="E120" s="1"/>
      <c r="F120" s="1"/>
      <c r="G120" s="1"/>
      <c r="H120" s="1"/>
      <c r="I120" s="1"/>
      <c r="J120" s="1"/>
      <c r="K120" s="1"/>
      <c r="L120" s="1"/>
      <c r="M120" s="1"/>
      <c r="N120" s="1"/>
    </row>
    <row r="121" spans="1:14" s="1" customFormat="1" ht="47">
      <c r="A121" s="4" t="s">
        <v>8</v>
      </c>
      <c r="B121" s="4" t="s">
        <v>9</v>
      </c>
      <c r="C121" s="4" t="s">
        <v>10</v>
      </c>
      <c r="D121" s="4" t="s">
        <v>11</v>
      </c>
      <c r="E121" s="4" t="s">
        <v>12</v>
      </c>
      <c r="F121" s="4" t="s">
        <v>13</v>
      </c>
      <c r="G121" s="38" t="s">
        <v>14</v>
      </c>
      <c r="H121" s="4" t="s">
        <v>15</v>
      </c>
      <c r="I121" s="38" t="s">
        <v>16</v>
      </c>
      <c r="J121" s="38" t="s">
        <v>17</v>
      </c>
      <c r="K121" s="38" t="s">
        <v>18</v>
      </c>
      <c r="L121" s="38" t="s">
        <v>19</v>
      </c>
      <c r="M121" s="38" t="s">
        <v>20</v>
      </c>
      <c r="N121" s="38" t="s">
        <v>21</v>
      </c>
    </row>
    <row r="122" spans="1:14" ht="47">
      <c r="A122" s="54" t="str">
        <f>IFERROR(VLOOKUP(D122,'Master sheet (Clientes)'!A$6:D$747,2,0)," ")</f>
        <v>NJ</v>
      </c>
      <c r="B122" s="54" t="str">
        <f>IFERROR(VLOOKUP(D122,'Master sheet (Clientes)'!A$6:D$747,3,0)," ")</f>
        <v>C/O Realty</v>
      </c>
      <c r="C122" s="54" t="str">
        <f>IFERROR(VLOOKUP(D122,'Master sheet (Clientes)'!A$6:D$747,4,0)," ")</f>
        <v>N-O</v>
      </c>
      <c r="D122" s="54" t="s">
        <v>226</v>
      </c>
      <c r="E122" s="54" t="s">
        <v>1415</v>
      </c>
      <c r="F122" s="54"/>
      <c r="G122" s="54"/>
      <c r="H122" s="54" t="s">
        <v>1416</v>
      </c>
      <c r="I122" s="54" t="s">
        <v>901</v>
      </c>
      <c r="J122" s="54" t="s">
        <v>840</v>
      </c>
      <c r="K122" s="54"/>
      <c r="L122" s="54"/>
      <c r="M122" s="54"/>
      <c r="N122" s="54" t="s">
        <v>1268</v>
      </c>
    </row>
    <row r="123" spans="1:14" ht="70.5">
      <c r="A123" s="54" t="str">
        <f>IFERROR(VLOOKUP(D123,'Master sheet (Clientes)'!A$6:D$747,2,0)," ")</f>
        <v>NJ</v>
      </c>
      <c r="B123" s="54" t="str">
        <f>IFERROR(VLOOKUP(D123,'Master sheet (Clientes)'!A$6:D$747,3,0)," ")</f>
        <v>C/O Realty</v>
      </c>
      <c r="C123" s="54" t="str">
        <f>IFERROR(VLOOKUP(D123,'Master sheet (Clientes)'!A$6:D$747,4,0)," ")</f>
        <v>N-O</v>
      </c>
      <c r="D123" s="54" t="s">
        <v>220</v>
      </c>
      <c r="E123" s="54" t="s">
        <v>1417</v>
      </c>
      <c r="F123" s="54"/>
      <c r="G123" s="54"/>
      <c r="H123" s="54" t="s">
        <v>1416</v>
      </c>
      <c r="I123" s="54" t="s">
        <v>901</v>
      </c>
      <c r="J123" s="54" t="s">
        <v>840</v>
      </c>
      <c r="K123" s="54"/>
      <c r="L123" s="54"/>
      <c r="M123" s="54"/>
      <c r="N123" s="54" t="s">
        <v>1268</v>
      </c>
    </row>
    <row r="124" spans="1:14" ht="47">
      <c r="A124" s="54" t="str">
        <f>IFERROR(VLOOKUP(D124,'Master sheet (Clientes)'!A$6:D$747,2,0)," ")</f>
        <v>NJ</v>
      </c>
      <c r="B124" s="54" t="str">
        <f>IFERROR(VLOOKUP(D124,'Master sheet (Clientes)'!A$6:D$747,3,0)," ")</f>
        <v>C/O Realty</v>
      </c>
      <c r="C124" s="54" t="str">
        <f>IFERROR(VLOOKUP(D124,'Master sheet (Clientes)'!A$6:D$747,4,0)," ")</f>
        <v>N-O</v>
      </c>
      <c r="D124" s="54" t="s">
        <v>212</v>
      </c>
      <c r="E124" s="54">
        <v>1705</v>
      </c>
      <c r="F124" s="54" t="s">
        <v>854</v>
      </c>
      <c r="G124" s="54" t="s">
        <v>853</v>
      </c>
      <c r="H124" s="54" t="s">
        <v>954</v>
      </c>
      <c r="I124" s="54" t="s">
        <v>901</v>
      </c>
      <c r="J124" s="54" t="s">
        <v>869</v>
      </c>
      <c r="K124" s="54"/>
      <c r="L124" s="54"/>
      <c r="M124" s="54"/>
      <c r="N124" s="54" t="s">
        <v>1268</v>
      </c>
    </row>
    <row r="125" spans="1:14" ht="47">
      <c r="A125" s="54" t="str">
        <f>IFERROR(VLOOKUP(D125,'Master sheet (Clientes)'!A$6:D$747,2,0)," ")</f>
        <v>NJ</v>
      </c>
      <c r="B125" s="54" t="str">
        <f>IFERROR(VLOOKUP(D125,'Master sheet (Clientes)'!A$6:D$747,3,0)," ")</f>
        <v>C/O Realty</v>
      </c>
      <c r="C125" s="54" t="str">
        <f>IFERROR(VLOOKUP(D125,'Master sheet (Clientes)'!A$6:D$747,4,0)," ")</f>
        <v>N-O</v>
      </c>
      <c r="D125" s="54" t="s">
        <v>220</v>
      </c>
      <c r="E125" s="54">
        <v>3008</v>
      </c>
      <c r="F125" s="54" t="s">
        <v>854</v>
      </c>
      <c r="G125" s="54" t="s">
        <v>853</v>
      </c>
      <c r="H125" s="54" t="s">
        <v>1491</v>
      </c>
      <c r="I125" s="54" t="s">
        <v>901</v>
      </c>
      <c r="J125" s="54" t="s">
        <v>869</v>
      </c>
      <c r="K125" s="54"/>
      <c r="L125" s="54"/>
      <c r="M125" s="54"/>
      <c r="N125" s="54" t="s">
        <v>1268</v>
      </c>
    </row>
    <row r="126" spans="1:14" ht="70.5">
      <c r="A126" s="54" t="str">
        <f>IFERROR(VLOOKUP(D126,'Master sheet (Clientes)'!A$6:D$747,2,0)," ")</f>
        <v>NJ</v>
      </c>
      <c r="B126" s="54" t="str">
        <f>IFERROR(VLOOKUP(D126,'Master sheet (Clientes)'!A$6:D$747,3,0)," ")</f>
        <v>C/O Realty</v>
      </c>
      <c r="C126" s="54" t="str">
        <f>IFERROR(VLOOKUP(D126,'Master sheet (Clientes)'!A$6:D$747,4,0)," ")</f>
        <v>N-O</v>
      </c>
      <c r="D126" s="54" t="s">
        <v>218</v>
      </c>
      <c r="E126" s="54">
        <v>2810</v>
      </c>
      <c r="F126" s="54" t="s">
        <v>854</v>
      </c>
      <c r="G126" s="54" t="s">
        <v>853</v>
      </c>
      <c r="H126" s="54" t="s">
        <v>1672</v>
      </c>
      <c r="I126" s="54" t="s">
        <v>901</v>
      </c>
      <c r="J126" s="54" t="s">
        <v>869</v>
      </c>
      <c r="K126" s="54"/>
      <c r="L126" s="54"/>
      <c r="M126" s="54"/>
      <c r="N126" s="54" t="s">
        <v>1268</v>
      </c>
    </row>
    <row r="127" spans="1:14">
      <c r="A127" s="1"/>
      <c r="B127" s="1"/>
      <c r="C127" s="1"/>
      <c r="D127" s="1"/>
      <c r="E127" s="1"/>
      <c r="F127" s="1"/>
      <c r="G127" s="1"/>
      <c r="H127" s="1"/>
      <c r="I127" s="1"/>
      <c r="J127" s="1"/>
      <c r="K127" s="1"/>
      <c r="L127" s="1"/>
      <c r="M127" s="1"/>
      <c r="N127" s="1"/>
    </row>
    <row r="128" spans="1:14" s="1" customFormat="1" ht="47">
      <c r="A128" s="4" t="s">
        <v>8</v>
      </c>
      <c r="B128" s="4" t="s">
        <v>9</v>
      </c>
      <c r="C128" s="4" t="s">
        <v>10</v>
      </c>
      <c r="D128" s="4" t="s">
        <v>11</v>
      </c>
      <c r="E128" s="4" t="s">
        <v>12</v>
      </c>
      <c r="F128" s="4" t="s">
        <v>13</v>
      </c>
      <c r="G128" s="38" t="s">
        <v>14</v>
      </c>
      <c r="H128" s="4" t="s">
        <v>15</v>
      </c>
      <c r="I128" s="38" t="s">
        <v>16</v>
      </c>
      <c r="J128" s="38" t="s">
        <v>17</v>
      </c>
      <c r="K128" s="38" t="s">
        <v>18</v>
      </c>
      <c r="L128" s="38" t="s">
        <v>19</v>
      </c>
      <c r="M128" s="38" t="s">
        <v>20</v>
      </c>
      <c r="N128" s="38" t="s">
        <v>21</v>
      </c>
    </row>
    <row r="129" spans="1:17" s="94" customFormat="1" ht="70.5">
      <c r="A129" s="92" t="str">
        <f>IFERROR(VLOOKUP(D129,'Master sheet (Clientes)'!A$6:D$747,2,0)," ")</f>
        <v>NJ</v>
      </c>
      <c r="B129" s="92" t="str">
        <f>IFERROR(VLOOKUP(D129,'Master sheet (Clientes)'!A$6:D$747,3,0)," ")</f>
        <v>C/O Realty</v>
      </c>
      <c r="C129" s="92" t="str">
        <f>IFERROR(VLOOKUP(D129,'Master sheet (Clientes)'!A$6:D$747,4,0)," ")</f>
        <v>N-O</v>
      </c>
      <c r="D129" s="92" t="s">
        <v>208</v>
      </c>
      <c r="E129" s="92">
        <v>218</v>
      </c>
      <c r="F129" s="92"/>
      <c r="G129" s="92" t="s">
        <v>837</v>
      </c>
      <c r="H129" s="92" t="s">
        <v>882</v>
      </c>
      <c r="I129" s="92" t="s">
        <v>883</v>
      </c>
      <c r="J129" s="92" t="s">
        <v>840</v>
      </c>
      <c r="K129" s="92"/>
      <c r="L129" s="92"/>
      <c r="M129" s="92" t="s">
        <v>1676</v>
      </c>
      <c r="N129" s="92" t="s">
        <v>1139</v>
      </c>
      <c r="O129" s="93"/>
      <c r="P129" s="93"/>
      <c r="Q129" s="93"/>
    </row>
    <row r="130" spans="1:17" ht="70.5">
      <c r="A130" s="54" t="str">
        <f>IFERROR(VLOOKUP(D130,'Master sheet (Clientes)'!A$6:D$747,2,0)," ")</f>
        <v>NJ</v>
      </c>
      <c r="B130" s="54" t="str">
        <f>IFERROR(VLOOKUP(D130,'Master sheet (Clientes)'!A$6:D$747,3,0)," ")</f>
        <v>C/O Realty</v>
      </c>
      <c r="C130" s="54" t="str">
        <f>IFERROR(VLOOKUP(D130,'Master sheet (Clientes)'!A$6:D$747,4,0)," ")</f>
        <v>N-O</v>
      </c>
      <c r="D130" s="54" t="s">
        <v>208</v>
      </c>
      <c r="E130" s="54">
        <v>3208</v>
      </c>
      <c r="G130" s="54" t="s">
        <v>853</v>
      </c>
      <c r="H130" s="54" t="s">
        <v>1348</v>
      </c>
      <c r="I130" s="54" t="s">
        <v>883</v>
      </c>
      <c r="J130" s="54" t="s">
        <v>869</v>
      </c>
      <c r="K130" s="54"/>
      <c r="L130" s="54"/>
      <c r="M130" s="54"/>
      <c r="N130" s="54" t="s">
        <v>1268</v>
      </c>
    </row>
    <row r="131" spans="1:17" ht="70.5">
      <c r="A131" s="54" t="str">
        <f>IFERROR(VLOOKUP(D131,'Master sheet (Clientes)'!A$6:D$747,2,0)," ")</f>
        <v>NJ</v>
      </c>
      <c r="B131" s="54" t="str">
        <f>IFERROR(VLOOKUP(D131,'Master sheet (Clientes)'!A$6:D$747,3,0)," ")</f>
        <v>C/O Realty</v>
      </c>
      <c r="C131" s="54" t="str">
        <f>IFERROR(VLOOKUP(D131,'Master sheet (Clientes)'!A$6:D$747,4,0)," ")</f>
        <v>N-O</v>
      </c>
      <c r="D131" s="54" t="s">
        <v>208</v>
      </c>
      <c r="E131" s="54">
        <v>1106</v>
      </c>
      <c r="F131" s="54"/>
      <c r="G131" s="54" t="s">
        <v>853</v>
      </c>
      <c r="H131" s="54" t="s">
        <v>1348</v>
      </c>
      <c r="I131" s="54" t="s">
        <v>883</v>
      </c>
      <c r="J131" s="54" t="s">
        <v>869</v>
      </c>
      <c r="K131" s="54"/>
      <c r="L131" s="54"/>
      <c r="M131" s="54"/>
      <c r="N131" s="54" t="s">
        <v>1268</v>
      </c>
    </row>
    <row r="132" spans="1:17" ht="47">
      <c r="A132" s="54" t="str">
        <f>IFERROR(VLOOKUP(D132,'Master sheet (Clientes)'!A$6:D$747,2,0)," ")</f>
        <v>NJ</v>
      </c>
      <c r="B132" s="54" t="str">
        <f>IFERROR(VLOOKUP(D132,'Master sheet (Clientes)'!A$6:D$747,3,0)," ")</f>
        <v>C/O Realty</v>
      </c>
      <c r="C132" s="54" t="str">
        <f>IFERROR(VLOOKUP(D132,'Master sheet (Clientes)'!A$6:D$747,4,0)," ")</f>
        <v>N-O</v>
      </c>
      <c r="D132" s="54" t="s">
        <v>209</v>
      </c>
      <c r="E132" s="54">
        <v>2503</v>
      </c>
      <c r="F132" s="54" t="s">
        <v>854</v>
      </c>
      <c r="G132" s="54" t="s">
        <v>853</v>
      </c>
      <c r="H132" s="54" t="s">
        <v>1464</v>
      </c>
      <c r="I132" s="54" t="s">
        <v>883</v>
      </c>
      <c r="J132" s="54" t="s">
        <v>869</v>
      </c>
      <c r="K132" s="54"/>
      <c r="L132" s="54"/>
      <c r="M132" s="54"/>
      <c r="N132" s="54" t="s">
        <v>1268</v>
      </c>
    </row>
    <row r="133" spans="1:17" ht="47">
      <c r="A133" s="54" t="str">
        <f>IFERROR(VLOOKUP(D133,'Master sheet (Clientes)'!A$6:D$747,2,0)," ")</f>
        <v>NJ</v>
      </c>
      <c r="B133" s="54" t="str">
        <f>IFERROR(VLOOKUP(D133,'Master sheet (Clientes)'!A$6:D$747,3,0)," ")</f>
        <v>C/O Realty</v>
      </c>
      <c r="C133" s="54" t="str">
        <f>IFERROR(VLOOKUP(D133,'Master sheet (Clientes)'!A$6:D$747,4,0)," ")</f>
        <v>N-O</v>
      </c>
      <c r="D133" s="54" t="s">
        <v>220</v>
      </c>
      <c r="E133" s="54">
        <v>3008</v>
      </c>
      <c r="F133" s="54" t="s">
        <v>854</v>
      </c>
      <c r="G133" s="54" t="s">
        <v>853</v>
      </c>
      <c r="H133" s="54" t="s">
        <v>1490</v>
      </c>
      <c r="I133" s="54" t="s">
        <v>883</v>
      </c>
      <c r="J133" s="54" t="s">
        <v>869</v>
      </c>
      <c r="K133" s="54"/>
      <c r="L133" s="54"/>
      <c r="M133" s="54"/>
      <c r="N133" s="54" t="s">
        <v>1268</v>
      </c>
    </row>
    <row r="135" spans="1:17" s="1" customFormat="1" ht="47">
      <c r="A135" s="4" t="s">
        <v>8</v>
      </c>
      <c r="B135" s="4" t="s">
        <v>9</v>
      </c>
      <c r="C135" s="4" t="s">
        <v>10</v>
      </c>
      <c r="D135" s="4" t="s">
        <v>11</v>
      </c>
      <c r="E135" s="4" t="s">
        <v>12</v>
      </c>
      <c r="F135" s="4" t="s">
        <v>13</v>
      </c>
      <c r="G135" s="38" t="s">
        <v>14</v>
      </c>
      <c r="H135" s="4" t="s">
        <v>15</v>
      </c>
      <c r="I135" s="38" t="s">
        <v>16</v>
      </c>
      <c r="J135" s="38" t="s">
        <v>17</v>
      </c>
      <c r="K135" s="38" t="s">
        <v>18</v>
      </c>
      <c r="L135" s="38" t="s">
        <v>19</v>
      </c>
      <c r="M135" s="38" t="s">
        <v>20</v>
      </c>
      <c r="N135" s="38" t="s">
        <v>21</v>
      </c>
    </row>
    <row r="136" spans="1:17" ht="70.5">
      <c r="A136" s="54" t="str">
        <f>IFERROR(VLOOKUP(D136,'Master sheet (Clientes)'!A$6:D$747,2,0)," ")</f>
        <v>NJ</v>
      </c>
      <c r="B136" s="54" t="str">
        <f>IFERROR(VLOOKUP(D136,'Master sheet (Clientes)'!A$6:D$747,3,0)," ")</f>
        <v xml:space="preserve">BuildCare </v>
      </c>
      <c r="C136" s="54" t="str">
        <f>IFERROR(VLOOKUP(D136,'Master sheet (Clientes)'!A$6:D$747,4,0)," ")</f>
        <v>N/A</v>
      </c>
      <c r="D136" s="54" t="s">
        <v>198</v>
      </c>
      <c r="E136" s="54"/>
      <c r="F136" s="54"/>
      <c r="G136" s="54"/>
      <c r="H136" s="54" t="s">
        <v>1386</v>
      </c>
      <c r="I136" s="54" t="s">
        <v>1067</v>
      </c>
      <c r="J136" s="54" t="s">
        <v>991</v>
      </c>
      <c r="K136" s="54"/>
      <c r="L136" s="54"/>
      <c r="M136" s="54" t="s">
        <v>1387</v>
      </c>
      <c r="N136" s="54" t="s">
        <v>1269</v>
      </c>
    </row>
    <row r="137" spans="1:17">
      <c r="A137" s="1"/>
      <c r="B137" s="1"/>
      <c r="C137" s="1"/>
      <c r="D137" s="1"/>
      <c r="E137" s="1"/>
      <c r="F137" s="1"/>
      <c r="G137" s="1"/>
      <c r="H137" s="1"/>
      <c r="I137" s="1"/>
      <c r="K137" s="1"/>
      <c r="L137" s="1"/>
      <c r="M137" s="1"/>
      <c r="N137" s="1"/>
    </row>
    <row r="138" spans="1:17" ht="26">
      <c r="A138" s="33"/>
      <c r="B138" s="33"/>
      <c r="C138" s="33"/>
      <c r="D138" s="127" t="s">
        <v>28</v>
      </c>
      <c r="E138" s="127"/>
      <c r="F138" s="127"/>
      <c r="G138" s="127"/>
      <c r="H138" s="127"/>
      <c r="I138" s="127"/>
      <c r="J138" s="127"/>
      <c r="K138" s="127"/>
      <c r="L138" s="127"/>
      <c r="M138" s="16"/>
      <c r="N138" s="16"/>
    </row>
    <row r="139" spans="1:17" s="5" customFormat="1" ht="26">
      <c r="A139" s="43"/>
      <c r="B139" s="43"/>
      <c r="C139" s="43"/>
      <c r="D139" s="128" t="s">
        <v>29</v>
      </c>
      <c r="E139" s="128"/>
      <c r="F139" s="128"/>
      <c r="G139" s="128"/>
      <c r="H139" s="128"/>
      <c r="I139" s="128"/>
      <c r="J139" s="128"/>
      <c r="K139" s="128"/>
      <c r="L139" s="128"/>
      <c r="M139" s="44"/>
      <c r="N139" s="44"/>
      <c r="O139" s="35"/>
      <c r="P139" s="35"/>
      <c r="Q139" s="35"/>
    </row>
    <row r="140" spans="1:17">
      <c r="A140" s="3"/>
      <c r="B140" s="3"/>
      <c r="C140" s="3"/>
      <c r="D140" s="3"/>
      <c r="E140" s="3"/>
      <c r="F140" s="3"/>
      <c r="G140" s="3"/>
      <c r="H140" s="3"/>
      <c r="I140" s="3"/>
      <c r="K140" s="1"/>
      <c r="L140" s="1"/>
      <c r="M140" s="1"/>
      <c r="N140" s="1"/>
    </row>
    <row r="141" spans="1:17" s="1" customFormat="1" ht="47">
      <c r="A141" s="4" t="s">
        <v>8</v>
      </c>
      <c r="B141" s="4" t="s">
        <v>9</v>
      </c>
      <c r="C141" s="4" t="s">
        <v>10</v>
      </c>
      <c r="D141" s="4" t="s">
        <v>11</v>
      </c>
      <c r="E141" s="4" t="s">
        <v>12</v>
      </c>
      <c r="F141" s="4" t="s">
        <v>13</v>
      </c>
      <c r="G141" s="38" t="s">
        <v>14</v>
      </c>
      <c r="H141" s="4" t="s">
        <v>15</v>
      </c>
      <c r="I141" s="38" t="s">
        <v>16</v>
      </c>
      <c r="J141" s="38" t="s">
        <v>17</v>
      </c>
      <c r="K141" s="38" t="s">
        <v>18</v>
      </c>
      <c r="L141" s="38" t="s">
        <v>19</v>
      </c>
      <c r="M141" s="38" t="s">
        <v>20</v>
      </c>
      <c r="N141" s="38" t="s">
        <v>21</v>
      </c>
    </row>
    <row r="142" spans="1:17" ht="94">
      <c r="A142" s="54" t="str">
        <f>IFERROR(VLOOKUP(D142,'Master sheet (Clientes)'!A$6:D$747,2,0)," ")</f>
        <v>NJ</v>
      </c>
      <c r="B142" s="54" t="str">
        <f>IFERROR(VLOOKUP(D142,'Master sheet (Clientes)'!A$6:D$747,3,0)," ")</f>
        <v xml:space="preserve">KRE Group Management </v>
      </c>
      <c r="C142" s="54" t="str">
        <f>IFERROR(VLOOKUP(D142,'Master sheet (Clientes)'!A$6:D$747,4,0)," ")</f>
        <v>A-V</v>
      </c>
      <c r="D142" s="54" t="s">
        <v>383</v>
      </c>
      <c r="E142" s="54"/>
      <c r="F142" s="54"/>
      <c r="G142" s="54"/>
      <c r="H142" s="54" t="s">
        <v>1013</v>
      </c>
      <c r="I142" s="54" t="s">
        <v>1014</v>
      </c>
      <c r="J142" s="54" t="s">
        <v>48</v>
      </c>
      <c r="K142" s="54"/>
      <c r="L142" s="54"/>
      <c r="M142" s="54"/>
      <c r="N142" s="54" t="s">
        <v>1269</v>
      </c>
    </row>
    <row r="143" spans="1:17" ht="70.5">
      <c r="A143" s="54" t="str">
        <f>IFERROR(VLOOKUP(D143,'Master sheet (Clientes)'!A$6:D$747,2,0)," ")</f>
        <v>NJ</v>
      </c>
      <c r="B143" s="54" t="str">
        <f>IFERROR(VLOOKUP(D143,'Master sheet (Clientes)'!A$6:D$747,3,0)," ")</f>
        <v xml:space="preserve">Sparrow </v>
      </c>
      <c r="C143" s="54" t="str">
        <f>IFERROR(VLOOKUP(D143,'Master sheet (Clientes)'!A$6:D$747,4,0)," ")</f>
        <v>A-V</v>
      </c>
      <c r="D143" s="54" t="s">
        <v>751</v>
      </c>
      <c r="E143" s="54" t="s">
        <v>1420</v>
      </c>
      <c r="F143" s="54" t="s">
        <v>1279</v>
      </c>
      <c r="G143" s="54" t="s">
        <v>853</v>
      </c>
      <c r="H143" s="54" t="s">
        <v>1421</v>
      </c>
      <c r="I143" s="54" t="s">
        <v>1287</v>
      </c>
      <c r="J143" s="54" t="s">
        <v>1422</v>
      </c>
      <c r="K143" s="54"/>
      <c r="L143" s="54"/>
      <c r="M143" s="54"/>
      <c r="N143" s="54" t="s">
        <v>1265</v>
      </c>
    </row>
    <row r="144" spans="1:17" ht="70.5">
      <c r="A144" s="54" t="str">
        <f>IFERROR(VLOOKUP(D144,'Master sheet (Clientes)'!A$6:D$747,2,0)," ")</f>
        <v>NJ</v>
      </c>
      <c r="B144" s="54" t="str">
        <f>IFERROR(VLOOKUP(D144,'Master sheet (Clientes)'!A$6:D$747,3,0)," ")</f>
        <v>Titan Corp US</v>
      </c>
      <c r="C144" s="54" t="str">
        <f>IFERROR(VLOOKUP(D144,'Master sheet (Clientes)'!A$6:D$747,4,0)," ")</f>
        <v>A-V</v>
      </c>
      <c r="D144" s="54" t="s">
        <v>743</v>
      </c>
      <c r="E144" s="54">
        <v>424</v>
      </c>
      <c r="F144" s="54" t="s">
        <v>874</v>
      </c>
      <c r="G144" s="54" t="s">
        <v>853</v>
      </c>
      <c r="H144" s="54" t="s">
        <v>860</v>
      </c>
      <c r="I144" s="54" t="s">
        <v>1527</v>
      </c>
      <c r="J144" s="54" t="s">
        <v>48</v>
      </c>
      <c r="K144" s="54"/>
      <c r="L144" s="54"/>
      <c r="M144" s="54" t="s">
        <v>1157</v>
      </c>
      <c r="N144" s="54" t="s">
        <v>1265</v>
      </c>
    </row>
    <row r="145" spans="1:20" ht="70.5">
      <c r="A145" s="54" t="str">
        <f>IFERROR(VLOOKUP(D145,'Master sheet (Clientes)'!A$6:D$747,2,0)," ")</f>
        <v>NJ</v>
      </c>
      <c r="B145" s="54" t="str">
        <f>IFERROR(VLOOKUP(D145,'Master sheet (Clientes)'!A$6:D$747,3,0)," ")</f>
        <v>Titan Corp US</v>
      </c>
      <c r="C145" s="54" t="str">
        <f>IFERROR(VLOOKUP(D145,'Master sheet (Clientes)'!A$6:D$747,4,0)," ")</f>
        <v>A-V</v>
      </c>
      <c r="D145" s="54" t="s">
        <v>743</v>
      </c>
      <c r="E145" s="54">
        <v>519</v>
      </c>
      <c r="F145" s="54" t="s">
        <v>854</v>
      </c>
      <c r="G145" s="54" t="s">
        <v>853</v>
      </c>
      <c r="H145" s="54" t="s">
        <v>860</v>
      </c>
      <c r="I145" s="54" t="s">
        <v>1527</v>
      </c>
      <c r="J145" s="54" t="s">
        <v>48</v>
      </c>
      <c r="K145" s="54"/>
      <c r="L145" s="54"/>
      <c r="M145" s="54" t="s">
        <v>1157</v>
      </c>
      <c r="N145" s="54" t="s">
        <v>1265</v>
      </c>
    </row>
    <row r="146" spans="1:20">
      <c r="A146" s="1"/>
      <c r="B146" s="1"/>
      <c r="C146" s="1"/>
      <c r="D146" s="1"/>
      <c r="E146" s="1"/>
      <c r="F146" s="1"/>
      <c r="G146" s="1"/>
      <c r="H146" s="1"/>
      <c r="I146" s="1"/>
      <c r="J146" s="1"/>
      <c r="K146" s="1"/>
      <c r="L146" s="1"/>
      <c r="M146" s="1"/>
      <c r="N146" s="1"/>
    </row>
    <row r="147" spans="1:20" s="1" customFormat="1" ht="47">
      <c r="A147" s="4" t="s">
        <v>8</v>
      </c>
      <c r="B147" s="4" t="s">
        <v>9</v>
      </c>
      <c r="C147" s="4" t="s">
        <v>10</v>
      </c>
      <c r="D147" s="4" t="s">
        <v>11</v>
      </c>
      <c r="E147" s="4" t="s">
        <v>12</v>
      </c>
      <c r="F147" s="4" t="s">
        <v>13</v>
      </c>
      <c r="G147" s="38" t="s">
        <v>14</v>
      </c>
      <c r="H147" s="4" t="s">
        <v>15</v>
      </c>
      <c r="I147" s="38" t="s">
        <v>16</v>
      </c>
      <c r="J147" s="38" t="s">
        <v>17</v>
      </c>
      <c r="K147" s="38" t="s">
        <v>18</v>
      </c>
      <c r="L147" s="38" t="s">
        <v>19</v>
      </c>
      <c r="M147" s="38" t="s">
        <v>20</v>
      </c>
      <c r="N147" s="38" t="s">
        <v>21</v>
      </c>
    </row>
    <row r="148" spans="1:20" s="12" customFormat="1" ht="70.5">
      <c r="A148" s="54" t="str">
        <f>IFERROR(VLOOKUP(D148,'Master sheet (Clientes)'!A$6:D$747,2,0)," ")</f>
        <v>NJ</v>
      </c>
      <c r="B148" s="54" t="str">
        <f>IFERROR(VLOOKUP(D148,'Master sheet (Clientes)'!A$6:D$747,3,0)," ")</f>
        <v>No Charge / Courtesy Job</v>
      </c>
      <c r="C148" s="54" t="str">
        <f>IFERROR(VLOOKUP(D148,'Master sheet (Clientes)'!A$6:D$747,4,0)," ")</f>
        <v>N/A</v>
      </c>
      <c r="D148" s="54" t="s">
        <v>941</v>
      </c>
      <c r="E148" s="54" t="s">
        <v>968</v>
      </c>
      <c r="F148" s="54"/>
      <c r="G148" s="54"/>
      <c r="H148" s="54" t="s">
        <v>1372</v>
      </c>
      <c r="I148" s="54" t="s">
        <v>1300</v>
      </c>
      <c r="J148" s="54" t="s">
        <v>969</v>
      </c>
      <c r="K148" s="54" t="s">
        <v>970</v>
      </c>
      <c r="L148" s="54" t="s">
        <v>1765</v>
      </c>
      <c r="M148" s="54" t="s">
        <v>1141</v>
      </c>
      <c r="N148" s="54" t="s">
        <v>1269</v>
      </c>
      <c r="O148" s="1"/>
      <c r="P148" s="1"/>
      <c r="Q148" s="1"/>
      <c r="R148" s="11"/>
      <c r="S148" s="11"/>
      <c r="T148" s="11"/>
    </row>
    <row r="149" spans="1:20">
      <c r="A149" s="3"/>
      <c r="B149" s="3"/>
      <c r="C149" s="3"/>
      <c r="D149" s="3"/>
      <c r="E149" s="3"/>
      <c r="F149" s="3"/>
      <c r="G149" s="3"/>
      <c r="H149" s="3"/>
      <c r="I149" s="3"/>
      <c r="K149" s="1"/>
      <c r="L149" s="1"/>
      <c r="M149" s="1"/>
      <c r="N149" s="1"/>
    </row>
    <row r="150" spans="1:20" s="1" customFormat="1" ht="47">
      <c r="A150" s="4" t="s">
        <v>8</v>
      </c>
      <c r="B150" s="4" t="s">
        <v>9</v>
      </c>
      <c r="C150" s="4" t="s">
        <v>10</v>
      </c>
      <c r="D150" s="4" t="s">
        <v>11</v>
      </c>
      <c r="E150" s="4" t="s">
        <v>12</v>
      </c>
      <c r="F150" s="4" t="s">
        <v>13</v>
      </c>
      <c r="G150" s="38" t="s">
        <v>14</v>
      </c>
      <c r="H150" s="4" t="s">
        <v>15</v>
      </c>
      <c r="I150" s="38" t="s">
        <v>16</v>
      </c>
      <c r="J150" s="38" t="s">
        <v>17</v>
      </c>
      <c r="K150" s="38" t="s">
        <v>18</v>
      </c>
      <c r="L150" s="38" t="s">
        <v>19</v>
      </c>
      <c r="M150" s="38" t="s">
        <v>20</v>
      </c>
      <c r="N150" s="38" t="s">
        <v>21</v>
      </c>
    </row>
    <row r="151" spans="1:20" ht="70.5">
      <c r="A151" s="54" t="str">
        <f>IFERROR(VLOOKUP(D151,'Master sheet (Clientes)'!A$6:D$747,2,0)," ")</f>
        <v>NJ</v>
      </c>
      <c r="B151" s="54" t="str">
        <f>IFERROR(VLOOKUP(D151,'Master sheet (Clientes)'!A$6:D$747,3,0)," ")</f>
        <v>Vivmark Residential</v>
      </c>
      <c r="C151" s="54" t="str">
        <f>IFERROR(VLOOKUP(D151,'Master sheet (Clientes)'!A$6:D$747,4,0)," ")</f>
        <v>N-O</v>
      </c>
      <c r="D151" s="54" t="s">
        <v>80</v>
      </c>
      <c r="E151" s="54">
        <v>301</v>
      </c>
      <c r="F151" s="54"/>
      <c r="G151" s="54" t="s">
        <v>837</v>
      </c>
      <c r="H151" s="54" t="s">
        <v>1561</v>
      </c>
      <c r="I151" s="54" t="s">
        <v>1526</v>
      </c>
      <c r="J151" s="54" t="s">
        <v>48</v>
      </c>
      <c r="K151" s="54" t="s">
        <v>928</v>
      </c>
      <c r="L151" s="54"/>
      <c r="M151" s="54" t="s">
        <v>1243</v>
      </c>
      <c r="N151" s="54" t="s">
        <v>1268</v>
      </c>
    </row>
    <row r="152" spans="1:20" ht="70.5">
      <c r="A152" s="54" t="str">
        <f>IFERROR(VLOOKUP(D152,'Master sheet (Clientes)'!A$6:D$747,2,0)," ")</f>
        <v>NJ</v>
      </c>
      <c r="B152" s="54" t="str">
        <f>IFERROR(VLOOKUP(D152,'Master sheet (Clientes)'!A$6:D$747,3,0)," ")</f>
        <v xml:space="preserve">Sparrow </v>
      </c>
      <c r="C152" s="54" t="str">
        <f>IFERROR(VLOOKUP(D152,'Master sheet (Clientes)'!A$6:D$747,4,0)," ")</f>
        <v>A-V</v>
      </c>
      <c r="D152" s="54" t="s">
        <v>753</v>
      </c>
      <c r="E152" s="54">
        <v>411</v>
      </c>
      <c r="F152" s="54"/>
      <c r="G152" s="54" t="s">
        <v>917</v>
      </c>
      <c r="H152" s="54" t="s">
        <v>1419</v>
      </c>
      <c r="I152" s="54" t="s">
        <v>1591</v>
      </c>
      <c r="J152" s="54" t="s">
        <v>48</v>
      </c>
      <c r="K152" s="54"/>
      <c r="L152" s="54"/>
      <c r="M152" s="54"/>
      <c r="N152" s="54" t="s">
        <v>1268</v>
      </c>
    </row>
    <row r="153" spans="1:20" ht="47">
      <c r="A153" s="54" t="str">
        <f>IFERROR(VLOOKUP(D153,'Master sheet (Clientes)'!A$6:D$747,2,0)," ")</f>
        <v>NJ</v>
      </c>
      <c r="B153" s="54" t="str">
        <f>IFERROR(VLOOKUP(D153,'Master sheet (Clientes)'!A$6:D$747,3,0)," ")</f>
        <v xml:space="preserve">LCOR </v>
      </c>
      <c r="C153" s="54" t="str">
        <f>IFERROR(VLOOKUP(D153,'Master sheet (Clientes)'!A$6:D$747,4,0)," ")</f>
        <v>A-V</v>
      </c>
      <c r="D153" s="54" t="s">
        <v>404</v>
      </c>
      <c r="E153" s="54" t="s">
        <v>1401</v>
      </c>
      <c r="F153" s="54" t="s">
        <v>874</v>
      </c>
      <c r="G153" s="54" t="s">
        <v>853</v>
      </c>
      <c r="H153" s="54" t="s">
        <v>860</v>
      </c>
      <c r="I153" s="54" t="s">
        <v>1541</v>
      </c>
      <c r="J153" s="54" t="s">
        <v>48</v>
      </c>
      <c r="K153" s="54"/>
      <c r="L153" s="54"/>
      <c r="M153" s="54"/>
      <c r="N153" s="54" t="s">
        <v>1268</v>
      </c>
    </row>
    <row r="154" spans="1:20" s="94" customFormat="1" ht="70.5">
      <c r="A154" s="92" t="str">
        <f>IFERROR(VLOOKUP(D154,'Master sheet (Clientes)'!A$6:D$747,2,0)," ")</f>
        <v>NJ</v>
      </c>
      <c r="B154" s="92" t="str">
        <f>IFERROR(VLOOKUP(D154,'Master sheet (Clientes)'!A$6:D$747,3,0)," ")</f>
        <v>Bozzuto</v>
      </c>
      <c r="C154" s="92" t="str">
        <f>IFERROR(VLOOKUP(D154,'Master sheet (Clientes)'!A$6:D$747,4,0)," ")</f>
        <v>N-O</v>
      </c>
      <c r="D154" s="92" t="s">
        <v>159</v>
      </c>
      <c r="E154" s="92">
        <v>201</v>
      </c>
      <c r="F154" s="92" t="s">
        <v>45</v>
      </c>
      <c r="G154" s="92" t="s">
        <v>853</v>
      </c>
      <c r="H154" s="92" t="s">
        <v>860</v>
      </c>
      <c r="I154" s="92" t="s">
        <v>1538</v>
      </c>
      <c r="J154" s="92" t="s">
        <v>48</v>
      </c>
      <c r="K154" s="92"/>
      <c r="L154" s="92"/>
      <c r="M154" s="92"/>
      <c r="N154" s="92" t="s">
        <v>1139</v>
      </c>
      <c r="O154" s="93"/>
      <c r="P154" s="93"/>
      <c r="Q154" s="93"/>
    </row>
    <row r="155" spans="1:20">
      <c r="A155" s="1"/>
      <c r="B155" s="1"/>
      <c r="C155" s="1"/>
      <c r="D155" s="1"/>
      <c r="E155" s="1"/>
      <c r="F155" s="1"/>
      <c r="G155" s="1"/>
      <c r="H155" s="1"/>
      <c r="I155" s="1"/>
      <c r="J155" s="1"/>
      <c r="K155" s="1"/>
      <c r="L155" s="1"/>
      <c r="M155" s="1"/>
      <c r="N155" s="1"/>
    </row>
    <row r="156" spans="1:20" s="1" customFormat="1" ht="47">
      <c r="A156" s="4" t="s">
        <v>8</v>
      </c>
      <c r="B156" s="4" t="s">
        <v>9</v>
      </c>
      <c r="C156" s="4" t="s">
        <v>10</v>
      </c>
      <c r="D156" s="4" t="s">
        <v>11</v>
      </c>
      <c r="E156" s="4" t="s">
        <v>12</v>
      </c>
      <c r="F156" s="4" t="s">
        <v>13</v>
      </c>
      <c r="G156" s="38" t="s">
        <v>14</v>
      </c>
      <c r="H156" s="4" t="s">
        <v>15</v>
      </c>
      <c r="I156" s="38" t="s">
        <v>16</v>
      </c>
      <c r="J156" s="38" t="s">
        <v>17</v>
      </c>
      <c r="K156" s="38" t="s">
        <v>18</v>
      </c>
      <c r="L156" s="38" t="s">
        <v>19</v>
      </c>
      <c r="M156" s="38" t="s">
        <v>20</v>
      </c>
      <c r="N156" s="38" t="s">
        <v>21</v>
      </c>
    </row>
    <row r="157" spans="1:20" ht="70.5">
      <c r="A157" s="54" t="str">
        <f>IFERROR(VLOOKUP(D157,'Master sheet (Clientes)'!A$6:D$747,2,0)," ")</f>
        <v>NJ</v>
      </c>
      <c r="B157" s="54" t="str">
        <f>IFERROR(VLOOKUP(D157,'Master sheet (Clientes)'!A$6:D$747,3,0)," ")</f>
        <v xml:space="preserve">Sparrow </v>
      </c>
      <c r="C157" s="54" t="str">
        <f>IFERROR(VLOOKUP(D157,'Master sheet (Clientes)'!A$6:D$747,4,0)," ")</f>
        <v>A-V</v>
      </c>
      <c r="D157" s="54" t="s">
        <v>741</v>
      </c>
      <c r="E157" s="54">
        <v>428</v>
      </c>
      <c r="F157" s="54"/>
      <c r="G157" s="54" t="s">
        <v>853</v>
      </c>
      <c r="H157" s="54" t="s">
        <v>1514</v>
      </c>
      <c r="I157" s="54" t="s">
        <v>960</v>
      </c>
      <c r="J157" s="54" t="s">
        <v>48</v>
      </c>
      <c r="K157" s="54"/>
      <c r="L157" s="54"/>
      <c r="M157" s="54"/>
      <c r="N157" s="54" t="s">
        <v>1268</v>
      </c>
    </row>
    <row r="158" spans="1:20" ht="70.5">
      <c r="A158" s="54" t="str">
        <f>IFERROR(VLOOKUP(D158,'Master sheet (Clientes)'!A$6:D$747,2,0)," ")</f>
        <v>NJ</v>
      </c>
      <c r="B158" s="54" t="str">
        <f>IFERROR(VLOOKUP(D158,'Master sheet (Clientes)'!A$6:D$747,3,0)," ")</f>
        <v xml:space="preserve">Sparrow </v>
      </c>
      <c r="C158" s="54" t="str">
        <f>IFERROR(VLOOKUP(D158,'Master sheet (Clientes)'!A$6:D$747,4,0)," ")</f>
        <v>A-V</v>
      </c>
      <c r="D158" s="54" t="s">
        <v>741</v>
      </c>
      <c r="E158" s="54">
        <v>511</v>
      </c>
      <c r="F158" s="54"/>
      <c r="G158" s="54" t="s">
        <v>853</v>
      </c>
      <c r="H158" s="54" t="s">
        <v>1562</v>
      </c>
      <c r="I158" s="54" t="s">
        <v>960</v>
      </c>
      <c r="J158" s="54" t="s">
        <v>48</v>
      </c>
      <c r="K158" s="54"/>
      <c r="L158" s="54"/>
      <c r="M158" s="54"/>
      <c r="N158" s="54" t="s">
        <v>1268</v>
      </c>
    </row>
    <row r="159" spans="1:20">
      <c r="A159" s="1"/>
      <c r="B159" s="1"/>
      <c r="C159" s="1"/>
      <c r="D159" s="1"/>
      <c r="E159" s="1"/>
      <c r="F159" s="1"/>
      <c r="G159" s="1"/>
      <c r="H159" s="1"/>
      <c r="I159" s="1"/>
      <c r="J159" s="1"/>
      <c r="K159" s="1"/>
      <c r="L159" s="1"/>
      <c r="M159" s="1"/>
      <c r="N159" s="1"/>
    </row>
    <row r="160" spans="1:20" s="1" customFormat="1" ht="47">
      <c r="A160" s="4" t="s">
        <v>8</v>
      </c>
      <c r="B160" s="4" t="s">
        <v>9</v>
      </c>
      <c r="C160" s="4" t="s">
        <v>10</v>
      </c>
      <c r="D160" s="4" t="s">
        <v>11</v>
      </c>
      <c r="E160" s="4" t="s">
        <v>12</v>
      </c>
      <c r="F160" s="4" t="s">
        <v>13</v>
      </c>
      <c r="G160" s="38" t="s">
        <v>14</v>
      </c>
      <c r="H160" s="4" t="s">
        <v>15</v>
      </c>
      <c r="I160" s="38" t="s">
        <v>16</v>
      </c>
      <c r="J160" s="38" t="s">
        <v>17</v>
      </c>
      <c r="K160" s="38" t="s">
        <v>18</v>
      </c>
      <c r="L160" s="38" t="s">
        <v>19</v>
      </c>
      <c r="M160" s="38" t="s">
        <v>20</v>
      </c>
      <c r="N160" s="38" t="s">
        <v>21</v>
      </c>
    </row>
    <row r="161" spans="1:17" ht="70.5">
      <c r="A161" s="54" t="str">
        <f>IFERROR(VLOOKUP(D161,'Master sheet (Clientes)'!A$6:D$747,2,0)," ")</f>
        <v>NJ</v>
      </c>
      <c r="B161" s="54" t="str">
        <f>IFERROR(VLOOKUP(D161,'Master sheet (Clientes)'!A$6:D$747,3,0)," ")</f>
        <v>Vivmark Residential</v>
      </c>
      <c r="C161" s="54" t="str">
        <f>IFERROR(VLOOKUP(D161,'Master sheet (Clientes)'!A$6:D$747,4,0)," ")</f>
        <v>N-O</v>
      </c>
      <c r="D161" s="54" t="s">
        <v>80</v>
      </c>
      <c r="E161" s="54">
        <v>301</v>
      </c>
      <c r="F161" s="54"/>
      <c r="G161" s="54" t="s">
        <v>837</v>
      </c>
      <c r="H161" s="54" t="s">
        <v>1563</v>
      </c>
      <c r="I161" s="54" t="s">
        <v>1353</v>
      </c>
      <c r="J161" s="54" t="s">
        <v>48</v>
      </c>
      <c r="K161" s="54" t="s">
        <v>928</v>
      </c>
      <c r="L161" s="54"/>
      <c r="M161" s="54"/>
      <c r="N161" s="54" t="s">
        <v>1268</v>
      </c>
    </row>
    <row r="162" spans="1:17" ht="70.5">
      <c r="A162" s="54" t="str">
        <f>IFERROR(VLOOKUP(D162,'Master sheet (Clientes)'!A$6:D$747,2,0)," ")</f>
        <v>NJ</v>
      </c>
      <c r="B162" s="54" t="str">
        <f>IFERROR(VLOOKUP(D162,'Master sheet (Clientes)'!A$6:D$747,3,0)," ")</f>
        <v>Vivmark Residential</v>
      </c>
      <c r="C162" s="54" t="str">
        <f>IFERROR(VLOOKUP(D162,'Master sheet (Clientes)'!A$6:D$747,4,0)," ")</f>
        <v>N-O</v>
      </c>
      <c r="D162" s="54" t="s">
        <v>80</v>
      </c>
      <c r="E162" s="54">
        <v>541</v>
      </c>
      <c r="F162" s="54" t="s">
        <v>854</v>
      </c>
      <c r="G162" s="54" t="s">
        <v>853</v>
      </c>
      <c r="H162" s="54" t="s">
        <v>1280</v>
      </c>
      <c r="I162" s="54" t="s">
        <v>1353</v>
      </c>
      <c r="J162" s="54" t="s">
        <v>48</v>
      </c>
      <c r="K162" s="54"/>
      <c r="L162" s="54"/>
      <c r="M162" s="54"/>
      <c r="N162" s="54" t="s">
        <v>1268</v>
      </c>
    </row>
    <row r="163" spans="1:17" ht="70.5">
      <c r="A163" s="54" t="str">
        <f>IFERROR(VLOOKUP(D163,'Master sheet (Clientes)'!A$6:D$747,2,0)," ")</f>
        <v>NJ</v>
      </c>
      <c r="B163" s="54" t="str">
        <f>IFERROR(VLOOKUP(D163,'Master sheet (Clientes)'!A$6:D$747,3,0)," ")</f>
        <v>Vivmark Residential</v>
      </c>
      <c r="C163" s="54" t="str">
        <f>IFERROR(VLOOKUP(D163,'Master sheet (Clientes)'!A$6:D$747,4,0)," ")</f>
        <v>N-O</v>
      </c>
      <c r="D163" s="54" t="s">
        <v>80</v>
      </c>
      <c r="E163" s="54">
        <v>226</v>
      </c>
      <c r="F163" s="54" t="s">
        <v>45</v>
      </c>
      <c r="G163" s="54" t="s">
        <v>853</v>
      </c>
      <c r="H163" s="54" t="s">
        <v>1280</v>
      </c>
      <c r="I163" s="54" t="s">
        <v>1353</v>
      </c>
      <c r="J163" s="54" t="s">
        <v>48</v>
      </c>
      <c r="K163" s="54"/>
      <c r="L163" s="54"/>
      <c r="M163" s="54"/>
      <c r="N163" s="54" t="s">
        <v>1268</v>
      </c>
    </row>
    <row r="164" spans="1:17">
      <c r="A164" s="1"/>
      <c r="B164" s="1"/>
      <c r="C164" s="1"/>
      <c r="D164" s="1"/>
      <c r="E164" s="1"/>
      <c r="F164" s="1"/>
      <c r="G164" s="1"/>
      <c r="H164" s="1"/>
      <c r="I164" s="1"/>
      <c r="J164" s="1"/>
      <c r="K164" s="1"/>
      <c r="L164" s="1"/>
      <c r="M164" s="1"/>
      <c r="N164" s="1"/>
    </row>
    <row r="165" spans="1:17" s="1" customFormat="1" ht="47">
      <c r="A165" s="4" t="s">
        <v>8</v>
      </c>
      <c r="B165" s="4" t="s">
        <v>9</v>
      </c>
      <c r="C165" s="4" t="s">
        <v>10</v>
      </c>
      <c r="D165" s="4" t="s">
        <v>11</v>
      </c>
      <c r="E165" s="4" t="s">
        <v>12</v>
      </c>
      <c r="F165" s="4" t="s">
        <v>13</v>
      </c>
      <c r="G165" s="38" t="s">
        <v>14</v>
      </c>
      <c r="H165" s="4" t="s">
        <v>15</v>
      </c>
      <c r="I165" s="38" t="s">
        <v>16</v>
      </c>
      <c r="J165" s="38" t="s">
        <v>17</v>
      </c>
      <c r="K165" s="38" t="s">
        <v>18</v>
      </c>
      <c r="L165" s="38" t="s">
        <v>19</v>
      </c>
      <c r="M165" s="38" t="s">
        <v>20</v>
      </c>
      <c r="N165" s="38" t="s">
        <v>21</v>
      </c>
    </row>
    <row r="166" spans="1:17" ht="70.5">
      <c r="A166" s="54" t="str">
        <f>IFERROR(VLOOKUP(D166,'Master sheet (Clientes)'!A$6:D$747,2,0)," ")</f>
        <v>NJ</v>
      </c>
      <c r="B166" s="54" t="str">
        <f>IFERROR(VLOOKUP(D166,'Master sheet (Clientes)'!A$6:D$747,3,0)," ")</f>
        <v>Greystar</v>
      </c>
      <c r="C166" s="54" t="str">
        <f>IFERROR(VLOOKUP(D166,'Master sheet (Clientes)'!A$6:D$747,4,0)," ")</f>
        <v>A-V</v>
      </c>
      <c r="D166" s="54" t="s">
        <v>350</v>
      </c>
      <c r="E166" s="54">
        <v>114</v>
      </c>
      <c r="F166" s="54" t="s">
        <v>864</v>
      </c>
      <c r="G166" s="54" t="s">
        <v>853</v>
      </c>
      <c r="H166" s="54" t="s">
        <v>1128</v>
      </c>
      <c r="I166" s="54" t="s">
        <v>1137</v>
      </c>
      <c r="J166" s="54" t="s">
        <v>48</v>
      </c>
      <c r="K166" s="54"/>
      <c r="L166" s="54"/>
      <c r="M166" s="54"/>
      <c r="N166" s="54" t="s">
        <v>1268</v>
      </c>
    </row>
    <row r="167" spans="1:17" ht="47">
      <c r="A167" s="54" t="str">
        <f>IFERROR(VLOOKUP(D167,'Master sheet (Clientes)'!A$6:D$747,2,0)," ")</f>
        <v>NJ</v>
      </c>
      <c r="B167" s="54" t="str">
        <f>IFERROR(VLOOKUP(D167,'Master sheet (Clientes)'!A$6:D$747,3,0)," ")</f>
        <v>Bozzuto</v>
      </c>
      <c r="C167" s="54" t="str">
        <f>IFERROR(VLOOKUP(D167,'Master sheet (Clientes)'!A$6:D$747,4,0)," ")</f>
        <v>N-O</v>
      </c>
      <c r="D167" s="54" t="s">
        <v>182</v>
      </c>
      <c r="E167" s="54">
        <v>257</v>
      </c>
      <c r="F167" s="54" t="s">
        <v>874</v>
      </c>
      <c r="G167" s="54" t="s">
        <v>853</v>
      </c>
      <c r="H167" s="54" t="s">
        <v>1280</v>
      </c>
      <c r="I167" s="54" t="s">
        <v>1137</v>
      </c>
      <c r="J167" s="54" t="s">
        <v>48</v>
      </c>
      <c r="K167" s="54"/>
      <c r="L167" s="54"/>
      <c r="M167" s="54"/>
      <c r="N167" s="54" t="s">
        <v>1268</v>
      </c>
    </row>
    <row r="168" spans="1:17">
      <c r="A168" s="1"/>
      <c r="B168" s="1"/>
      <c r="C168" s="1"/>
      <c r="D168" s="1"/>
      <c r="E168" s="1"/>
      <c r="F168" s="1"/>
      <c r="G168" s="1"/>
      <c r="H168" s="1"/>
      <c r="I168" s="1"/>
      <c r="J168" s="1"/>
      <c r="K168" s="1"/>
      <c r="L168" s="1"/>
      <c r="M168" s="1"/>
      <c r="N168" s="1"/>
    </row>
    <row r="169" spans="1:17" s="1" customFormat="1" ht="47">
      <c r="A169" s="4" t="s">
        <v>8</v>
      </c>
      <c r="B169" s="4" t="s">
        <v>9</v>
      </c>
      <c r="C169" s="4" t="s">
        <v>10</v>
      </c>
      <c r="D169" s="4" t="s">
        <v>11</v>
      </c>
      <c r="E169" s="4" t="s">
        <v>12</v>
      </c>
      <c r="F169" s="4" t="s">
        <v>13</v>
      </c>
      <c r="G169" s="38" t="s">
        <v>14</v>
      </c>
      <c r="H169" s="4" t="s">
        <v>15</v>
      </c>
      <c r="I169" s="38" t="s">
        <v>16</v>
      </c>
      <c r="J169" s="38" t="s">
        <v>17</v>
      </c>
      <c r="K169" s="38" t="s">
        <v>18</v>
      </c>
      <c r="L169" s="38" t="s">
        <v>19</v>
      </c>
      <c r="M169" s="38" t="s">
        <v>20</v>
      </c>
      <c r="N169" s="38" t="s">
        <v>21</v>
      </c>
    </row>
    <row r="170" spans="1:17" ht="70.5">
      <c r="A170" s="54" t="str">
        <f>IFERROR(VLOOKUP(D170,'Master sheet (Clientes)'!A$6:D$747,2,0)," ")</f>
        <v>NJ</v>
      </c>
      <c r="B170" s="54" t="str">
        <f>IFERROR(VLOOKUP(D170,'Master sheet (Clientes)'!A$6:D$747,3,0)," ")</f>
        <v xml:space="preserve">Sparrow </v>
      </c>
      <c r="C170" s="54" t="str">
        <f>IFERROR(VLOOKUP(D170,'Master sheet (Clientes)'!A$6:D$747,4,0)," ")</f>
        <v>A-V</v>
      </c>
      <c r="D170" s="54" t="s">
        <v>741</v>
      </c>
      <c r="E170" s="54">
        <v>325</v>
      </c>
      <c r="F170" s="54"/>
      <c r="G170" s="54" t="s">
        <v>853</v>
      </c>
      <c r="H170" s="54" t="s">
        <v>1469</v>
      </c>
      <c r="I170" s="54" t="s">
        <v>883</v>
      </c>
      <c r="J170" s="54" t="s">
        <v>48</v>
      </c>
      <c r="K170" s="54"/>
      <c r="L170" s="54"/>
      <c r="M170" s="54"/>
      <c r="N170" s="54" t="s">
        <v>1268</v>
      </c>
    </row>
    <row r="171" spans="1:17" ht="70.5">
      <c r="A171" s="54" t="str">
        <f>IFERROR(VLOOKUP(D171,'Master sheet (Clientes)'!A$6:D$747,2,0)," ")</f>
        <v>NJ</v>
      </c>
      <c r="B171" s="54" t="str">
        <f>IFERROR(VLOOKUP(D171,'Master sheet (Clientes)'!A$6:D$747,3,0)," ")</f>
        <v xml:space="preserve">Sparrow </v>
      </c>
      <c r="C171" s="54" t="str">
        <f>IFERROR(VLOOKUP(D171,'Master sheet (Clientes)'!A$6:D$747,4,0)," ")</f>
        <v>A-V</v>
      </c>
      <c r="D171" s="54" t="s">
        <v>741</v>
      </c>
      <c r="E171" s="54">
        <v>428</v>
      </c>
      <c r="F171" s="54"/>
      <c r="G171" s="54" t="s">
        <v>853</v>
      </c>
      <c r="H171" s="54" t="s">
        <v>1469</v>
      </c>
      <c r="I171" s="54" t="s">
        <v>883</v>
      </c>
      <c r="J171" s="54" t="s">
        <v>48</v>
      </c>
      <c r="K171" s="54"/>
      <c r="L171" s="54"/>
      <c r="M171" s="54"/>
      <c r="N171" s="54" t="s">
        <v>1268</v>
      </c>
    </row>
    <row r="172" spans="1:17" s="94" customFormat="1" ht="70.5">
      <c r="A172" s="92" t="str">
        <f>IFERROR(VLOOKUP(D172,'Master sheet (Clientes)'!A$6:D$747,2,0)," ")</f>
        <v>NJ</v>
      </c>
      <c r="B172" s="92" t="str">
        <f>IFERROR(VLOOKUP(D172,'Master sheet (Clientes)'!A$6:D$747,3,0)," ")</f>
        <v>Willow Bridge P.C.</v>
      </c>
      <c r="C172" s="92" t="str">
        <f>IFERROR(VLOOKUP(D172,'Master sheet (Clientes)'!A$6:D$747,4,0)," ")</f>
        <v>N-O</v>
      </c>
      <c r="D172" s="92" t="s">
        <v>249</v>
      </c>
      <c r="E172" s="92">
        <v>320</v>
      </c>
      <c r="F172" s="92"/>
      <c r="G172" s="92" t="s">
        <v>853</v>
      </c>
      <c r="H172" s="92" t="s">
        <v>1740</v>
      </c>
      <c r="I172" s="92" t="s">
        <v>883</v>
      </c>
      <c r="J172" s="92" t="s">
        <v>48</v>
      </c>
      <c r="K172" s="92"/>
      <c r="L172" s="92"/>
      <c r="M172" s="92" t="s">
        <v>1782</v>
      </c>
      <c r="N172" s="92" t="s">
        <v>1139</v>
      </c>
      <c r="O172" s="93"/>
      <c r="P172" s="93"/>
      <c r="Q172" s="93"/>
    </row>
    <row r="173" spans="1:17">
      <c r="A173" s="1"/>
      <c r="B173" s="1"/>
      <c r="C173" s="1"/>
      <c r="D173" s="1"/>
      <c r="E173" s="1"/>
      <c r="F173" s="1"/>
      <c r="G173" s="1"/>
      <c r="H173" s="1"/>
      <c r="I173" s="1"/>
      <c r="J173" s="1"/>
      <c r="K173" s="1"/>
      <c r="L173" s="1"/>
      <c r="M173" s="1"/>
      <c r="N173" s="1"/>
    </row>
    <row r="174" spans="1:17" s="1" customFormat="1" ht="47">
      <c r="A174" s="4" t="s">
        <v>8</v>
      </c>
      <c r="B174" s="4" t="s">
        <v>9</v>
      </c>
      <c r="C174" s="4" t="s">
        <v>10</v>
      </c>
      <c r="D174" s="4" t="s">
        <v>11</v>
      </c>
      <c r="E174" s="4" t="s">
        <v>12</v>
      </c>
      <c r="F174" s="4" t="s">
        <v>13</v>
      </c>
      <c r="G174" s="38" t="s">
        <v>14</v>
      </c>
      <c r="H174" s="4" t="s">
        <v>15</v>
      </c>
      <c r="I174" s="38" t="s">
        <v>16</v>
      </c>
      <c r="J174" s="38" t="s">
        <v>17</v>
      </c>
      <c r="K174" s="38" t="s">
        <v>18</v>
      </c>
      <c r="L174" s="38" t="s">
        <v>19</v>
      </c>
      <c r="M174" s="38" t="s">
        <v>20</v>
      </c>
      <c r="N174" s="38" t="s">
        <v>21</v>
      </c>
    </row>
    <row r="175" spans="1:17" ht="70.5">
      <c r="A175" s="54" t="str">
        <f>IFERROR(VLOOKUP(D175,'Master sheet (Clientes)'!A$6:D$747,2,0)," ")</f>
        <v>NJ</v>
      </c>
      <c r="B175" s="54" t="str">
        <f>IFERROR(VLOOKUP(D175,'Master sheet (Clientes)'!A$6:D$747,3,0)," ")</f>
        <v>Greystar</v>
      </c>
      <c r="C175" s="54" t="str">
        <f>IFERROR(VLOOKUP(D175,'Master sheet (Clientes)'!A$6:D$747,4,0)," ")</f>
        <v>A-V</v>
      </c>
      <c r="D175" s="54" t="s">
        <v>338</v>
      </c>
      <c r="E175" s="54" t="s">
        <v>1508</v>
      </c>
      <c r="F175" s="54"/>
      <c r="G175" s="54" t="s">
        <v>917</v>
      </c>
      <c r="H175" s="54" t="s">
        <v>1596</v>
      </c>
      <c r="I175" s="54" t="s">
        <v>885</v>
      </c>
      <c r="J175" s="54" t="s">
        <v>969</v>
      </c>
      <c r="K175" s="54"/>
      <c r="L175" s="54"/>
      <c r="M175" s="54"/>
      <c r="N175" s="54" t="s">
        <v>1268</v>
      </c>
    </row>
    <row r="176" spans="1:17" ht="70.5">
      <c r="A176" s="54" t="str">
        <f>IFERROR(VLOOKUP(D176,'Master sheet (Clientes)'!A$6:D$747,2,0)," ")</f>
        <v>NJ</v>
      </c>
      <c r="B176" s="54" t="str">
        <f>IFERROR(VLOOKUP(D176,'Master sheet (Clientes)'!A$6:D$747,3,0)," ")</f>
        <v>Greystar</v>
      </c>
      <c r="C176" s="54" t="str">
        <f>IFERROR(VLOOKUP(D176,'Master sheet (Clientes)'!A$6:D$747,4,0)," ")</f>
        <v>A-V</v>
      </c>
      <c r="D176" s="54" t="s">
        <v>338</v>
      </c>
      <c r="E176" s="54" t="s">
        <v>1594</v>
      </c>
      <c r="F176" s="54"/>
      <c r="G176" s="54" t="s">
        <v>917</v>
      </c>
      <c r="H176" s="54" t="s">
        <v>1595</v>
      </c>
      <c r="I176" s="54" t="s">
        <v>885</v>
      </c>
      <c r="J176" s="54" t="s">
        <v>969</v>
      </c>
      <c r="K176" s="54"/>
      <c r="L176" s="54"/>
      <c r="M176" s="54"/>
      <c r="N176" s="54" t="s">
        <v>1268</v>
      </c>
    </row>
    <row r="177" spans="1:17">
      <c r="A177" s="1"/>
      <c r="B177" s="1"/>
      <c r="C177" s="1"/>
      <c r="D177" s="1"/>
      <c r="E177" s="1"/>
      <c r="F177" s="1"/>
      <c r="G177" s="1"/>
      <c r="H177" s="1"/>
      <c r="I177" s="1"/>
      <c r="J177" s="1"/>
      <c r="K177" s="1"/>
      <c r="L177" s="1"/>
      <c r="M177" s="1"/>
      <c r="N177" s="1"/>
    </row>
    <row r="178" spans="1:17" s="1" customFormat="1" ht="47">
      <c r="A178" s="4" t="s">
        <v>8</v>
      </c>
      <c r="B178" s="4" t="s">
        <v>9</v>
      </c>
      <c r="C178" s="4" t="s">
        <v>10</v>
      </c>
      <c r="D178" s="4" t="s">
        <v>11</v>
      </c>
      <c r="E178" s="4" t="s">
        <v>12</v>
      </c>
      <c r="F178" s="4" t="s">
        <v>13</v>
      </c>
      <c r="G178" s="38" t="s">
        <v>14</v>
      </c>
      <c r="H178" s="4" t="s">
        <v>15</v>
      </c>
      <c r="I178" s="38" t="s">
        <v>16</v>
      </c>
      <c r="J178" s="38" t="s">
        <v>17</v>
      </c>
      <c r="K178" s="38" t="s">
        <v>18</v>
      </c>
      <c r="L178" s="38" t="s">
        <v>19</v>
      </c>
      <c r="M178" s="38" t="s">
        <v>20</v>
      </c>
      <c r="N178" s="38" t="s">
        <v>21</v>
      </c>
    </row>
    <row r="179" spans="1:17" ht="70.5">
      <c r="A179" s="54" t="str">
        <f>IFERROR(VLOOKUP(D179,'Master sheet (Clientes)'!A$6:D$747,2,0)," ")</f>
        <v>NJ</v>
      </c>
      <c r="B179" s="54" t="str">
        <f>IFERROR(VLOOKUP(D179,'Master sheet (Clientes)'!A$6:D$747,3,0)," ")</f>
        <v>Greystar</v>
      </c>
      <c r="C179" s="54" t="str">
        <f>IFERROR(VLOOKUP(D179,'Master sheet (Clientes)'!A$6:D$747,4,0)," ")</f>
        <v>A-V</v>
      </c>
      <c r="D179" s="54" t="s">
        <v>338</v>
      </c>
      <c r="E179" s="54" t="s">
        <v>1508</v>
      </c>
      <c r="F179" s="54" t="s">
        <v>45</v>
      </c>
      <c r="G179" s="54" t="s">
        <v>917</v>
      </c>
      <c r="H179" s="54" t="s">
        <v>1723</v>
      </c>
      <c r="I179" s="54" t="s">
        <v>948</v>
      </c>
      <c r="J179" s="54" t="s">
        <v>969</v>
      </c>
      <c r="K179" s="54"/>
      <c r="L179" s="54"/>
      <c r="M179" s="54" t="s">
        <v>1724</v>
      </c>
      <c r="N179" s="54" t="s">
        <v>1268</v>
      </c>
    </row>
    <row r="180" spans="1:17" s="5" customFormat="1">
      <c r="A180" s="1"/>
      <c r="B180" s="1"/>
      <c r="C180" s="1"/>
      <c r="D180" s="1"/>
      <c r="E180" s="1"/>
      <c r="F180" s="1"/>
      <c r="G180" s="1"/>
      <c r="H180" s="1"/>
      <c r="I180" s="1"/>
      <c r="J180" s="1"/>
      <c r="K180" s="1"/>
      <c r="L180" s="1"/>
      <c r="M180" s="1"/>
      <c r="N180" s="1"/>
      <c r="O180" s="35"/>
      <c r="P180" s="35"/>
      <c r="Q180" s="35"/>
    </row>
    <row r="181" spans="1:17" s="1" customFormat="1" ht="47">
      <c r="A181" s="4" t="s">
        <v>8</v>
      </c>
      <c r="B181" s="4" t="s">
        <v>9</v>
      </c>
      <c r="C181" s="4" t="s">
        <v>10</v>
      </c>
      <c r="D181" s="4" t="s">
        <v>11</v>
      </c>
      <c r="E181" s="4" t="s">
        <v>12</v>
      </c>
      <c r="F181" s="4" t="s">
        <v>13</v>
      </c>
      <c r="G181" s="38" t="s">
        <v>14</v>
      </c>
      <c r="H181" s="4" t="s">
        <v>15</v>
      </c>
      <c r="I181" s="38" t="s">
        <v>16</v>
      </c>
      <c r="J181" s="38" t="s">
        <v>17</v>
      </c>
      <c r="K181" s="38" t="s">
        <v>18</v>
      </c>
      <c r="L181" s="38" t="s">
        <v>19</v>
      </c>
      <c r="M181" s="38" t="s">
        <v>20</v>
      </c>
      <c r="N181" s="38" t="s">
        <v>21</v>
      </c>
    </row>
    <row r="182" spans="1:17" ht="70.5">
      <c r="A182" s="54" t="str">
        <f>IFERROR(VLOOKUP(D182,'Master sheet (Clientes)'!A$6:D$747,2,0)," ")</f>
        <v>NJ</v>
      </c>
      <c r="B182" s="54" t="str">
        <f>IFERROR(VLOOKUP(D182,'Master sheet (Clientes)'!A$6:D$747,3,0)," ")</f>
        <v xml:space="preserve">BuildCare </v>
      </c>
      <c r="C182" s="54" t="str">
        <f>IFERROR(VLOOKUP(D182,'Master sheet (Clientes)'!A$6:D$747,4,0)," ")</f>
        <v>N/A</v>
      </c>
      <c r="D182" s="54" t="s">
        <v>196</v>
      </c>
      <c r="E182" s="54"/>
      <c r="F182" s="54"/>
      <c r="G182" s="54"/>
      <c r="H182" s="54" t="s">
        <v>1270</v>
      </c>
      <c r="I182" s="54" t="s">
        <v>909</v>
      </c>
      <c r="J182" s="54" t="s">
        <v>48</v>
      </c>
      <c r="K182" s="54"/>
      <c r="L182" s="54"/>
      <c r="M182" s="54" t="s">
        <v>1271</v>
      </c>
      <c r="N182" s="54" t="s">
        <v>1269</v>
      </c>
    </row>
    <row r="183" spans="1:17">
      <c r="A183" s="1"/>
      <c r="B183" s="1"/>
      <c r="C183" s="1"/>
      <c r="D183" s="1"/>
      <c r="E183" s="1"/>
      <c r="F183" s="1"/>
      <c r="G183" s="1"/>
      <c r="H183" s="1"/>
      <c r="I183" s="1"/>
      <c r="K183" s="1"/>
      <c r="L183" s="1"/>
      <c r="M183" s="1"/>
      <c r="N183" s="1"/>
    </row>
    <row r="184" spans="1:17" ht="26">
      <c r="A184" s="33"/>
      <c r="B184" s="33"/>
      <c r="C184" s="33"/>
      <c r="D184" s="127" t="s">
        <v>30</v>
      </c>
      <c r="E184" s="127"/>
      <c r="F184" s="127"/>
      <c r="G184" s="127"/>
      <c r="H184" s="127"/>
      <c r="I184" s="127"/>
      <c r="J184" s="127"/>
      <c r="K184" s="127"/>
      <c r="L184" s="127"/>
      <c r="M184" s="16"/>
      <c r="N184" s="16"/>
    </row>
    <row r="185" spans="1:17" s="5" customFormat="1" ht="26">
      <c r="A185" s="43"/>
      <c r="B185" s="43"/>
      <c r="C185" s="43"/>
      <c r="D185" s="128" t="s">
        <v>31</v>
      </c>
      <c r="E185" s="128"/>
      <c r="F185" s="128"/>
      <c r="G185" s="128"/>
      <c r="H185" s="128"/>
      <c r="I185" s="128"/>
      <c r="J185" s="128"/>
      <c r="K185" s="128"/>
      <c r="L185" s="128"/>
      <c r="M185" s="44"/>
      <c r="N185" s="44"/>
      <c r="O185" s="35"/>
      <c r="P185" s="35"/>
      <c r="Q185" s="35"/>
    </row>
    <row r="186" spans="1:17">
      <c r="A186" s="3"/>
      <c r="B186" s="3"/>
      <c r="C186" s="3"/>
      <c r="D186" s="3"/>
      <c r="E186" s="3"/>
      <c r="F186" s="3"/>
      <c r="G186" s="3"/>
      <c r="H186" s="3"/>
      <c r="I186" s="3"/>
      <c r="K186" s="1"/>
      <c r="L186" s="1"/>
      <c r="M186" s="1"/>
      <c r="N186" s="1"/>
    </row>
    <row r="187" spans="1:17" s="1" customFormat="1" ht="47">
      <c r="A187" s="4" t="s">
        <v>8</v>
      </c>
      <c r="B187" s="4" t="s">
        <v>9</v>
      </c>
      <c r="C187" s="4" t="s">
        <v>10</v>
      </c>
      <c r="D187" s="4" t="s">
        <v>11</v>
      </c>
      <c r="E187" s="4" t="s">
        <v>12</v>
      </c>
      <c r="F187" s="4" t="s">
        <v>13</v>
      </c>
      <c r="G187" s="38" t="s">
        <v>14</v>
      </c>
      <c r="H187" s="4" t="s">
        <v>15</v>
      </c>
      <c r="I187" s="38" t="s">
        <v>16</v>
      </c>
      <c r="J187" s="38" t="s">
        <v>17</v>
      </c>
      <c r="K187" s="38" t="s">
        <v>18</v>
      </c>
      <c r="L187" s="38" t="s">
        <v>19</v>
      </c>
      <c r="M187" s="38" t="s">
        <v>20</v>
      </c>
      <c r="N187" s="38" t="s">
        <v>21</v>
      </c>
    </row>
    <row r="188" spans="1:17" ht="47">
      <c r="A188" s="54" t="str">
        <f>IFERROR(VLOOKUP(D188,'Master sheet (Clientes)'!A$6:D$747,2,0)," ")</f>
        <v>NJ</v>
      </c>
      <c r="B188" s="54" t="str">
        <f>IFERROR(VLOOKUP(D188,'Master sheet (Clientes)'!A$6:D$747,3,0)," ")</f>
        <v xml:space="preserve">KRE Group Management </v>
      </c>
      <c r="C188" s="54" t="str">
        <f>IFERROR(VLOOKUP(D188,'Master sheet (Clientes)'!A$6:D$747,4,0)," ")</f>
        <v>A-V</v>
      </c>
      <c r="D188" s="54" t="s">
        <v>384</v>
      </c>
      <c r="E188" s="54"/>
      <c r="F188" s="54"/>
      <c r="G188" s="54"/>
      <c r="H188" s="54" t="s">
        <v>1017</v>
      </c>
      <c r="I188" s="54" t="s">
        <v>1018</v>
      </c>
      <c r="J188" s="54" t="s">
        <v>48</v>
      </c>
      <c r="K188" s="54"/>
      <c r="L188" s="54"/>
      <c r="M188" s="54"/>
      <c r="N188" s="54" t="s">
        <v>1266</v>
      </c>
    </row>
    <row r="189" spans="1:17" ht="70.5">
      <c r="A189" s="54" t="str">
        <f>IFERROR(VLOOKUP(D189,'Master sheet (Clientes)'!A$6:D$747,2,0)," ")</f>
        <v>NJ</v>
      </c>
      <c r="B189" s="54" t="str">
        <f>IFERROR(VLOOKUP(D189,'Master sheet (Clientes)'!A$6:D$747,3,0)," ")</f>
        <v xml:space="preserve">KRE Group Management </v>
      </c>
      <c r="C189" s="54" t="str">
        <f>IFERROR(VLOOKUP(D189,'Master sheet (Clientes)'!A$6:D$747,4,0)," ")</f>
        <v>A-V</v>
      </c>
      <c r="D189" s="54" t="s">
        <v>392</v>
      </c>
      <c r="E189" s="54"/>
      <c r="F189" s="54"/>
      <c r="G189" s="54"/>
      <c r="H189" s="54" t="s">
        <v>1015</v>
      </c>
      <c r="I189" s="54" t="s">
        <v>1019</v>
      </c>
      <c r="J189" s="54" t="s">
        <v>48</v>
      </c>
      <c r="K189" s="54"/>
      <c r="L189" s="54"/>
      <c r="M189" s="54" t="s">
        <v>1020</v>
      </c>
      <c r="N189" s="54" t="s">
        <v>1266</v>
      </c>
    </row>
    <row r="190" spans="1:17" ht="258.5">
      <c r="A190" s="54" t="str">
        <f>IFERROR(VLOOKUP(D190,'Master sheet (Clientes)'!A$6:D$747,2,0)," ")</f>
        <v>NJ</v>
      </c>
      <c r="B190" s="54" t="str">
        <f>IFERROR(VLOOKUP(D190,'Master sheet (Clientes)'!A$6:D$747,3,0)," ")</f>
        <v>Private Job</v>
      </c>
      <c r="C190" s="54" t="str">
        <f>IFERROR(VLOOKUP(D190,'Master sheet (Clientes)'!A$6:D$747,4,0)," ")</f>
        <v>A-V</v>
      </c>
      <c r="D190" s="54" t="s">
        <v>967</v>
      </c>
      <c r="E190" s="54"/>
      <c r="F190" s="54"/>
      <c r="G190" s="54"/>
      <c r="H190" s="54" t="s">
        <v>1770</v>
      </c>
      <c r="I190" s="54" t="s">
        <v>1097</v>
      </c>
      <c r="J190" s="54" t="s">
        <v>48</v>
      </c>
      <c r="K190" s="54" t="s">
        <v>1034</v>
      </c>
      <c r="L190" s="54" t="s">
        <v>1771</v>
      </c>
      <c r="M190" s="54" t="s">
        <v>1779</v>
      </c>
      <c r="N190" s="54" t="s">
        <v>1268</v>
      </c>
    </row>
    <row r="191" spans="1:17" ht="47">
      <c r="A191" s="54" t="str">
        <f>IFERROR(VLOOKUP(D191,'Master sheet (Clientes)'!A$6:D$747,2,0)," ")</f>
        <v>NJ</v>
      </c>
      <c r="B191" s="54" t="str">
        <f>IFERROR(VLOOKUP(D191,'Master sheet (Clientes)'!A$6:D$747,3,0)," ")</f>
        <v>Paramount Assets</v>
      </c>
      <c r="C191" s="54" t="str">
        <f>IFERROR(VLOOKUP(D191,'Master sheet (Clientes)'!A$6:D$747,4,0)," ")</f>
        <v>A-V</v>
      </c>
      <c r="D191" s="54" t="s">
        <v>608</v>
      </c>
      <c r="E191" s="54"/>
      <c r="F191" s="54"/>
      <c r="G191" s="54"/>
      <c r="H191" s="54" t="s">
        <v>1332</v>
      </c>
      <c r="I191" s="54" t="s">
        <v>911</v>
      </c>
      <c r="J191" s="54" t="s">
        <v>48</v>
      </c>
      <c r="K191" s="54"/>
      <c r="L191" s="54"/>
      <c r="M191" s="54" t="s">
        <v>1331</v>
      </c>
      <c r="N191" s="54" t="s">
        <v>1266</v>
      </c>
    </row>
    <row r="192" spans="1:17" ht="47">
      <c r="A192" s="54" t="str">
        <f>IFERROR(VLOOKUP(D192,'Master sheet (Clientes)'!A$6:D$747,2,0)," ")</f>
        <v>NJ</v>
      </c>
      <c r="B192" s="54" t="str">
        <f>IFERROR(VLOOKUP(D192,'Master sheet (Clientes)'!A$6:D$747,3,0)," ")</f>
        <v>Greystar</v>
      </c>
      <c r="C192" s="54" t="str">
        <f>IFERROR(VLOOKUP(D192,'Master sheet (Clientes)'!A$6:D$747,4,0)," ")</f>
        <v>A-V</v>
      </c>
      <c r="D192" s="54" t="s">
        <v>310</v>
      </c>
      <c r="E192" s="54">
        <v>452</v>
      </c>
      <c r="F192" s="54" t="s">
        <v>854</v>
      </c>
      <c r="G192" s="54" t="s">
        <v>853</v>
      </c>
      <c r="H192" s="54" t="s">
        <v>1394</v>
      </c>
      <c r="I192" s="54" t="s">
        <v>1529</v>
      </c>
      <c r="J192" s="54" t="s">
        <v>48</v>
      </c>
      <c r="K192" s="54"/>
      <c r="L192" s="54"/>
      <c r="M192" s="54"/>
      <c r="N192" s="54" t="s">
        <v>1747</v>
      </c>
    </row>
    <row r="193" spans="1:17" s="94" customFormat="1" ht="47">
      <c r="A193" s="92" t="str">
        <f>IFERROR(VLOOKUP(D193,'Master sheet (Clientes)'!A$6:D$747,2,0)," ")</f>
        <v>NJ</v>
      </c>
      <c r="B193" s="92" t="str">
        <f>IFERROR(VLOOKUP(D193,'Master sheet (Clientes)'!A$6:D$747,3,0)," ")</f>
        <v>Greystar</v>
      </c>
      <c r="C193" s="92" t="str">
        <f>IFERROR(VLOOKUP(D193,'Master sheet (Clientes)'!A$6:D$747,4,0)," ")</f>
        <v>A-V</v>
      </c>
      <c r="D193" s="92" t="s">
        <v>310</v>
      </c>
      <c r="E193" s="92">
        <v>137</v>
      </c>
      <c r="F193" s="92" t="s">
        <v>854</v>
      </c>
      <c r="G193" s="92" t="s">
        <v>853</v>
      </c>
      <c r="H193" s="92" t="s">
        <v>1395</v>
      </c>
      <c r="I193" s="92" t="s">
        <v>1529</v>
      </c>
      <c r="J193" s="92" t="s">
        <v>48</v>
      </c>
      <c r="K193" s="92"/>
      <c r="L193" s="92"/>
      <c r="M193" s="92" t="s">
        <v>1750</v>
      </c>
      <c r="N193" s="92" t="s">
        <v>1139</v>
      </c>
      <c r="O193" s="93"/>
      <c r="P193" s="93"/>
      <c r="Q193" s="93"/>
    </row>
    <row r="194" spans="1:17" ht="47">
      <c r="A194" s="54" t="str">
        <f>IFERROR(VLOOKUP(D194,'Master sheet (Clientes)'!A$6:D$747,2,0)," ")</f>
        <v>NJ</v>
      </c>
      <c r="B194" s="54" t="str">
        <f>IFERROR(VLOOKUP(D194,'Master sheet (Clientes)'!A$6:D$747,3,0)," ")</f>
        <v>Greystar</v>
      </c>
      <c r="C194" s="54" t="str">
        <f>IFERROR(VLOOKUP(D194,'Master sheet (Clientes)'!A$6:D$747,4,0)," ")</f>
        <v>A-V</v>
      </c>
      <c r="D194" s="54" t="s">
        <v>310</v>
      </c>
      <c r="E194" s="54">
        <v>147</v>
      </c>
      <c r="F194" s="54" t="s">
        <v>854</v>
      </c>
      <c r="G194" s="54" t="s">
        <v>853</v>
      </c>
      <c r="H194" s="54" t="s">
        <v>1394</v>
      </c>
      <c r="I194" s="54" t="s">
        <v>1529</v>
      </c>
      <c r="J194" s="54" t="s">
        <v>48</v>
      </c>
      <c r="K194" s="54"/>
      <c r="L194" s="54"/>
      <c r="M194" s="54"/>
      <c r="N194" s="54" t="s">
        <v>1747</v>
      </c>
    </row>
    <row r="195" spans="1:17" s="94" customFormat="1" ht="70.5">
      <c r="A195" s="92" t="str">
        <f>IFERROR(VLOOKUP(D195,'Master sheet (Clientes)'!A$6:D$747,2,0)," ")</f>
        <v>NJ</v>
      </c>
      <c r="B195" s="92" t="str">
        <f>IFERROR(VLOOKUP(D195,'Master sheet (Clientes)'!A$6:D$747,3,0)," ")</f>
        <v>Greystar</v>
      </c>
      <c r="C195" s="92" t="str">
        <f>IFERROR(VLOOKUP(D195,'Master sheet (Clientes)'!A$6:D$747,4,0)," ")</f>
        <v>A-V</v>
      </c>
      <c r="D195" s="92" t="s">
        <v>361</v>
      </c>
      <c r="E195" s="92" t="s">
        <v>1333</v>
      </c>
      <c r="F195" s="92" t="s">
        <v>864</v>
      </c>
      <c r="G195" s="92" t="s">
        <v>853</v>
      </c>
      <c r="H195" s="92" t="s">
        <v>1334</v>
      </c>
      <c r="I195" s="92" t="s">
        <v>1108</v>
      </c>
      <c r="J195" s="92" t="s">
        <v>48</v>
      </c>
      <c r="K195" s="92"/>
      <c r="L195" s="92"/>
      <c r="M195" s="92" t="s">
        <v>1335</v>
      </c>
      <c r="N195" s="92" t="s">
        <v>1139</v>
      </c>
      <c r="O195" s="93"/>
      <c r="P195" s="93"/>
      <c r="Q195" s="93"/>
    </row>
    <row r="196" spans="1:17" ht="70.5">
      <c r="A196" s="54" t="str">
        <f>IFERROR(VLOOKUP(D196,'Master sheet (Clientes)'!A$6:D$747,2,0)," ")</f>
        <v>NJ</v>
      </c>
      <c r="B196" s="54" t="str">
        <f>IFERROR(VLOOKUP(D196,'Master sheet (Clientes)'!A$6:D$747,3,0)," ")</f>
        <v>Paramount Assets</v>
      </c>
      <c r="C196" s="54" t="str">
        <f>IFERROR(VLOOKUP(D196,'Master sheet (Clientes)'!A$6:D$747,4,0)," ")</f>
        <v>A-V</v>
      </c>
      <c r="D196" s="54" t="s">
        <v>613</v>
      </c>
      <c r="E196" s="54">
        <v>201</v>
      </c>
      <c r="F196" s="54" t="s">
        <v>45</v>
      </c>
      <c r="G196" s="54" t="s">
        <v>853</v>
      </c>
      <c r="H196" s="54" t="s">
        <v>860</v>
      </c>
      <c r="I196" s="54" t="s">
        <v>1539</v>
      </c>
      <c r="J196" s="54" t="s">
        <v>48</v>
      </c>
      <c r="K196" s="54"/>
      <c r="L196" s="54"/>
      <c r="M196" s="54" t="s">
        <v>1157</v>
      </c>
      <c r="N196" s="54" t="s">
        <v>1747</v>
      </c>
    </row>
    <row r="197" spans="1:17" ht="70.5">
      <c r="A197" s="54" t="str">
        <f>IFERROR(VLOOKUP(D197,'Master sheet (Clientes)'!A$6:D$747,2,0)," ")</f>
        <v>NJ</v>
      </c>
      <c r="B197" s="54" t="str">
        <f>IFERROR(VLOOKUP(D197,'Master sheet (Clientes)'!A$6:D$747,3,0)," ")</f>
        <v>Paramount Assets</v>
      </c>
      <c r="C197" s="54" t="str">
        <f>IFERROR(VLOOKUP(D197,'Master sheet (Clientes)'!A$6:D$747,4,0)," ")</f>
        <v>A-V</v>
      </c>
      <c r="D197" s="54" t="s">
        <v>604</v>
      </c>
      <c r="E197" s="54">
        <v>205</v>
      </c>
      <c r="F197" s="54" t="s">
        <v>45</v>
      </c>
      <c r="G197" s="54" t="s">
        <v>853</v>
      </c>
      <c r="H197" s="54" t="s">
        <v>860</v>
      </c>
      <c r="I197" s="54" t="s">
        <v>1540</v>
      </c>
      <c r="J197" s="54" t="s">
        <v>48</v>
      </c>
      <c r="K197" s="54"/>
      <c r="L197" s="54"/>
      <c r="M197" s="54" t="s">
        <v>1157</v>
      </c>
      <c r="N197" s="54" t="s">
        <v>1747</v>
      </c>
    </row>
    <row r="198" spans="1:17">
      <c r="A198" s="1"/>
      <c r="B198" s="1"/>
      <c r="C198" s="1"/>
      <c r="D198" s="1"/>
      <c r="E198" s="1"/>
      <c r="F198" s="1"/>
      <c r="G198" s="1"/>
      <c r="H198" s="1"/>
      <c r="I198" s="1"/>
      <c r="J198" s="1"/>
      <c r="K198" s="1"/>
      <c r="L198" s="1"/>
      <c r="M198" s="1"/>
      <c r="N198" s="1"/>
    </row>
    <row r="199" spans="1:17" s="1" customFormat="1" ht="47">
      <c r="A199" s="4" t="s">
        <v>8</v>
      </c>
      <c r="B199" s="4" t="s">
        <v>9</v>
      </c>
      <c r="C199" s="4" t="s">
        <v>10</v>
      </c>
      <c r="D199" s="4" t="s">
        <v>11</v>
      </c>
      <c r="E199" s="4" t="s">
        <v>12</v>
      </c>
      <c r="F199" s="4" t="s">
        <v>13</v>
      </c>
      <c r="G199" s="38" t="s">
        <v>14</v>
      </c>
      <c r="H199" s="4" t="s">
        <v>15</v>
      </c>
      <c r="I199" s="38" t="s">
        <v>16</v>
      </c>
      <c r="J199" s="38" t="s">
        <v>17</v>
      </c>
      <c r="K199" s="38" t="s">
        <v>18</v>
      </c>
      <c r="L199" s="38" t="s">
        <v>19</v>
      </c>
      <c r="M199" s="38" t="s">
        <v>20</v>
      </c>
      <c r="N199" s="38" t="s">
        <v>21</v>
      </c>
    </row>
    <row r="200" spans="1:17" ht="70.5">
      <c r="A200" s="54" t="str">
        <f>IFERROR(VLOOKUP(D200,'Master sheet (Clientes)'!A$6:D$747,2,0)," ")</f>
        <v>NJ</v>
      </c>
      <c r="B200" s="54" t="str">
        <f>IFERROR(VLOOKUP(D200,'Master sheet (Clientes)'!A$6:D$747,3,0)," ")</f>
        <v xml:space="preserve">KRE Group Management </v>
      </c>
      <c r="C200" s="54" t="str">
        <f>IFERROR(VLOOKUP(D200,'Master sheet (Clientes)'!A$6:D$747,4,0)," ")</f>
        <v>A-V</v>
      </c>
      <c r="D200" s="54" t="s">
        <v>380</v>
      </c>
      <c r="E200" s="54"/>
      <c r="F200" s="54"/>
      <c r="G200" s="54"/>
      <c r="H200" s="54" t="s">
        <v>1015</v>
      </c>
      <c r="I200" s="54" t="s">
        <v>1016</v>
      </c>
      <c r="J200" s="54" t="s">
        <v>48</v>
      </c>
      <c r="K200" s="54"/>
      <c r="L200" s="54"/>
      <c r="M200" s="54" t="s">
        <v>1135</v>
      </c>
      <c r="N200" s="54" t="s">
        <v>1266</v>
      </c>
    </row>
    <row r="201" spans="1:17" ht="47">
      <c r="A201" s="54" t="str">
        <f>IFERROR(VLOOKUP(D201,'Master sheet (Clientes)'!A$6:D$747,2,0)," ")</f>
        <v>NJ</v>
      </c>
      <c r="B201" s="54" t="str">
        <f>IFERROR(VLOOKUP(D201,'Master sheet (Clientes)'!A$6:D$747,3,0)," ")</f>
        <v>Bozzuto</v>
      </c>
      <c r="C201" s="54" t="str">
        <f>IFERROR(VLOOKUP(D201,'Master sheet (Clientes)'!A$6:D$747,4,0)," ")</f>
        <v>N-O</v>
      </c>
      <c r="D201" s="54" t="s">
        <v>179</v>
      </c>
      <c r="E201" s="54"/>
      <c r="F201" s="54"/>
      <c r="G201" s="54"/>
      <c r="H201" s="54" t="s">
        <v>1136</v>
      </c>
      <c r="I201" s="54" t="s">
        <v>1056</v>
      </c>
      <c r="J201" s="54" t="s">
        <v>48</v>
      </c>
      <c r="K201" s="54"/>
      <c r="L201" s="54"/>
      <c r="M201" s="54" t="s">
        <v>1135</v>
      </c>
      <c r="N201" s="54" t="s">
        <v>1266</v>
      </c>
    </row>
    <row r="202" spans="1:17">
      <c r="A202" s="3"/>
      <c r="B202" s="3"/>
      <c r="C202" s="3"/>
      <c r="D202" s="3"/>
      <c r="E202" s="3"/>
      <c r="F202" s="3"/>
      <c r="G202" s="3"/>
      <c r="H202" s="3"/>
      <c r="I202" s="3"/>
      <c r="K202" s="1"/>
      <c r="L202" s="1"/>
      <c r="M202" s="1"/>
      <c r="N202" s="1"/>
    </row>
    <row r="203" spans="1:17" s="1" customFormat="1" ht="47">
      <c r="A203" s="4" t="s">
        <v>8</v>
      </c>
      <c r="B203" s="4" t="s">
        <v>9</v>
      </c>
      <c r="C203" s="4" t="s">
        <v>10</v>
      </c>
      <c r="D203" s="4" t="s">
        <v>11</v>
      </c>
      <c r="E203" s="4" t="s">
        <v>12</v>
      </c>
      <c r="F203" s="4" t="s">
        <v>13</v>
      </c>
      <c r="G203" s="38" t="s">
        <v>14</v>
      </c>
      <c r="H203" s="4" t="s">
        <v>15</v>
      </c>
      <c r="I203" s="38" t="s">
        <v>16</v>
      </c>
      <c r="J203" s="38" t="s">
        <v>17</v>
      </c>
      <c r="K203" s="38" t="s">
        <v>18</v>
      </c>
      <c r="L203" s="38" t="s">
        <v>19</v>
      </c>
      <c r="M203" s="38" t="s">
        <v>20</v>
      </c>
      <c r="N203" s="38" t="s">
        <v>21</v>
      </c>
    </row>
    <row r="204" spans="1:17" ht="94">
      <c r="A204" s="54" t="str">
        <f>IFERROR(VLOOKUP(D204,'Master sheet (Clientes)'!A$6:D$747,2,0)," ")</f>
        <v>NJ</v>
      </c>
      <c r="B204" s="54" t="str">
        <f>IFERROR(VLOOKUP(D204,'Master sheet (Clientes)'!A$6:D$747,3,0)," ")</f>
        <v>Vivmark Residential</v>
      </c>
      <c r="C204" s="54" t="str">
        <f>IFERROR(VLOOKUP(D204,'Master sheet (Clientes)'!A$6:D$747,4,0)," ")</f>
        <v>N-O</v>
      </c>
      <c r="D204" s="54" t="s">
        <v>87</v>
      </c>
      <c r="E204" s="54" t="s">
        <v>979</v>
      </c>
      <c r="F204" s="54"/>
      <c r="G204" s="54"/>
      <c r="H204" s="54" t="s">
        <v>1131</v>
      </c>
      <c r="I204" s="54" t="s">
        <v>1537</v>
      </c>
      <c r="J204" s="54" t="s">
        <v>48</v>
      </c>
      <c r="K204" s="54"/>
      <c r="L204" s="54"/>
      <c r="M204" s="54"/>
      <c r="N204" s="54" t="s">
        <v>1269</v>
      </c>
    </row>
    <row r="205" spans="1:17" ht="47">
      <c r="A205" s="54" t="str">
        <f>IFERROR(VLOOKUP(D205,'Master sheet (Clientes)'!A$6:D$747,2,0)," ")</f>
        <v>NJ</v>
      </c>
      <c r="B205" s="54" t="str">
        <f>IFERROR(VLOOKUP(D205,'Master sheet (Clientes)'!A$6:D$747,3,0)," ")</f>
        <v>Bozzuto</v>
      </c>
      <c r="C205" s="54" t="str">
        <f>IFERROR(VLOOKUP(D205,'Master sheet (Clientes)'!A$6:D$747,4,0)," ")</f>
        <v>N-O</v>
      </c>
      <c r="D205" s="54" t="s">
        <v>164</v>
      </c>
      <c r="E205" s="54">
        <v>1906</v>
      </c>
      <c r="F205" s="54" t="s">
        <v>45</v>
      </c>
      <c r="G205" s="54" t="s">
        <v>853</v>
      </c>
      <c r="H205" s="54" t="s">
        <v>1564</v>
      </c>
      <c r="I205" s="54" t="s">
        <v>1528</v>
      </c>
      <c r="J205" s="54" t="s">
        <v>48</v>
      </c>
      <c r="K205" s="54"/>
      <c r="L205" s="54"/>
      <c r="M205" s="54"/>
      <c r="N205" s="54" t="s">
        <v>1268</v>
      </c>
    </row>
    <row r="206" spans="1:17">
      <c r="A206" s="1"/>
      <c r="B206" s="1"/>
      <c r="C206" s="1"/>
      <c r="D206" s="1"/>
      <c r="E206" s="1"/>
      <c r="F206" s="1"/>
      <c r="G206" s="1"/>
      <c r="H206" s="1"/>
      <c r="I206" s="1"/>
      <c r="J206" s="1"/>
      <c r="K206" s="1"/>
      <c r="L206" s="1"/>
      <c r="M206" s="1"/>
      <c r="N206" s="1"/>
    </row>
    <row r="207" spans="1:17" s="1" customFormat="1" ht="47">
      <c r="A207" s="4" t="s">
        <v>8</v>
      </c>
      <c r="B207" s="4" t="s">
        <v>9</v>
      </c>
      <c r="C207" s="4" t="s">
        <v>10</v>
      </c>
      <c r="D207" s="4" t="s">
        <v>11</v>
      </c>
      <c r="E207" s="4" t="s">
        <v>12</v>
      </c>
      <c r="F207" s="4" t="s">
        <v>13</v>
      </c>
      <c r="G207" s="38" t="s">
        <v>14</v>
      </c>
      <c r="H207" s="4" t="s">
        <v>15</v>
      </c>
      <c r="I207" s="38" t="s">
        <v>16</v>
      </c>
      <c r="J207" s="38" t="s">
        <v>17</v>
      </c>
      <c r="K207" s="38" t="s">
        <v>18</v>
      </c>
      <c r="L207" s="38" t="s">
        <v>19</v>
      </c>
      <c r="M207" s="38" t="s">
        <v>20</v>
      </c>
      <c r="N207" s="38" t="s">
        <v>21</v>
      </c>
    </row>
    <row r="208" spans="1:17" ht="47">
      <c r="A208" s="54" t="str">
        <f>IFERROR(VLOOKUP(D208,'Master sheet (Clientes)'!A$6:D$747,2,0)," ")</f>
        <v>NJ</v>
      </c>
      <c r="B208" s="54" t="str">
        <f>IFERROR(VLOOKUP(D208,'Master sheet (Clientes)'!A$6:D$747,3,0)," ")</f>
        <v>Bozzuto</v>
      </c>
      <c r="C208" s="54" t="str">
        <f>IFERROR(VLOOKUP(D208,'Master sheet (Clientes)'!A$6:D$747,4,0)," ")</f>
        <v>N-O</v>
      </c>
      <c r="D208" s="54" t="s">
        <v>182</v>
      </c>
      <c r="E208" s="54">
        <v>533</v>
      </c>
      <c r="F208" s="54" t="s">
        <v>854</v>
      </c>
      <c r="G208" s="54" t="s">
        <v>853</v>
      </c>
      <c r="H208" s="54" t="s">
        <v>1148</v>
      </c>
      <c r="I208" s="54" t="s">
        <v>1547</v>
      </c>
      <c r="J208" s="54" t="s">
        <v>48</v>
      </c>
      <c r="K208" s="54"/>
      <c r="L208" s="54"/>
      <c r="M208" s="54"/>
      <c r="N208" s="54" t="s">
        <v>1265</v>
      </c>
    </row>
    <row r="209" spans="1:17">
      <c r="A209" s="1"/>
      <c r="B209" s="1"/>
      <c r="C209" s="1"/>
      <c r="D209" s="1"/>
      <c r="E209" s="1"/>
      <c r="F209" s="1"/>
      <c r="G209" s="1"/>
      <c r="H209" s="1"/>
      <c r="I209" s="1"/>
      <c r="J209" s="1"/>
      <c r="K209" s="1"/>
      <c r="L209" s="1"/>
      <c r="M209" s="1"/>
      <c r="N209" s="1"/>
    </row>
    <row r="210" spans="1:17" s="1" customFormat="1" ht="47">
      <c r="A210" s="4" t="s">
        <v>8</v>
      </c>
      <c r="B210" s="4" t="s">
        <v>9</v>
      </c>
      <c r="C210" s="4" t="s">
        <v>10</v>
      </c>
      <c r="D210" s="4" t="s">
        <v>11</v>
      </c>
      <c r="E210" s="4" t="s">
        <v>12</v>
      </c>
      <c r="F210" s="4" t="s">
        <v>13</v>
      </c>
      <c r="G210" s="38" t="s">
        <v>14</v>
      </c>
      <c r="H210" s="4" t="s">
        <v>15</v>
      </c>
      <c r="I210" s="38" t="s">
        <v>16</v>
      </c>
      <c r="J210" s="38" t="s">
        <v>17</v>
      </c>
      <c r="K210" s="38" t="s">
        <v>18</v>
      </c>
      <c r="L210" s="38" t="s">
        <v>19</v>
      </c>
      <c r="M210" s="38" t="s">
        <v>20</v>
      </c>
      <c r="N210" s="38" t="s">
        <v>21</v>
      </c>
    </row>
    <row r="211" spans="1:17" ht="70.5">
      <c r="A211" s="54" t="str">
        <f>IFERROR(VLOOKUP(D211,'Master sheet (Clientes)'!A$6:D$747,2,0)," ")</f>
        <v>NJ</v>
      </c>
      <c r="B211" s="54" t="str">
        <f>IFERROR(VLOOKUP(D211,'Master sheet (Clientes)'!A$6:D$747,3,0)," ")</f>
        <v>Willow Bridge P.C.</v>
      </c>
      <c r="C211" s="54" t="str">
        <f>IFERROR(VLOOKUP(D211,'Master sheet (Clientes)'!A$6:D$747,4,0)," ")</f>
        <v>N-O</v>
      </c>
      <c r="D211" s="54" t="s">
        <v>252</v>
      </c>
      <c r="E211" s="54">
        <v>1341</v>
      </c>
      <c r="F211" s="54" t="s">
        <v>45</v>
      </c>
      <c r="G211" s="54" t="s">
        <v>853</v>
      </c>
      <c r="H211" s="54" t="s">
        <v>47</v>
      </c>
      <c r="I211" s="54" t="s">
        <v>1137</v>
      </c>
      <c r="J211" s="54" t="s">
        <v>48</v>
      </c>
      <c r="K211" s="54"/>
      <c r="L211" s="54"/>
      <c r="M211" s="54"/>
      <c r="N211" s="54" t="s">
        <v>1268</v>
      </c>
    </row>
    <row r="212" spans="1:17" ht="70.5">
      <c r="A212" s="54" t="str">
        <f>IFERROR(VLOOKUP(D212,'Master sheet (Clientes)'!A$6:D$747,2,0)," ")</f>
        <v>NJ</v>
      </c>
      <c r="B212" s="54" t="str">
        <f>IFERROR(VLOOKUP(D212,'Master sheet (Clientes)'!A$6:D$747,3,0)," ")</f>
        <v>Vivmark Residential</v>
      </c>
      <c r="C212" s="54" t="str">
        <f>IFERROR(VLOOKUP(D212,'Master sheet (Clientes)'!A$6:D$747,4,0)," ")</f>
        <v>N-O</v>
      </c>
      <c r="D212" s="54" t="s">
        <v>90</v>
      </c>
      <c r="E212" s="54" t="s">
        <v>1423</v>
      </c>
      <c r="F212" s="54" t="s">
        <v>946</v>
      </c>
      <c r="G212" s="54" t="s">
        <v>853</v>
      </c>
      <c r="H212" s="54" t="s">
        <v>865</v>
      </c>
      <c r="I212" s="54" t="s">
        <v>1137</v>
      </c>
      <c r="J212" s="54" t="s">
        <v>1424</v>
      </c>
      <c r="K212" s="54"/>
      <c r="L212" s="54"/>
      <c r="M212" s="54" t="s">
        <v>1599</v>
      </c>
      <c r="N212" s="54" t="s">
        <v>1268</v>
      </c>
    </row>
    <row r="213" spans="1:17" s="94" customFormat="1" ht="70.5">
      <c r="A213" s="92" t="str">
        <f>IFERROR(VLOOKUP(D213,'Master sheet (Clientes)'!A$6:D$747,2,0)," ")</f>
        <v>NJ</v>
      </c>
      <c r="B213" s="92" t="str">
        <f>IFERROR(VLOOKUP(D213,'Master sheet (Clientes)'!A$6:D$747,3,0)," ")</f>
        <v>Vivmark Residential</v>
      </c>
      <c r="C213" s="92" t="str">
        <f>IFERROR(VLOOKUP(D213,'Master sheet (Clientes)'!A$6:D$747,4,0)," ")</f>
        <v>N-O</v>
      </c>
      <c r="D213" s="92" t="s">
        <v>90</v>
      </c>
      <c r="E213" s="92">
        <v>6100</v>
      </c>
      <c r="F213" s="92" t="s">
        <v>946</v>
      </c>
      <c r="G213" s="92" t="s">
        <v>853</v>
      </c>
      <c r="H213" s="92" t="s">
        <v>865</v>
      </c>
      <c r="I213" s="92" t="s">
        <v>1137</v>
      </c>
      <c r="J213" s="92" t="s">
        <v>1425</v>
      </c>
      <c r="K213" s="92"/>
      <c r="L213" s="92"/>
      <c r="M213" s="92"/>
      <c r="N213" s="92" t="s">
        <v>1392</v>
      </c>
      <c r="O213" s="93"/>
      <c r="P213" s="93"/>
      <c r="Q213" s="93"/>
    </row>
    <row r="214" spans="1:17" ht="70.5">
      <c r="A214" s="54" t="str">
        <f>IFERROR(VLOOKUP(D214,'Master sheet (Clientes)'!A$6:D$747,2,0)," ")</f>
        <v>NJ</v>
      </c>
      <c r="B214" s="54" t="str">
        <f>IFERROR(VLOOKUP(D214,'Master sheet (Clientes)'!A$6:D$747,3,0)," ")</f>
        <v>Paramount Assets</v>
      </c>
      <c r="C214" s="54" t="str">
        <f>IFERROR(VLOOKUP(D214,'Master sheet (Clientes)'!A$6:D$747,4,0)," ")</f>
        <v>A-V</v>
      </c>
      <c r="D214" s="54" t="s">
        <v>613</v>
      </c>
      <c r="E214" s="54">
        <v>210</v>
      </c>
      <c r="F214" s="54" t="s">
        <v>874</v>
      </c>
      <c r="G214" s="54" t="s">
        <v>853</v>
      </c>
      <c r="H214" s="54" t="s">
        <v>857</v>
      </c>
      <c r="I214" s="54" t="s">
        <v>1137</v>
      </c>
      <c r="J214" s="54" t="s">
        <v>48</v>
      </c>
      <c r="K214" s="54"/>
      <c r="L214" s="54"/>
      <c r="M214" s="54" t="s">
        <v>1598</v>
      </c>
      <c r="N214" s="54" t="s">
        <v>1268</v>
      </c>
    </row>
    <row r="215" spans="1:17">
      <c r="A215" s="1"/>
      <c r="B215" s="1"/>
      <c r="C215" s="1"/>
      <c r="D215" s="1"/>
      <c r="E215" s="1"/>
      <c r="F215" s="1"/>
      <c r="G215" s="1"/>
      <c r="H215" s="1"/>
      <c r="I215" s="1"/>
      <c r="J215" s="1"/>
      <c r="K215" s="1"/>
      <c r="L215" s="1"/>
      <c r="M215" s="1"/>
      <c r="N215" s="1"/>
    </row>
    <row r="216" spans="1:17" s="1" customFormat="1" ht="47">
      <c r="A216" s="4" t="s">
        <v>8</v>
      </c>
      <c r="B216" s="4" t="s">
        <v>9</v>
      </c>
      <c r="C216" s="4" t="s">
        <v>10</v>
      </c>
      <c r="D216" s="4" t="s">
        <v>11</v>
      </c>
      <c r="E216" s="4" t="s">
        <v>12</v>
      </c>
      <c r="F216" s="4" t="s">
        <v>13</v>
      </c>
      <c r="G216" s="38" t="s">
        <v>14</v>
      </c>
      <c r="H216" s="4" t="s">
        <v>15</v>
      </c>
      <c r="I216" s="38" t="s">
        <v>16</v>
      </c>
      <c r="J216" s="38" t="s">
        <v>17</v>
      </c>
      <c r="K216" s="38" t="s">
        <v>18</v>
      </c>
      <c r="L216" s="38" t="s">
        <v>19</v>
      </c>
      <c r="M216" s="38" t="s">
        <v>20</v>
      </c>
      <c r="N216" s="38" t="s">
        <v>21</v>
      </c>
    </row>
    <row r="217" spans="1:17" s="94" customFormat="1" ht="70.5">
      <c r="A217" s="92" t="str">
        <f>IFERROR(VLOOKUP(D217,'Master sheet (Clientes)'!A$6:D$747,2,0)," ")</f>
        <v>NJ</v>
      </c>
      <c r="B217" s="92" t="str">
        <f>IFERROR(VLOOKUP(D217,'Master sheet (Clientes)'!A$6:D$747,3,0)," ")</f>
        <v>Vivmark Residential</v>
      </c>
      <c r="C217" s="92" t="str">
        <f>IFERROR(VLOOKUP(D217,'Master sheet (Clientes)'!A$6:D$747,4,0)," ")</f>
        <v>N-O</v>
      </c>
      <c r="D217" s="92" t="s">
        <v>95</v>
      </c>
      <c r="E217" s="92">
        <v>4308</v>
      </c>
      <c r="F217" s="92"/>
      <c r="G217" s="92" t="s">
        <v>917</v>
      </c>
      <c r="H217" s="92" t="s">
        <v>1462</v>
      </c>
      <c r="I217" s="92" t="s">
        <v>883</v>
      </c>
      <c r="J217" s="92" t="s">
        <v>48</v>
      </c>
      <c r="K217" s="92"/>
      <c r="L217" s="92"/>
      <c r="M217" s="92"/>
      <c r="N217" s="92" t="s">
        <v>1392</v>
      </c>
      <c r="O217" s="93"/>
      <c r="P217" s="93"/>
      <c r="Q217" s="93"/>
    </row>
    <row r="218" spans="1:17">
      <c r="A218" s="1"/>
      <c r="B218" s="1"/>
      <c r="C218" s="1"/>
      <c r="D218" s="1"/>
      <c r="E218" s="1"/>
      <c r="F218" s="1"/>
      <c r="G218" s="1"/>
      <c r="H218" s="1"/>
      <c r="I218" s="1"/>
      <c r="J218" s="1"/>
      <c r="K218" s="1"/>
      <c r="L218" s="1"/>
      <c r="M218" s="1"/>
      <c r="N218" s="1"/>
    </row>
    <row r="219" spans="1:17" s="1" customFormat="1" ht="47">
      <c r="A219" s="4" t="s">
        <v>8</v>
      </c>
      <c r="B219" s="4" t="s">
        <v>9</v>
      </c>
      <c r="C219" s="4" t="s">
        <v>10</v>
      </c>
      <c r="D219" s="4" t="s">
        <v>11</v>
      </c>
      <c r="E219" s="4" t="s">
        <v>12</v>
      </c>
      <c r="F219" s="4" t="s">
        <v>13</v>
      </c>
      <c r="G219" s="38" t="s">
        <v>14</v>
      </c>
      <c r="H219" s="4" t="s">
        <v>15</v>
      </c>
      <c r="I219" s="38" t="s">
        <v>16</v>
      </c>
      <c r="J219" s="38" t="s">
        <v>17</v>
      </c>
      <c r="K219" s="38" t="s">
        <v>18</v>
      </c>
      <c r="L219" s="38" t="s">
        <v>19</v>
      </c>
      <c r="M219" s="38" t="s">
        <v>20</v>
      </c>
      <c r="N219" s="38" t="s">
        <v>21</v>
      </c>
    </row>
    <row r="220" spans="1:17" ht="70.5">
      <c r="A220" s="54" t="str">
        <f>IFERROR(VLOOKUP(D220,'Master sheet (Clientes)'!A$6:D$747,2,0)," ")</f>
        <v>NJ</v>
      </c>
      <c r="B220" s="54" t="str">
        <f>IFERROR(VLOOKUP(D220,'Master sheet (Clientes)'!A$6:D$747,3,0)," ")</f>
        <v>Greystar</v>
      </c>
      <c r="C220" s="54" t="str">
        <f>IFERROR(VLOOKUP(D220,'Master sheet (Clientes)'!A$6:D$747,4,0)," ")</f>
        <v>A-V</v>
      </c>
      <c r="D220" s="54" t="s">
        <v>361</v>
      </c>
      <c r="E220" s="54" t="s">
        <v>1333</v>
      </c>
      <c r="F220" s="54" t="s">
        <v>864</v>
      </c>
      <c r="G220" s="54" t="s">
        <v>853</v>
      </c>
      <c r="H220" s="54" t="s">
        <v>1335</v>
      </c>
      <c r="I220" s="54" t="s">
        <v>850</v>
      </c>
      <c r="J220" s="54" t="s">
        <v>48</v>
      </c>
      <c r="K220" s="54"/>
      <c r="L220" s="54"/>
      <c r="M220" s="54"/>
      <c r="N220" s="54"/>
    </row>
    <row r="221" spans="1:17">
      <c r="A221" s="1"/>
      <c r="B221" s="1"/>
      <c r="C221" s="1"/>
      <c r="D221" s="1"/>
      <c r="E221" s="1"/>
      <c r="F221" s="1"/>
      <c r="G221" s="1"/>
      <c r="H221" s="1"/>
      <c r="I221" s="1"/>
      <c r="K221" s="1"/>
      <c r="L221" s="1"/>
      <c r="M221" s="1"/>
      <c r="N221" s="1"/>
    </row>
    <row r="222" spans="1:17" s="1" customFormat="1" ht="36">
      <c r="A222" s="45"/>
      <c r="B222" s="45"/>
      <c r="C222" s="45"/>
      <c r="D222" s="131" t="str">
        <f>A1</f>
        <v>BuildCare SCHEDULE WEDNESDAY, SEPTEMBER 02 / 2026</v>
      </c>
      <c r="E222" s="131"/>
      <c r="F222" s="131"/>
      <c r="G222" s="131"/>
      <c r="H222" s="131"/>
      <c r="I222" s="131"/>
      <c r="J222" s="131"/>
      <c r="K222" s="131"/>
      <c r="L222" s="131"/>
      <c r="M222" s="45"/>
      <c r="N222" s="32"/>
    </row>
    <row r="223" spans="1:17">
      <c r="A223" s="1"/>
      <c r="B223" s="1"/>
      <c r="C223" s="1"/>
      <c r="D223" s="1"/>
      <c r="E223" s="1"/>
      <c r="F223" s="1"/>
      <c r="G223" s="1"/>
      <c r="H223" s="1"/>
      <c r="I223" s="1"/>
      <c r="K223" s="1"/>
      <c r="L223" s="1"/>
      <c r="M223" s="1"/>
      <c r="N223" s="1"/>
    </row>
    <row r="224" spans="1:17" ht="28.5">
      <c r="A224" s="34"/>
      <c r="B224" s="34"/>
      <c r="C224" s="34"/>
      <c r="D224" s="126" t="s">
        <v>32</v>
      </c>
      <c r="E224" s="126"/>
      <c r="F224" s="126"/>
      <c r="G224" s="126"/>
      <c r="H224" s="126"/>
      <c r="I224" s="126"/>
      <c r="J224" s="126"/>
      <c r="K224" s="126"/>
      <c r="L224" s="126"/>
      <c r="M224" s="18"/>
      <c r="N224" s="18"/>
    </row>
    <row r="225" spans="1:20" s="5" customFormat="1">
      <c r="A225" s="3"/>
      <c r="B225" s="3"/>
      <c r="C225" s="3"/>
      <c r="D225" s="3"/>
      <c r="E225" s="3"/>
      <c r="F225" s="3"/>
      <c r="G225" s="3"/>
      <c r="H225" s="3"/>
      <c r="I225" s="3"/>
      <c r="J225" s="3"/>
      <c r="K225" s="1"/>
      <c r="L225" s="1"/>
      <c r="M225" s="1"/>
      <c r="N225" s="1"/>
      <c r="O225" s="35"/>
      <c r="P225" s="35"/>
      <c r="Q225" s="35"/>
    </row>
    <row r="226" spans="1:20" s="5" customFormat="1" ht="26">
      <c r="A226" s="33"/>
      <c r="B226" s="33"/>
      <c r="C226" s="33"/>
      <c r="D226" s="127" t="s">
        <v>33</v>
      </c>
      <c r="E226" s="127"/>
      <c r="F226" s="127"/>
      <c r="G226" s="127"/>
      <c r="H226" s="127"/>
      <c r="I226" s="127"/>
      <c r="J226" s="127"/>
      <c r="K226" s="127"/>
      <c r="L226" s="127"/>
      <c r="M226" s="16"/>
      <c r="N226" s="16"/>
      <c r="O226" s="35"/>
      <c r="P226" s="35"/>
      <c r="Q226" s="35"/>
    </row>
    <row r="227" spans="1:20" s="5" customFormat="1" ht="26">
      <c r="A227" s="43"/>
      <c r="B227" s="43"/>
      <c r="C227" s="43"/>
      <c r="D227" s="128" t="s">
        <v>34</v>
      </c>
      <c r="E227" s="128"/>
      <c r="F227" s="128"/>
      <c r="G227" s="128"/>
      <c r="H227" s="128"/>
      <c r="I227" s="128"/>
      <c r="J227" s="128"/>
      <c r="K227" s="128"/>
      <c r="L227" s="128"/>
      <c r="M227" s="44"/>
      <c r="N227" s="44"/>
      <c r="O227" s="35"/>
      <c r="P227" s="35"/>
      <c r="Q227" s="35"/>
    </row>
    <row r="228" spans="1:20" s="1" customFormat="1"/>
    <row r="229" spans="1:20" s="1" customFormat="1" ht="26">
      <c r="A229" s="17"/>
      <c r="B229" s="17"/>
      <c r="C229" s="17"/>
      <c r="D229" s="125" t="s">
        <v>35</v>
      </c>
      <c r="E229" s="125"/>
      <c r="F229" s="125"/>
      <c r="G229" s="125"/>
      <c r="H229" s="125"/>
      <c r="I229" s="125"/>
      <c r="J229" s="125"/>
      <c r="K229" s="125"/>
      <c r="L229" s="125"/>
      <c r="M229" s="15"/>
      <c r="N229" s="15"/>
    </row>
    <row r="230" spans="1:20" s="1" customFormat="1" ht="26">
      <c r="A230" s="46"/>
      <c r="B230" s="46"/>
      <c r="C230" s="46"/>
      <c r="D230" s="125" t="s">
        <v>36</v>
      </c>
      <c r="E230" s="125"/>
      <c r="F230" s="125"/>
      <c r="G230" s="125"/>
      <c r="H230" s="125"/>
      <c r="I230" s="125"/>
      <c r="J230" s="17"/>
      <c r="K230" s="17"/>
      <c r="L230" s="17"/>
      <c r="M230" s="15"/>
      <c r="N230" s="15"/>
    </row>
    <row r="231" spans="1:20" s="1" customFormat="1" ht="26">
      <c r="A231" s="17"/>
      <c r="B231" s="17"/>
      <c r="C231" s="17"/>
      <c r="D231" s="125" t="s">
        <v>4</v>
      </c>
      <c r="E231" s="125"/>
      <c r="F231" s="125"/>
      <c r="G231" s="125"/>
      <c r="H231" s="125"/>
      <c r="I231" s="125"/>
      <c r="J231" s="17"/>
      <c r="K231" s="17"/>
      <c r="L231" s="17"/>
      <c r="M231" s="15"/>
      <c r="N231" s="15"/>
    </row>
    <row r="232" spans="1:20" s="1" customFormat="1">
      <c r="A232" s="3"/>
      <c r="B232" s="3"/>
      <c r="C232" s="3"/>
      <c r="D232" s="3"/>
      <c r="E232" s="3"/>
      <c r="F232" s="3"/>
      <c r="G232" s="3"/>
      <c r="H232" s="3"/>
      <c r="I232" s="3"/>
      <c r="J232" s="3"/>
    </row>
    <row r="233" spans="1:20" s="1" customFormat="1" ht="47">
      <c r="A233" s="4" t="s">
        <v>8</v>
      </c>
      <c r="B233" s="4" t="s">
        <v>9</v>
      </c>
      <c r="C233" s="4" t="s">
        <v>10</v>
      </c>
      <c r="D233" s="4" t="s">
        <v>11</v>
      </c>
      <c r="E233" s="4" t="s">
        <v>12</v>
      </c>
      <c r="F233" s="4" t="s">
        <v>13</v>
      </c>
      <c r="G233" s="38" t="s">
        <v>14</v>
      </c>
      <c r="H233" s="4" t="s">
        <v>15</v>
      </c>
      <c r="I233" s="38" t="s">
        <v>16</v>
      </c>
      <c r="J233" s="38" t="s">
        <v>17</v>
      </c>
      <c r="K233" s="38" t="s">
        <v>18</v>
      </c>
      <c r="L233" s="38" t="s">
        <v>19</v>
      </c>
      <c r="M233" s="38" t="s">
        <v>20</v>
      </c>
      <c r="N233" s="38" t="s">
        <v>21</v>
      </c>
    </row>
    <row r="234" spans="1:20" s="12" customFormat="1" ht="70.5">
      <c r="A234" s="54" t="str">
        <f>IFERROR(VLOOKUP(D234,'Master sheet (Clientes)'!A$6:D$747,2,0)," ")</f>
        <v>PA</v>
      </c>
      <c r="B234" s="54" t="str">
        <f>IFERROR(VLOOKUP(D234,'Master sheet (Clientes)'!A$6:D$747,3,0)," ")</f>
        <v>Post Brothers</v>
      </c>
      <c r="C234" s="54" t="str">
        <f>IFERROR(VLOOKUP(D234,'Master sheet (Clientes)'!A$6:D$747,4,0)," ")</f>
        <v>A-V</v>
      </c>
      <c r="D234" s="54" t="s">
        <v>623</v>
      </c>
      <c r="E234" s="54"/>
      <c r="F234" s="54"/>
      <c r="G234" s="54"/>
      <c r="H234" s="54" t="s">
        <v>1021</v>
      </c>
      <c r="I234" s="54" t="s">
        <v>1022</v>
      </c>
      <c r="J234" s="54" t="s">
        <v>48</v>
      </c>
      <c r="K234" s="54"/>
      <c r="L234" s="54"/>
      <c r="M234" s="54" t="s">
        <v>1023</v>
      </c>
      <c r="N234" s="54" t="s">
        <v>1266</v>
      </c>
      <c r="O234" s="1"/>
      <c r="P234" s="1"/>
      <c r="Q234" s="1"/>
      <c r="R234" s="11"/>
      <c r="S234" s="11"/>
      <c r="T234" s="11"/>
    </row>
    <row r="235" spans="1:20" s="12" customFormat="1" ht="70.5">
      <c r="A235" s="54" t="str">
        <f>IFERROR(VLOOKUP(D235,'Master sheet (Clientes)'!A$6:D$747,2,0)," ")</f>
        <v>PA</v>
      </c>
      <c r="B235" s="54" t="str">
        <f>IFERROR(VLOOKUP(D235,'Master sheet (Clientes)'!A$6:D$747,3,0)," ")</f>
        <v>Post Brothers</v>
      </c>
      <c r="C235" s="54" t="str">
        <f>IFERROR(VLOOKUP(D235,'Master sheet (Clientes)'!A$6:D$747,4,0)," ")</f>
        <v>A-V</v>
      </c>
      <c r="D235" s="54" t="s">
        <v>622</v>
      </c>
      <c r="E235" s="54"/>
      <c r="F235" s="54"/>
      <c r="G235" s="54"/>
      <c r="H235" s="54" t="s">
        <v>1326</v>
      </c>
      <c r="I235" s="54" t="s">
        <v>1496</v>
      </c>
      <c r="J235" s="54" t="s">
        <v>48</v>
      </c>
      <c r="K235" s="54"/>
      <c r="L235" s="54"/>
      <c r="M235" s="54" t="s">
        <v>1023</v>
      </c>
      <c r="N235" s="54" t="s">
        <v>1266</v>
      </c>
      <c r="O235" s="1"/>
      <c r="P235" s="1"/>
      <c r="Q235" s="1"/>
      <c r="R235" s="11"/>
      <c r="S235" s="11"/>
      <c r="T235" s="11"/>
    </row>
    <row r="236" spans="1:20" s="12" customFormat="1" ht="141">
      <c r="A236" s="54" t="str">
        <f>IFERROR(VLOOKUP(D236,'Master sheet (Clientes)'!A$6:D$747,2,0)," ")</f>
        <v>PA</v>
      </c>
      <c r="B236" s="54" t="str">
        <f>IFERROR(VLOOKUP(D236,'Master sheet (Clientes)'!A$6:D$747,3,0)," ")</f>
        <v>Greystar</v>
      </c>
      <c r="C236" s="54" t="str">
        <f>IFERROR(VLOOKUP(D236,'Master sheet (Clientes)'!A$6:D$747,4,0)," ")</f>
        <v>A-V</v>
      </c>
      <c r="D236" s="54" t="s">
        <v>335</v>
      </c>
      <c r="E236" s="54">
        <v>115</v>
      </c>
      <c r="F236" s="54"/>
      <c r="G236" s="54"/>
      <c r="H236" s="83" t="s">
        <v>1657</v>
      </c>
      <c r="I236" s="54" t="s">
        <v>1497</v>
      </c>
      <c r="J236" s="54" t="s">
        <v>48</v>
      </c>
      <c r="K236" s="54" t="s">
        <v>841</v>
      </c>
      <c r="L236" s="54" t="s">
        <v>1658</v>
      </c>
      <c r="M236" s="54" t="s">
        <v>842</v>
      </c>
      <c r="N236" s="54" t="s">
        <v>1266</v>
      </c>
      <c r="O236" s="1"/>
      <c r="P236" s="1"/>
      <c r="Q236" s="1"/>
      <c r="R236" s="11"/>
      <c r="S236" s="11"/>
      <c r="T236" s="11"/>
    </row>
    <row r="237" spans="1:20" s="12" customFormat="1" ht="70.5">
      <c r="A237" s="54" t="str">
        <f>IFERROR(VLOOKUP(D237,'Master sheet (Clientes)'!A$6:D$747,2,0)," ")</f>
        <v>PA</v>
      </c>
      <c r="B237" s="54" t="str">
        <f>IFERROR(VLOOKUP(D237,'Master sheet (Clientes)'!A$6:D$747,3,0)," ")</f>
        <v>Post Brothers</v>
      </c>
      <c r="C237" s="54" t="str">
        <f>IFERROR(VLOOKUP(D237,'Master sheet (Clientes)'!A$6:D$747,4,0)," ")</f>
        <v>A-V</v>
      </c>
      <c r="D237" s="54" t="s">
        <v>624</v>
      </c>
      <c r="E237" s="54" t="s">
        <v>1211</v>
      </c>
      <c r="F237" s="54"/>
      <c r="G237" s="54"/>
      <c r="H237" s="54" t="s">
        <v>1565</v>
      </c>
      <c r="I237" s="54" t="s">
        <v>1546</v>
      </c>
      <c r="J237" s="54" t="s">
        <v>48</v>
      </c>
      <c r="K237" s="54"/>
      <c r="L237" s="54"/>
      <c r="M237" s="54"/>
      <c r="N237" s="54" t="s">
        <v>1268</v>
      </c>
      <c r="O237" s="1"/>
      <c r="P237" s="1"/>
      <c r="Q237" s="1"/>
      <c r="R237" s="11"/>
      <c r="S237" s="11"/>
      <c r="T237" s="11"/>
    </row>
    <row r="238" spans="1:20">
      <c r="A238" s="1"/>
      <c r="B238" s="1"/>
      <c r="C238" s="1"/>
      <c r="D238" s="1"/>
      <c r="E238" s="1"/>
      <c r="F238" s="1"/>
      <c r="G238" s="1"/>
      <c r="H238" s="1"/>
      <c r="I238" s="1"/>
      <c r="J238" s="1"/>
      <c r="K238" s="1"/>
      <c r="L238" s="1"/>
      <c r="M238" s="1"/>
      <c r="N238" s="1"/>
    </row>
    <row r="239" spans="1:20" s="1" customFormat="1" ht="47">
      <c r="A239" s="4" t="s">
        <v>8</v>
      </c>
      <c r="B239" s="4" t="s">
        <v>9</v>
      </c>
      <c r="C239" s="4" t="s">
        <v>10</v>
      </c>
      <c r="D239" s="4" t="s">
        <v>11</v>
      </c>
      <c r="E239" s="4" t="s">
        <v>12</v>
      </c>
      <c r="F239" s="4" t="s">
        <v>13</v>
      </c>
      <c r="G239" s="38" t="s">
        <v>14</v>
      </c>
      <c r="H239" s="4" t="s">
        <v>15</v>
      </c>
      <c r="I239" s="38" t="s">
        <v>16</v>
      </c>
      <c r="J239" s="38" t="s">
        <v>17</v>
      </c>
      <c r="K239" s="38" t="s">
        <v>18</v>
      </c>
      <c r="L239" s="38" t="s">
        <v>19</v>
      </c>
      <c r="M239" s="38" t="s">
        <v>20</v>
      </c>
      <c r="N239" s="38" t="s">
        <v>21</v>
      </c>
    </row>
    <row r="240" spans="1:20" s="12" customFormat="1" ht="70.5">
      <c r="A240" s="54" t="str">
        <f>IFERROR(VLOOKUP(D240,'Master sheet (Clientes)'!A$6:D$747,2,0)," ")</f>
        <v>PA</v>
      </c>
      <c r="B240" s="54" t="str">
        <f>IFERROR(VLOOKUP(D240,'Master sheet (Clientes)'!A$6:D$747,3,0)," ")</f>
        <v>Post Brothers</v>
      </c>
      <c r="C240" s="54" t="str">
        <f>IFERROR(VLOOKUP(D240,'Master sheet (Clientes)'!A$6:D$747,4,0)," ")</f>
        <v>A-V</v>
      </c>
      <c r="D240" s="54" t="s">
        <v>619</v>
      </c>
      <c r="E240" s="54"/>
      <c r="F240" s="54"/>
      <c r="G240" s="54"/>
      <c r="H240" s="54" t="s">
        <v>986</v>
      </c>
      <c r="I240" s="54" t="s">
        <v>982</v>
      </c>
      <c r="J240" s="54" t="s">
        <v>48</v>
      </c>
      <c r="K240" s="54"/>
      <c r="L240" s="54"/>
      <c r="M240" s="54" t="s">
        <v>900</v>
      </c>
      <c r="N240" s="54" t="s">
        <v>1266</v>
      </c>
      <c r="O240" s="1"/>
      <c r="P240" s="1"/>
      <c r="Q240" s="1"/>
      <c r="R240" s="11"/>
      <c r="S240" s="11"/>
      <c r="T240" s="11"/>
    </row>
    <row r="241" spans="1:20" s="12" customFormat="1" ht="70.5">
      <c r="A241" s="54" t="str">
        <f>IFERROR(VLOOKUP(D241,'Master sheet (Clientes)'!A$6:D$747,2,0)," ")</f>
        <v>PA</v>
      </c>
      <c r="B241" s="54" t="str">
        <f>IFERROR(VLOOKUP(D241,'Master sheet (Clientes)'!A$6:D$747,3,0)," ")</f>
        <v>Post Brothers</v>
      </c>
      <c r="C241" s="54" t="str">
        <f>IFERROR(VLOOKUP(D241,'Master sheet (Clientes)'!A$6:D$747,4,0)," ")</f>
        <v>A-V</v>
      </c>
      <c r="D241" s="54" t="s">
        <v>622</v>
      </c>
      <c r="E241" s="54"/>
      <c r="F241" s="54"/>
      <c r="G241" s="54"/>
      <c r="H241" s="54" t="s">
        <v>983</v>
      </c>
      <c r="I241" s="54" t="s">
        <v>984</v>
      </c>
      <c r="J241" s="54" t="s">
        <v>48</v>
      </c>
      <c r="K241" s="54"/>
      <c r="L241" s="54"/>
      <c r="M241" s="54" t="s">
        <v>985</v>
      </c>
      <c r="N241" s="54" t="s">
        <v>1266</v>
      </c>
      <c r="O241" s="1"/>
      <c r="P241" s="1"/>
      <c r="Q241" s="1"/>
      <c r="R241" s="11"/>
      <c r="S241" s="11"/>
      <c r="T241" s="11"/>
    </row>
    <row r="242" spans="1:20">
      <c r="A242" s="1"/>
      <c r="B242" s="1"/>
      <c r="C242" s="1"/>
      <c r="D242" s="1"/>
      <c r="E242" s="1"/>
      <c r="F242" s="1"/>
      <c r="G242" s="1"/>
      <c r="H242" s="1"/>
      <c r="I242" s="1"/>
      <c r="J242" s="1"/>
      <c r="K242" s="1"/>
      <c r="L242" s="1"/>
      <c r="M242" s="1"/>
      <c r="N242" s="1"/>
    </row>
    <row r="243" spans="1:20" s="1" customFormat="1" ht="47">
      <c r="A243" s="4" t="s">
        <v>8</v>
      </c>
      <c r="B243" s="4" t="s">
        <v>9</v>
      </c>
      <c r="C243" s="4" t="s">
        <v>10</v>
      </c>
      <c r="D243" s="4" t="s">
        <v>11</v>
      </c>
      <c r="E243" s="4" t="s">
        <v>12</v>
      </c>
      <c r="F243" s="4" t="s">
        <v>13</v>
      </c>
      <c r="G243" s="38" t="s">
        <v>14</v>
      </c>
      <c r="H243" s="4" t="s">
        <v>15</v>
      </c>
      <c r="I243" s="38" t="s">
        <v>16</v>
      </c>
      <c r="J243" s="38" t="s">
        <v>17</v>
      </c>
      <c r="K243" s="38" t="s">
        <v>18</v>
      </c>
      <c r="L243" s="38" t="s">
        <v>19</v>
      </c>
      <c r="M243" s="38" t="s">
        <v>20</v>
      </c>
      <c r="N243" s="38" t="s">
        <v>21</v>
      </c>
    </row>
    <row r="244" spans="1:20" s="12" customFormat="1" ht="117.5">
      <c r="A244" s="54" t="str">
        <f>IFERROR(VLOOKUP(D244,'Master sheet (Clientes)'!A$6:D$747,2,0)," ")</f>
        <v>PA</v>
      </c>
      <c r="B244" s="54" t="str">
        <f>IFERROR(VLOOKUP(D244,'Master sheet (Clientes)'!A$6:D$747,3,0)," ")</f>
        <v xml:space="preserve">KRE Group Management </v>
      </c>
      <c r="C244" s="54" t="str">
        <f>IFERROR(VLOOKUP(D244,'Master sheet (Clientes)'!A$6:D$747,4,0)," ")</f>
        <v>A-V</v>
      </c>
      <c r="D244" s="54" t="s">
        <v>389</v>
      </c>
      <c r="E244" s="54"/>
      <c r="F244" s="54"/>
      <c r="G244" s="54"/>
      <c r="H244" s="54" t="s">
        <v>1024</v>
      </c>
      <c r="I244" s="54" t="s">
        <v>1025</v>
      </c>
      <c r="J244" s="54" t="s">
        <v>48</v>
      </c>
      <c r="K244" s="54"/>
      <c r="L244" s="54"/>
      <c r="M244" s="54" t="s">
        <v>1026</v>
      </c>
      <c r="N244" s="54" t="s">
        <v>1266</v>
      </c>
      <c r="O244" s="1"/>
      <c r="P244" s="1"/>
      <c r="Q244" s="1"/>
      <c r="R244" s="11"/>
      <c r="S244" s="11"/>
      <c r="T244" s="11"/>
    </row>
    <row r="245" spans="1:20" s="12" customFormat="1" ht="117.5">
      <c r="A245" s="54" t="str">
        <f>IFERROR(VLOOKUP(D245,'Master sheet (Clientes)'!A$6:D$747,2,0)," ")</f>
        <v>PA</v>
      </c>
      <c r="B245" s="54" t="str">
        <f>IFERROR(VLOOKUP(D245,'Master sheet (Clientes)'!A$6:D$747,3,0)," ")</f>
        <v xml:space="preserve">KRE Group Management </v>
      </c>
      <c r="C245" s="54" t="str">
        <f>IFERROR(VLOOKUP(D245,'Master sheet (Clientes)'!A$6:D$747,4,0)," ")</f>
        <v>A-V</v>
      </c>
      <c r="D245" s="54" t="s">
        <v>388</v>
      </c>
      <c r="E245" s="54"/>
      <c r="F245" s="54"/>
      <c r="G245" s="54"/>
      <c r="H245" s="54" t="s">
        <v>1027</v>
      </c>
      <c r="I245" s="54" t="s">
        <v>1028</v>
      </c>
      <c r="J245" s="54" t="s">
        <v>48</v>
      </c>
      <c r="K245" s="54"/>
      <c r="L245" s="54"/>
      <c r="M245" s="54" t="s">
        <v>1029</v>
      </c>
      <c r="N245" s="54" t="s">
        <v>1266</v>
      </c>
      <c r="O245" s="1"/>
      <c r="P245" s="1"/>
      <c r="Q245" s="1"/>
      <c r="R245" s="11"/>
      <c r="S245" s="11"/>
      <c r="T245" s="11"/>
    </row>
    <row r="246" spans="1:20">
      <c r="A246" s="1"/>
      <c r="B246" s="1"/>
      <c r="C246" s="1"/>
      <c r="D246" s="1"/>
      <c r="E246" s="1"/>
      <c r="F246" s="1"/>
      <c r="G246" s="1"/>
      <c r="H246" s="1"/>
      <c r="I246" s="1"/>
      <c r="J246" s="1"/>
      <c r="K246" s="1"/>
      <c r="L246" s="1"/>
      <c r="M246" s="1"/>
      <c r="N246" s="1"/>
    </row>
    <row r="247" spans="1:20" s="1" customFormat="1" ht="47">
      <c r="A247" s="4" t="s">
        <v>8</v>
      </c>
      <c r="B247" s="4" t="s">
        <v>9</v>
      </c>
      <c r="C247" s="4" t="s">
        <v>10</v>
      </c>
      <c r="D247" s="4" t="s">
        <v>11</v>
      </c>
      <c r="E247" s="4" t="s">
        <v>12</v>
      </c>
      <c r="F247" s="4" t="s">
        <v>13</v>
      </c>
      <c r="G247" s="38" t="s">
        <v>14</v>
      </c>
      <c r="H247" s="4" t="s">
        <v>15</v>
      </c>
      <c r="I247" s="38" t="s">
        <v>16</v>
      </c>
      <c r="J247" s="38" t="s">
        <v>17</v>
      </c>
      <c r="K247" s="38" t="s">
        <v>18</v>
      </c>
      <c r="L247" s="38" t="s">
        <v>19</v>
      </c>
      <c r="M247" s="38" t="s">
        <v>20</v>
      </c>
      <c r="N247" s="38" t="s">
        <v>21</v>
      </c>
    </row>
    <row r="248" spans="1:20" s="111" customFormat="1" ht="70.5">
      <c r="A248" s="92" t="str">
        <f>IFERROR(VLOOKUP(D248,'Master sheet (Clientes)'!A$6:D$747,2,0)," ")</f>
        <v>PA</v>
      </c>
      <c r="B248" s="92" t="str">
        <f>IFERROR(VLOOKUP(D248,'Master sheet (Clientes)'!A$6:D$747,3,0)," ")</f>
        <v>Post Brothers</v>
      </c>
      <c r="C248" s="92" t="str">
        <f>IFERROR(VLOOKUP(D248,'Master sheet (Clientes)'!A$6:D$747,4,0)," ")</f>
        <v>A-V</v>
      </c>
      <c r="D248" s="92" t="s">
        <v>622</v>
      </c>
      <c r="E248" s="92"/>
      <c r="F248" s="92"/>
      <c r="G248" s="92"/>
      <c r="H248" s="92" t="s">
        <v>1326</v>
      </c>
      <c r="I248" s="92" t="s">
        <v>1327</v>
      </c>
      <c r="J248" s="92" t="s">
        <v>48</v>
      </c>
      <c r="K248" s="92"/>
      <c r="L248" s="92"/>
      <c r="M248" s="92" t="s">
        <v>1432</v>
      </c>
      <c r="N248" s="92" t="s">
        <v>1392</v>
      </c>
      <c r="O248" s="93"/>
      <c r="P248" s="93"/>
      <c r="Q248" s="93"/>
      <c r="R248" s="110"/>
      <c r="S248" s="110"/>
      <c r="T248" s="110"/>
    </row>
    <row r="249" spans="1:20">
      <c r="A249" s="1"/>
      <c r="B249" s="1"/>
      <c r="C249" s="1"/>
      <c r="D249" s="1"/>
      <c r="E249" s="1"/>
      <c r="F249" s="1"/>
      <c r="G249" s="1"/>
      <c r="H249" s="1"/>
      <c r="I249" s="1"/>
      <c r="J249" s="1"/>
      <c r="K249" s="1"/>
      <c r="L249" s="1"/>
      <c r="M249" s="1"/>
      <c r="N249" s="1"/>
    </row>
    <row r="250" spans="1:20" s="1" customFormat="1" ht="47">
      <c r="A250" s="4" t="s">
        <v>8</v>
      </c>
      <c r="B250" s="4" t="s">
        <v>9</v>
      </c>
      <c r="C250" s="4" t="s">
        <v>10</v>
      </c>
      <c r="D250" s="4" t="s">
        <v>11</v>
      </c>
      <c r="E250" s="4" t="s">
        <v>12</v>
      </c>
      <c r="F250" s="4" t="s">
        <v>13</v>
      </c>
      <c r="G250" s="38" t="s">
        <v>14</v>
      </c>
      <c r="H250" s="4" t="s">
        <v>15</v>
      </c>
      <c r="I250" s="38" t="s">
        <v>16</v>
      </c>
      <c r="J250" s="38" t="s">
        <v>17</v>
      </c>
      <c r="K250" s="38" t="s">
        <v>18</v>
      </c>
      <c r="L250" s="38" t="s">
        <v>19</v>
      </c>
      <c r="M250" s="38" t="s">
        <v>20</v>
      </c>
      <c r="N250" s="38" t="s">
        <v>21</v>
      </c>
    </row>
    <row r="251" spans="1:20" s="12" customFormat="1" ht="70.5">
      <c r="A251" s="54" t="str">
        <f>IFERROR(VLOOKUP(D251,'Master sheet (Clientes)'!A$6:D$747,2,0)," ")</f>
        <v>PA</v>
      </c>
      <c r="B251" s="54" t="str">
        <f>IFERROR(VLOOKUP(D251,'Master sheet (Clientes)'!A$6:D$747,3,0)," ")</f>
        <v>Post Brothers</v>
      </c>
      <c r="C251" s="54" t="str">
        <f>IFERROR(VLOOKUP(D251,'Master sheet (Clientes)'!A$6:D$747,4,0)," ")</f>
        <v>A-V</v>
      </c>
      <c r="D251" s="54" t="s">
        <v>618</v>
      </c>
      <c r="E251" s="54">
        <v>659</v>
      </c>
      <c r="F251" s="54" t="s">
        <v>874</v>
      </c>
      <c r="G251" s="54" t="s">
        <v>46</v>
      </c>
      <c r="H251" s="54" t="s">
        <v>1354</v>
      </c>
      <c r="I251" s="54" t="s">
        <v>1355</v>
      </c>
      <c r="J251" s="54" t="s">
        <v>48</v>
      </c>
      <c r="K251" s="54"/>
      <c r="L251" s="54"/>
      <c r="M251" s="54"/>
      <c r="N251" s="54" t="s">
        <v>1268</v>
      </c>
      <c r="O251" s="1"/>
      <c r="P251" s="1"/>
      <c r="Q251" s="1"/>
      <c r="R251" s="11"/>
      <c r="S251" s="11"/>
      <c r="T251" s="11"/>
    </row>
    <row r="252" spans="1:20">
      <c r="A252" s="1"/>
      <c r="B252" s="1"/>
      <c r="C252" s="1"/>
      <c r="D252" s="1"/>
      <c r="E252" s="1"/>
      <c r="F252" s="1"/>
      <c r="G252" s="1"/>
      <c r="H252" s="1"/>
      <c r="I252" s="1"/>
      <c r="J252" s="1"/>
      <c r="K252" s="1"/>
      <c r="L252" s="1"/>
      <c r="M252" s="1"/>
      <c r="N252" s="1"/>
    </row>
    <row r="253" spans="1:20" s="1" customFormat="1" ht="47">
      <c r="A253" s="4" t="s">
        <v>8</v>
      </c>
      <c r="B253" s="4" t="s">
        <v>9</v>
      </c>
      <c r="C253" s="4" t="s">
        <v>10</v>
      </c>
      <c r="D253" s="4" t="s">
        <v>11</v>
      </c>
      <c r="E253" s="4" t="s">
        <v>12</v>
      </c>
      <c r="F253" s="4" t="s">
        <v>13</v>
      </c>
      <c r="G253" s="38" t="s">
        <v>14</v>
      </c>
      <c r="H253" s="4" t="s">
        <v>15</v>
      </c>
      <c r="I253" s="38" t="s">
        <v>16</v>
      </c>
      <c r="J253" s="38" t="s">
        <v>17</v>
      </c>
      <c r="K253" s="38" t="s">
        <v>18</v>
      </c>
      <c r="L253" s="38" t="s">
        <v>19</v>
      </c>
      <c r="M253" s="38" t="s">
        <v>20</v>
      </c>
      <c r="N253" s="38" t="s">
        <v>21</v>
      </c>
    </row>
    <row r="254" spans="1:20" s="12" customFormat="1" ht="70.5">
      <c r="A254" s="54" t="str">
        <f>IFERROR(VLOOKUP(D254,'Master sheet (Clientes)'!A$6:D$747,2,0)," ")</f>
        <v>NJ</v>
      </c>
      <c r="B254" s="54" t="str">
        <f>IFERROR(VLOOKUP(D254,'Master sheet (Clientes)'!A$6:D$747,3,0)," ")</f>
        <v>Bozzuto</v>
      </c>
      <c r="C254" s="54" t="str">
        <f>IFERROR(VLOOKUP(D254,'Master sheet (Clientes)'!A$6:D$747,4,0)," ")</f>
        <v>N-O</v>
      </c>
      <c r="D254" s="54" t="s">
        <v>181</v>
      </c>
      <c r="E254" s="54">
        <v>216</v>
      </c>
      <c r="F254" s="54"/>
      <c r="G254" s="54"/>
      <c r="H254" s="54" t="s">
        <v>1426</v>
      </c>
      <c r="I254" s="54" t="s">
        <v>1638</v>
      </c>
      <c r="J254" s="54" t="s">
        <v>48</v>
      </c>
      <c r="K254" s="54"/>
      <c r="L254" s="54"/>
      <c r="M254" s="54" t="s">
        <v>1639</v>
      </c>
      <c r="N254" s="54" t="s">
        <v>1268</v>
      </c>
      <c r="O254" s="1"/>
      <c r="P254" s="1"/>
      <c r="Q254" s="1"/>
      <c r="R254" s="11"/>
      <c r="S254" s="11"/>
      <c r="T254" s="11"/>
    </row>
    <row r="255" spans="1:20">
      <c r="A255" s="1"/>
      <c r="B255" s="1"/>
      <c r="C255" s="1"/>
      <c r="D255" s="1"/>
      <c r="E255" s="1"/>
      <c r="F255" s="1"/>
      <c r="G255" s="1"/>
      <c r="H255" s="1"/>
      <c r="I255" s="1"/>
      <c r="J255" s="1"/>
      <c r="K255" s="1"/>
      <c r="L255" s="1"/>
      <c r="M255" s="1"/>
      <c r="N255" s="1"/>
    </row>
    <row r="256" spans="1:20" s="1" customFormat="1" ht="47">
      <c r="A256" s="4" t="s">
        <v>8</v>
      </c>
      <c r="B256" s="4" t="s">
        <v>9</v>
      </c>
      <c r="C256" s="4" t="s">
        <v>10</v>
      </c>
      <c r="D256" s="4" t="s">
        <v>11</v>
      </c>
      <c r="E256" s="4" t="s">
        <v>12</v>
      </c>
      <c r="F256" s="4" t="s">
        <v>13</v>
      </c>
      <c r="G256" s="38" t="s">
        <v>14</v>
      </c>
      <c r="H256" s="4" t="s">
        <v>15</v>
      </c>
      <c r="I256" s="38" t="s">
        <v>16</v>
      </c>
      <c r="J256" s="38" t="s">
        <v>17</v>
      </c>
      <c r="K256" s="38" t="s">
        <v>18</v>
      </c>
      <c r="L256" s="38" t="s">
        <v>19</v>
      </c>
      <c r="M256" s="38" t="s">
        <v>20</v>
      </c>
      <c r="N256" s="38" t="s">
        <v>21</v>
      </c>
    </row>
    <row r="257" spans="1:20" s="12" customFormat="1" ht="70.5">
      <c r="A257" s="54" t="str">
        <f>IFERROR(VLOOKUP(D257,'Master sheet (Clientes)'!A$6:D$747,2,0)," ")</f>
        <v>PA</v>
      </c>
      <c r="B257" s="54" t="str">
        <f>IFERROR(VLOOKUP(D257,'Master sheet (Clientes)'!A$6:D$747,3,0)," ")</f>
        <v>Bozzuto</v>
      </c>
      <c r="C257" s="54" t="str">
        <f>IFERROR(VLOOKUP(D257,'Master sheet (Clientes)'!A$6:D$747,4,0)," ")</f>
        <v>N-O</v>
      </c>
      <c r="D257" s="54" t="s">
        <v>149</v>
      </c>
      <c r="E257" s="54">
        <v>429</v>
      </c>
      <c r="F257" s="54"/>
      <c r="G257" s="54" t="s">
        <v>917</v>
      </c>
      <c r="H257" s="54" t="s">
        <v>1244</v>
      </c>
      <c r="I257" s="54" t="s">
        <v>909</v>
      </c>
      <c r="J257" s="54" t="s">
        <v>855</v>
      </c>
      <c r="K257" s="54"/>
      <c r="L257" s="54"/>
      <c r="M257" s="54"/>
      <c r="N257" s="54" t="s">
        <v>1268</v>
      </c>
      <c r="O257" s="1"/>
      <c r="P257" s="1"/>
      <c r="Q257" s="1"/>
      <c r="R257" s="11"/>
      <c r="S257" s="11"/>
      <c r="T257" s="11"/>
    </row>
    <row r="258" spans="1:20">
      <c r="A258" s="1"/>
      <c r="B258" s="1"/>
      <c r="C258" s="1"/>
      <c r="D258" s="1"/>
      <c r="E258" s="1"/>
      <c r="F258" s="1"/>
      <c r="G258" s="1"/>
      <c r="H258" s="1"/>
      <c r="I258" s="1"/>
      <c r="K258" s="1"/>
      <c r="L258" s="1"/>
      <c r="M258" s="1"/>
      <c r="N258" s="1"/>
    </row>
    <row r="259" spans="1:20">
      <c r="A259" s="1"/>
      <c r="B259" s="1"/>
      <c r="C259" s="1"/>
      <c r="D259" s="1"/>
      <c r="E259" s="1"/>
      <c r="F259" s="1"/>
      <c r="G259" s="1"/>
      <c r="H259" s="1"/>
      <c r="I259" s="1"/>
      <c r="K259" s="1"/>
      <c r="L259" s="1"/>
      <c r="M259" s="1"/>
      <c r="N259" s="1"/>
    </row>
    <row r="260" spans="1:20" s="5" customFormat="1">
      <c r="A260" s="135"/>
      <c r="B260" s="135"/>
      <c r="C260" s="135"/>
      <c r="D260" s="30" t="s">
        <v>37</v>
      </c>
      <c r="E260" s="30"/>
      <c r="F260" s="30"/>
      <c r="G260" s="30"/>
      <c r="H260" s="2"/>
      <c r="I260" s="3"/>
      <c r="J260" s="3"/>
      <c r="K260" s="2"/>
      <c r="L260" s="2"/>
      <c r="M260" s="3"/>
      <c r="N260" s="7"/>
      <c r="O260" s="35"/>
      <c r="P260" s="35"/>
      <c r="Q260" s="35"/>
    </row>
    <row r="261" spans="1:20" s="5" customFormat="1">
      <c r="A261" s="136"/>
      <c r="B261" s="136"/>
      <c r="C261" s="136"/>
      <c r="D261" s="137" t="s">
        <v>38</v>
      </c>
      <c r="E261" s="137"/>
      <c r="F261" s="137"/>
      <c r="G261" s="2"/>
      <c r="H261" s="2"/>
      <c r="I261" s="3"/>
      <c r="J261" s="3"/>
      <c r="K261" s="2"/>
      <c r="L261" s="2"/>
      <c r="M261" s="3"/>
      <c r="N261" s="7"/>
      <c r="O261" s="35"/>
      <c r="P261" s="35"/>
      <c r="Q261" s="35"/>
    </row>
    <row r="262" spans="1:20" s="5" customFormat="1">
      <c r="A262" s="138"/>
      <c r="B262" s="138"/>
      <c r="C262" s="138"/>
      <c r="D262" s="139" t="s">
        <v>39</v>
      </c>
      <c r="E262" s="139"/>
      <c r="F262" s="139"/>
      <c r="G262" s="2"/>
      <c r="H262" s="2"/>
      <c r="I262" s="3"/>
      <c r="J262" s="3"/>
      <c r="K262" s="2"/>
      <c r="L262" s="2"/>
      <c r="M262" s="3"/>
      <c r="N262" s="7"/>
      <c r="O262" s="35"/>
      <c r="P262" s="35"/>
      <c r="Q262" s="35"/>
    </row>
    <row r="263" spans="1:20" s="5" customFormat="1">
      <c r="A263" s="132"/>
      <c r="B263" s="132"/>
      <c r="C263" s="132"/>
      <c r="D263" s="133" t="s">
        <v>40</v>
      </c>
      <c r="E263" s="133"/>
      <c r="F263" s="133"/>
      <c r="G263" s="2"/>
      <c r="H263" s="2"/>
      <c r="I263" s="3"/>
      <c r="J263" s="3"/>
      <c r="K263" s="2"/>
      <c r="L263" s="2"/>
      <c r="M263" s="3"/>
      <c r="N263" s="7"/>
      <c r="O263" s="35"/>
      <c r="P263" s="35"/>
      <c r="Q263" s="35"/>
    </row>
    <row r="264" spans="1:20" s="5" customFormat="1">
      <c r="A264" s="134"/>
      <c r="B264" s="134"/>
      <c r="C264" s="134"/>
      <c r="D264" s="28" t="s">
        <v>41</v>
      </c>
      <c r="E264" s="29"/>
      <c r="F264" s="29"/>
      <c r="G264" s="30"/>
      <c r="H264" s="2"/>
      <c r="I264" s="3"/>
      <c r="J264" s="3"/>
      <c r="K264" s="2"/>
      <c r="L264" s="2"/>
      <c r="M264" s="3"/>
      <c r="N264" s="7"/>
      <c r="O264" s="35"/>
      <c r="P264" s="35"/>
      <c r="Q264" s="35"/>
    </row>
    <row r="265" spans="1:20">
      <c r="C265" s="30"/>
      <c r="D265" s="30"/>
      <c r="E265" s="30"/>
      <c r="F265" s="30"/>
      <c r="G265" s="30"/>
      <c r="H265" s="30"/>
    </row>
    <row r="266" spans="1:20">
      <c r="C266" s="28"/>
      <c r="E266" s="28"/>
      <c r="F266" s="29"/>
      <c r="G266" s="29"/>
      <c r="H266" s="30"/>
    </row>
  </sheetData>
  <mergeCells count="32">
    <mergeCell ref="A263:C263"/>
    <mergeCell ref="D263:F263"/>
    <mergeCell ref="A264:C264"/>
    <mergeCell ref="A260:C260"/>
    <mergeCell ref="A261:C261"/>
    <mergeCell ref="D261:F261"/>
    <mergeCell ref="A262:C262"/>
    <mergeCell ref="D262:F262"/>
    <mergeCell ref="D138:L138"/>
    <mergeCell ref="D139:L139"/>
    <mergeCell ref="D184:L184"/>
    <mergeCell ref="D185:L185"/>
    <mergeCell ref="D222:L222"/>
    <mergeCell ref="D42:L42"/>
    <mergeCell ref="D82:L82"/>
    <mergeCell ref="D83:L83"/>
    <mergeCell ref="A1:M1"/>
    <mergeCell ref="A3:L3"/>
    <mergeCell ref="A4:L4"/>
    <mergeCell ref="A5:L5"/>
    <mergeCell ref="A6:L6"/>
    <mergeCell ref="D41:L41"/>
    <mergeCell ref="A8:L8"/>
    <mergeCell ref="D9:L9"/>
    <mergeCell ref="D11:L11"/>
    <mergeCell ref="D12:L12"/>
    <mergeCell ref="D231:I231"/>
    <mergeCell ref="D224:L224"/>
    <mergeCell ref="D226:L226"/>
    <mergeCell ref="D227:L227"/>
    <mergeCell ref="D229:L229"/>
    <mergeCell ref="D230:I230"/>
  </mergeCells>
  <phoneticPr fontId="12" type="noConversion"/>
  <pageMargins left="0.25" right="0.25" top="0.75" bottom="0.75" header="0.3" footer="0.3"/>
  <pageSetup scale="29" fitToHeight="0" orientation="landscape" r:id="rId1"/>
  <rowBreaks count="11" manualBreakCount="11">
    <brk id="26" max="16383" man="1"/>
    <brk id="39" max="16383" man="1"/>
    <brk id="63" max="16383" man="1"/>
    <brk id="80" max="12" man="1"/>
    <brk id="109" max="12" man="1"/>
    <brk id="136" max="16383" man="1"/>
    <brk id="167" max="12" man="1"/>
    <brk id="182" max="12" man="1"/>
    <brk id="208" max="16383" man="1"/>
    <brk id="220" max="16383" man="1"/>
    <brk id="257"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79E48EF8-2510-D744-B3FB-F557AA569112}">
          <x14:formula1>
            <xm:f>'Master sheet (Clientes)'!$A$6:$A$654</xm:f>
          </x14:formula1>
          <xm:sqref>D257 D166:D179 D215:D217 D245 D157:D158 D254 D55:D63 D220 D78:D80 D112 D251 D101:D109 D86 D93 D88:D91 D96:D98 D35:D37 D16:D23 D46:D47 D75 D66:D71 D148 D50:D52 D115:D119 D200:D201 D190:D197 D161:D163 D136 D182 D248 D235:D237 D208 D142:D145 D151:D154 D205 D129:D133 D29:D32 D211:D213 D122:D126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8730-F13E-1048-A0A5-5A22FE411342}">
  <sheetPr>
    <pageSetUpPr fitToPage="1"/>
  </sheetPr>
  <dimension ref="A1:T263"/>
  <sheetViews>
    <sheetView topLeftCell="H21" zoomScale="50" zoomScaleNormal="50" zoomScaleSheetLayoutView="18" workbookViewId="0">
      <selection activeCell="N23" sqref="N23"/>
    </sheetView>
  </sheetViews>
  <sheetFormatPr baseColWidth="10" defaultColWidth="10.83203125" defaultRowHeight="23.5"/>
  <cols>
    <col min="1" max="1" width="8" style="2" customWidth="1"/>
    <col min="2" max="2" width="27.33203125" style="2" customWidth="1"/>
    <col min="3" max="3" width="9.5" style="2" customWidth="1"/>
    <col min="4" max="4" width="43.83203125" style="2" customWidth="1"/>
    <col min="5" max="7" width="18.83203125" style="2" customWidth="1"/>
    <col min="8" max="8" width="153.33203125" style="2" customWidth="1"/>
    <col min="9" max="9" width="40.83203125" style="2" customWidth="1"/>
    <col min="10" max="10" width="24.5" style="3" bestFit="1" customWidth="1"/>
    <col min="11" max="11" width="23.1640625" style="3" customWidth="1"/>
    <col min="12" max="12" width="25.83203125" style="3" customWidth="1"/>
    <col min="13" max="13" width="40.83203125" style="2" customWidth="1"/>
    <col min="14" max="14" width="22.83203125" style="3" customWidth="1"/>
    <col min="15" max="17" width="27.1640625" style="1" customWidth="1"/>
    <col min="18" max="16384" width="10.83203125" style="2"/>
  </cols>
  <sheetData>
    <row r="1" spans="1:20" s="1" customFormat="1" ht="36">
      <c r="A1" s="129" t="s">
        <v>49</v>
      </c>
      <c r="B1" s="129"/>
      <c r="C1" s="129"/>
      <c r="D1" s="129"/>
      <c r="E1" s="129"/>
      <c r="F1" s="129"/>
      <c r="G1" s="129"/>
      <c r="H1" s="129"/>
      <c r="I1" s="129"/>
      <c r="J1" s="129"/>
      <c r="K1" s="129"/>
      <c r="L1" s="129"/>
      <c r="M1" s="129"/>
      <c r="N1" s="32"/>
    </row>
    <row r="2" spans="1:20" s="1" customFormat="1"/>
    <row r="3" spans="1:20" s="1" customFormat="1" ht="26">
      <c r="A3" s="125" t="s">
        <v>1</v>
      </c>
      <c r="B3" s="125"/>
      <c r="C3" s="125"/>
      <c r="D3" s="125"/>
      <c r="E3" s="125"/>
      <c r="F3" s="125"/>
      <c r="G3" s="125"/>
      <c r="H3" s="125"/>
      <c r="I3" s="125"/>
      <c r="J3" s="125"/>
      <c r="K3" s="125"/>
      <c r="L3" s="125"/>
      <c r="M3" s="15"/>
      <c r="N3" s="15"/>
    </row>
    <row r="4" spans="1:20" s="1" customFormat="1" ht="26">
      <c r="A4" s="130" t="s">
        <v>2</v>
      </c>
      <c r="B4" s="130"/>
      <c r="C4" s="130"/>
      <c r="D4" s="125"/>
      <c r="E4" s="125"/>
      <c r="F4" s="125"/>
      <c r="G4" s="125"/>
      <c r="H4" s="125"/>
      <c r="I4" s="125"/>
      <c r="J4" s="125"/>
      <c r="K4" s="125"/>
      <c r="L4" s="125"/>
      <c r="M4" s="15"/>
      <c r="N4" s="15"/>
    </row>
    <row r="5" spans="1:20" s="1" customFormat="1" ht="26">
      <c r="A5" s="130" t="s">
        <v>3</v>
      </c>
      <c r="B5" s="130"/>
      <c r="C5" s="130"/>
      <c r="D5" s="125"/>
      <c r="E5" s="125"/>
      <c r="F5" s="125"/>
      <c r="G5" s="125"/>
      <c r="H5" s="125"/>
      <c r="I5" s="125"/>
      <c r="J5" s="125"/>
      <c r="K5" s="125"/>
      <c r="L5" s="125"/>
      <c r="M5" s="15"/>
      <c r="N5" s="15"/>
    </row>
    <row r="6" spans="1:20" s="1" customFormat="1" ht="26">
      <c r="A6" s="125" t="s">
        <v>4</v>
      </c>
      <c r="B6" s="125"/>
      <c r="C6" s="125"/>
      <c r="D6" s="125"/>
      <c r="E6" s="125"/>
      <c r="F6" s="125"/>
      <c r="G6" s="125"/>
      <c r="H6" s="125"/>
      <c r="I6" s="125"/>
      <c r="J6" s="125"/>
      <c r="K6" s="125"/>
      <c r="L6" s="125"/>
      <c r="M6" s="15"/>
      <c r="N6" s="15"/>
    </row>
    <row r="7" spans="1:20" s="1" customFormat="1" ht="26">
      <c r="A7" s="19"/>
      <c r="B7" s="19"/>
      <c r="C7" s="17"/>
      <c r="D7" s="17"/>
      <c r="E7" s="17"/>
      <c r="F7" s="17"/>
      <c r="G7" s="17"/>
      <c r="H7" s="17"/>
      <c r="I7" s="17"/>
      <c r="J7" s="17"/>
      <c r="K7" s="17"/>
      <c r="L7" s="17"/>
      <c r="M7" s="15"/>
      <c r="N7" s="15"/>
    </row>
    <row r="8" spans="1:20" s="1" customFormat="1" ht="26">
      <c r="A8" s="125"/>
      <c r="B8" s="125"/>
      <c r="C8" s="125"/>
      <c r="D8" s="125"/>
      <c r="E8" s="125"/>
      <c r="F8" s="125"/>
      <c r="G8" s="125"/>
      <c r="H8" s="125"/>
      <c r="I8" s="125"/>
      <c r="J8" s="125"/>
      <c r="K8" s="125"/>
      <c r="L8" s="125"/>
      <c r="M8" s="15"/>
      <c r="N8" s="15"/>
    </row>
    <row r="9" spans="1:20" ht="28.5">
      <c r="A9" s="34"/>
      <c r="B9" s="34"/>
      <c r="C9" s="34"/>
      <c r="D9" s="126" t="s">
        <v>5</v>
      </c>
      <c r="E9" s="126"/>
      <c r="F9" s="126"/>
      <c r="G9" s="126"/>
      <c r="H9" s="126"/>
      <c r="I9" s="126"/>
      <c r="J9" s="126"/>
      <c r="K9" s="126"/>
      <c r="L9" s="126"/>
      <c r="M9" s="18"/>
      <c r="N9" s="18"/>
    </row>
    <row r="10" spans="1:20" s="5" customFormat="1">
      <c r="A10" s="3"/>
      <c r="B10" s="3"/>
      <c r="C10" s="3"/>
      <c r="D10" s="3"/>
      <c r="E10" s="3"/>
      <c r="F10" s="3"/>
      <c r="G10" s="3"/>
      <c r="H10" s="3"/>
      <c r="I10" s="3"/>
      <c r="J10" s="3"/>
      <c r="K10" s="1"/>
      <c r="L10" s="1"/>
      <c r="M10" s="1"/>
      <c r="N10" s="1"/>
      <c r="O10" s="35"/>
      <c r="P10" s="35"/>
      <c r="Q10" s="35"/>
    </row>
    <row r="11" spans="1:20" s="5" customFormat="1" ht="26">
      <c r="A11" s="33"/>
      <c r="B11" s="33"/>
      <c r="C11" s="33"/>
      <c r="D11" s="127" t="s">
        <v>6</v>
      </c>
      <c r="E11" s="127"/>
      <c r="F11" s="127"/>
      <c r="G11" s="127"/>
      <c r="H11" s="127"/>
      <c r="I11" s="127"/>
      <c r="J11" s="127"/>
      <c r="K11" s="127"/>
      <c r="L11" s="127"/>
      <c r="M11" s="16"/>
      <c r="N11" s="16"/>
      <c r="O11" s="35"/>
      <c r="P11" s="35"/>
      <c r="Q11" s="35"/>
    </row>
    <row r="12" spans="1:20" s="5" customFormat="1" ht="26">
      <c r="A12" s="43"/>
      <c r="B12" s="43"/>
      <c r="C12" s="43"/>
      <c r="D12" s="128" t="s">
        <v>7</v>
      </c>
      <c r="E12" s="128"/>
      <c r="F12" s="128"/>
      <c r="G12" s="128"/>
      <c r="H12" s="128"/>
      <c r="I12" s="128"/>
      <c r="J12" s="128"/>
      <c r="K12" s="128"/>
      <c r="L12" s="128"/>
      <c r="M12" s="44"/>
      <c r="N12" s="44"/>
      <c r="O12" s="35"/>
      <c r="P12" s="35"/>
      <c r="Q12" s="35"/>
    </row>
    <row r="13" spans="1:20" s="1" customFormat="1">
      <c r="A13" s="3"/>
      <c r="B13" s="3"/>
      <c r="C13" s="3"/>
      <c r="D13" s="3"/>
      <c r="E13" s="3"/>
      <c r="F13" s="3"/>
      <c r="G13" s="3"/>
      <c r="H13" s="3"/>
      <c r="I13" s="3"/>
      <c r="J13" s="3"/>
    </row>
    <row r="14" spans="1:20" s="1" customFormat="1" ht="47">
      <c r="A14" s="4" t="s">
        <v>8</v>
      </c>
      <c r="B14" s="4" t="s">
        <v>9</v>
      </c>
      <c r="C14" s="4" t="s">
        <v>10</v>
      </c>
      <c r="D14" s="4" t="s">
        <v>11</v>
      </c>
      <c r="E14" s="4" t="s">
        <v>12</v>
      </c>
      <c r="F14" s="4" t="s">
        <v>13</v>
      </c>
      <c r="G14" s="38" t="s">
        <v>14</v>
      </c>
      <c r="H14" s="4" t="s">
        <v>15</v>
      </c>
      <c r="I14" s="38" t="s">
        <v>16</v>
      </c>
      <c r="J14" s="38" t="s">
        <v>17</v>
      </c>
      <c r="K14" s="38" t="s">
        <v>18</v>
      </c>
      <c r="L14" s="38" t="s">
        <v>19</v>
      </c>
      <c r="M14" s="38" t="s">
        <v>20</v>
      </c>
      <c r="N14" s="38" t="s">
        <v>21</v>
      </c>
    </row>
    <row r="15" spans="1:20" s="117" customFormat="1" ht="68">
      <c r="A15" s="114" t="str">
        <f>IFERROR(VLOOKUP(D15,'Master sheet (Clientes)'!A$6:D$747,2,0)," ")</f>
        <v>NJ</v>
      </c>
      <c r="B15" s="114" t="str">
        <f>IFERROR(VLOOKUP(D15,'Master sheet (Clientes)'!A$6:D$747,3,0)," ")</f>
        <v>Vivmark Residential</v>
      </c>
      <c r="C15" s="114" t="str">
        <f>IFERROR(VLOOKUP(D15,'Master sheet (Clientes)'!A$6:D$747,4,0)," ")</f>
        <v>N-O</v>
      </c>
      <c r="D15" s="114" t="s">
        <v>78</v>
      </c>
      <c r="E15" s="114">
        <v>155</v>
      </c>
      <c r="F15" s="114"/>
      <c r="G15" s="114" t="s">
        <v>917</v>
      </c>
      <c r="H15" s="114" t="s">
        <v>1549</v>
      </c>
      <c r="I15" s="54" t="s">
        <v>1758</v>
      </c>
      <c r="J15" s="114" t="s">
        <v>48</v>
      </c>
      <c r="K15" s="114"/>
      <c r="L15" s="114"/>
      <c r="M15" s="114"/>
      <c r="N15" s="114" t="s">
        <v>1268</v>
      </c>
      <c r="O15" s="35"/>
      <c r="P15" s="35"/>
      <c r="Q15" s="35"/>
      <c r="R15" s="116"/>
      <c r="S15" s="116"/>
      <c r="T15" s="116"/>
    </row>
    <row r="16" spans="1:20" s="12" customFormat="1" ht="164.5">
      <c r="A16" s="54" t="str">
        <f>IFERROR(VLOOKUP(D16,'Master sheet (Clientes)'!A$6:D$747,2,0)," ")</f>
        <v>NJ</v>
      </c>
      <c r="B16" s="54" t="str">
        <f>IFERROR(VLOOKUP(D16,'Master sheet (Clientes)'!A$6:D$747,3,0)," ")</f>
        <v>Vivmark Residential</v>
      </c>
      <c r="C16" s="54" t="str">
        <f>IFERROR(VLOOKUP(D16,'Master sheet (Clientes)'!A$6:D$747,4,0)," ")</f>
        <v>N-O</v>
      </c>
      <c r="D16" s="54" t="s">
        <v>72</v>
      </c>
      <c r="E16" s="54">
        <v>426</v>
      </c>
      <c r="F16" s="54"/>
      <c r="G16" s="54" t="s">
        <v>837</v>
      </c>
      <c r="H16" s="54" t="s">
        <v>1550</v>
      </c>
      <c r="I16" s="54" t="s">
        <v>1409</v>
      </c>
      <c r="J16" s="54" t="s">
        <v>48</v>
      </c>
      <c r="K16" s="54"/>
      <c r="L16" s="54"/>
      <c r="M16" s="54"/>
      <c r="N16" s="54" t="s">
        <v>1269</v>
      </c>
      <c r="O16" s="1"/>
      <c r="P16" s="1"/>
      <c r="Q16" s="1"/>
      <c r="R16" s="11"/>
      <c r="S16" s="11"/>
      <c r="T16" s="11"/>
    </row>
    <row r="17" spans="1:20" s="12" customFormat="1" ht="70.5">
      <c r="A17" s="54" t="str">
        <f>IFERROR(VLOOKUP(D17,'Master sheet (Clientes)'!A$6:D$747,2,0)," ")</f>
        <v>NJ</v>
      </c>
      <c r="B17" s="54" t="str">
        <f>IFERROR(VLOOKUP(D17,'Master sheet (Clientes)'!A$6:D$747,3,0)," ")</f>
        <v>Vivmark Residential</v>
      </c>
      <c r="C17" s="54" t="str">
        <f>IFERROR(VLOOKUP(D17,'Master sheet (Clientes)'!A$6:D$747,4,0)," ")</f>
        <v>N-O</v>
      </c>
      <c r="D17" s="54" t="s">
        <v>78</v>
      </c>
      <c r="E17" s="54">
        <v>151</v>
      </c>
      <c r="F17" s="54"/>
      <c r="G17" s="54" t="s">
        <v>837</v>
      </c>
      <c r="H17" s="54" t="s">
        <v>1471</v>
      </c>
      <c r="I17" s="54" t="s">
        <v>1760</v>
      </c>
      <c r="J17" s="54" t="s">
        <v>48</v>
      </c>
      <c r="K17" s="54"/>
      <c r="L17" s="54"/>
      <c r="M17" s="54"/>
      <c r="N17" s="54" t="s">
        <v>1269</v>
      </c>
      <c r="O17" s="1"/>
      <c r="P17" s="1"/>
      <c r="Q17" s="1"/>
      <c r="R17" s="11"/>
      <c r="S17" s="11"/>
      <c r="T17" s="11"/>
    </row>
    <row r="18" spans="1:20" s="12" customFormat="1" ht="47">
      <c r="A18" s="54" t="str">
        <f>IFERROR(VLOOKUP(D18,'Master sheet (Clientes)'!A$6:D$747,2,0)," ")</f>
        <v>NJ</v>
      </c>
      <c r="B18" s="54" t="str">
        <f>IFERROR(VLOOKUP(D18,'Master sheet (Clientes)'!A$6:D$747,3,0)," ")</f>
        <v>Vivmark Residential</v>
      </c>
      <c r="C18" s="54" t="str">
        <f>IFERROR(VLOOKUP(D18,'Master sheet (Clientes)'!A$6:D$747,4,0)," ")</f>
        <v>N-O</v>
      </c>
      <c r="D18" s="54" t="s">
        <v>78</v>
      </c>
      <c r="E18" s="54">
        <v>116</v>
      </c>
      <c r="F18" s="54"/>
      <c r="G18" s="54" t="s">
        <v>853</v>
      </c>
      <c r="H18" s="54" t="s">
        <v>1703</v>
      </c>
      <c r="I18" s="54" t="s">
        <v>1759</v>
      </c>
      <c r="J18" s="54" t="s">
        <v>48</v>
      </c>
      <c r="K18" s="54"/>
      <c r="L18" s="54"/>
      <c r="M18" s="54"/>
      <c r="N18" s="54" t="s">
        <v>1268</v>
      </c>
      <c r="O18" s="1"/>
      <c r="P18" s="1"/>
      <c r="Q18" s="1"/>
      <c r="R18" s="11"/>
      <c r="S18" s="11"/>
      <c r="T18" s="11"/>
    </row>
    <row r="19" spans="1:20" s="12" customFormat="1" ht="47">
      <c r="A19" s="54" t="str">
        <f>IFERROR(VLOOKUP(D19,'Master sheet (Clientes)'!A$6:D$747,2,0)," ")</f>
        <v>NJ</v>
      </c>
      <c r="B19" s="54" t="str">
        <f>IFERROR(VLOOKUP(D19,'Master sheet (Clientes)'!A$6:D$747,3,0)," ")</f>
        <v>Vivmark Residential</v>
      </c>
      <c r="C19" s="54" t="str">
        <f>IFERROR(VLOOKUP(D19,'Master sheet (Clientes)'!A$6:D$747,4,0)," ")</f>
        <v>N-O</v>
      </c>
      <c r="D19" s="54" t="s">
        <v>72</v>
      </c>
      <c r="E19" s="54">
        <v>313</v>
      </c>
      <c r="F19" s="54" t="s">
        <v>854</v>
      </c>
      <c r="G19" s="54" t="s">
        <v>853</v>
      </c>
      <c r="H19" s="54" t="s">
        <v>1486</v>
      </c>
      <c r="I19" s="54" t="s">
        <v>1583</v>
      </c>
      <c r="J19" s="54" t="s">
        <v>48</v>
      </c>
      <c r="K19" s="54"/>
      <c r="L19" s="54"/>
      <c r="M19" s="54"/>
      <c r="N19" s="54" t="s">
        <v>1268</v>
      </c>
      <c r="O19" s="1"/>
      <c r="P19" s="1"/>
      <c r="Q19" s="1"/>
      <c r="R19" s="11"/>
      <c r="S19" s="11"/>
      <c r="T19" s="11"/>
    </row>
    <row r="20" spans="1:20" s="12" customFormat="1" ht="70.5">
      <c r="A20" s="54" t="str">
        <f>IFERROR(VLOOKUP(D20,'Master sheet (Clientes)'!A$6:D$747,2,0)," ")</f>
        <v>NJ</v>
      </c>
      <c r="B20" s="54" t="str">
        <f>IFERROR(VLOOKUP(D20,'Master sheet (Clientes)'!A$6:D$747,3,0)," ")</f>
        <v>Vivmark Residential</v>
      </c>
      <c r="C20" s="54" t="str">
        <f>IFERROR(VLOOKUP(D20,'Master sheet (Clientes)'!A$6:D$747,4,0)," ")</f>
        <v>N-O</v>
      </c>
      <c r="D20" s="54" t="s">
        <v>86</v>
      </c>
      <c r="E20" s="54">
        <v>420</v>
      </c>
      <c r="F20" s="54"/>
      <c r="G20" s="54" t="s">
        <v>837</v>
      </c>
      <c r="H20" s="54" t="s">
        <v>1757</v>
      </c>
      <c r="I20" s="54" t="s">
        <v>1145</v>
      </c>
      <c r="J20" s="54" t="s">
        <v>48</v>
      </c>
      <c r="K20" s="54"/>
      <c r="L20" s="54"/>
      <c r="M20" s="54"/>
      <c r="N20" s="54" t="s">
        <v>1269</v>
      </c>
      <c r="O20" s="1"/>
      <c r="P20" s="1"/>
      <c r="Q20" s="1"/>
      <c r="R20" s="11"/>
      <c r="S20" s="11"/>
      <c r="T20" s="11"/>
    </row>
    <row r="21" spans="1:20" s="1" customFormat="1">
      <c r="A21" s="3"/>
      <c r="B21" s="3"/>
      <c r="C21" s="3"/>
      <c r="D21" s="3"/>
      <c r="E21" s="3"/>
      <c r="F21" s="3"/>
      <c r="G21" s="3"/>
      <c r="H21" s="3"/>
      <c r="I21" s="3"/>
      <c r="J21" s="3"/>
    </row>
    <row r="22" spans="1:20" s="1" customFormat="1" ht="47">
      <c r="A22" s="4" t="s">
        <v>8</v>
      </c>
      <c r="B22" s="4" t="s">
        <v>9</v>
      </c>
      <c r="C22" s="4" t="s">
        <v>10</v>
      </c>
      <c r="D22" s="4" t="s">
        <v>11</v>
      </c>
      <c r="E22" s="4" t="s">
        <v>12</v>
      </c>
      <c r="F22" s="4" t="s">
        <v>13</v>
      </c>
      <c r="G22" s="38" t="s">
        <v>14</v>
      </c>
      <c r="H22" s="4" t="s">
        <v>15</v>
      </c>
      <c r="I22" s="38" t="s">
        <v>16</v>
      </c>
      <c r="J22" s="38" t="s">
        <v>17</v>
      </c>
      <c r="K22" s="38" t="s">
        <v>18</v>
      </c>
      <c r="L22" s="38" t="s">
        <v>19</v>
      </c>
      <c r="M22" s="38" t="s">
        <v>20</v>
      </c>
      <c r="N22" s="38" t="s">
        <v>21</v>
      </c>
    </row>
    <row r="23" spans="1:20" s="12" customFormat="1" ht="70.5">
      <c r="A23" s="54" t="str">
        <f>IFERROR(VLOOKUP(D23,'Master sheet (Clientes)'!A$6:D$747,2,0)," ")</f>
        <v>NJ</v>
      </c>
      <c r="B23" s="54" t="str">
        <f>IFERROR(VLOOKUP(D23,'Master sheet (Clientes)'!A$6:D$747,3,0)," ")</f>
        <v>Vivmark Residential</v>
      </c>
      <c r="C23" s="54" t="str">
        <f>IFERROR(VLOOKUP(D23,'Master sheet (Clientes)'!A$6:D$747,4,0)," ")</f>
        <v>N-O</v>
      </c>
      <c r="D23" s="54" t="s">
        <v>86</v>
      </c>
      <c r="E23" s="54">
        <v>520</v>
      </c>
      <c r="F23" s="54"/>
      <c r="G23" s="54" t="s">
        <v>837</v>
      </c>
      <c r="H23" s="54" t="s">
        <v>1766</v>
      </c>
      <c r="I23" s="54" t="s">
        <v>1767</v>
      </c>
      <c r="J23" s="54" t="s">
        <v>48</v>
      </c>
      <c r="K23" s="54"/>
      <c r="L23" s="54"/>
      <c r="M23" s="54" t="s">
        <v>1768</v>
      </c>
      <c r="N23" s="54" t="s">
        <v>1268</v>
      </c>
      <c r="O23" s="1"/>
      <c r="P23" s="1"/>
      <c r="Q23" s="1"/>
      <c r="R23" s="11"/>
      <c r="S23" s="11"/>
      <c r="T23" s="11"/>
    </row>
    <row r="24" spans="1:20" s="1" customFormat="1">
      <c r="A24" s="3"/>
      <c r="B24" s="3"/>
      <c r="C24" s="3"/>
      <c r="D24" s="3"/>
      <c r="E24" s="3"/>
      <c r="F24" s="3"/>
      <c r="G24" s="3"/>
      <c r="H24" s="3"/>
      <c r="I24" s="3"/>
      <c r="J24" s="3"/>
    </row>
    <row r="25" spans="1:20" s="1" customFormat="1" ht="47">
      <c r="A25" s="4" t="s">
        <v>8</v>
      </c>
      <c r="B25" s="4" t="s">
        <v>9</v>
      </c>
      <c r="C25" s="4" t="s">
        <v>10</v>
      </c>
      <c r="D25" s="4" t="s">
        <v>11</v>
      </c>
      <c r="E25" s="4" t="s">
        <v>12</v>
      </c>
      <c r="F25" s="4" t="s">
        <v>13</v>
      </c>
      <c r="G25" s="38" t="s">
        <v>14</v>
      </c>
      <c r="H25" s="4" t="s">
        <v>15</v>
      </c>
      <c r="I25" s="38" t="s">
        <v>16</v>
      </c>
      <c r="J25" s="38" t="s">
        <v>17</v>
      </c>
      <c r="K25" s="38" t="s">
        <v>18</v>
      </c>
      <c r="L25" s="38" t="s">
        <v>19</v>
      </c>
      <c r="M25" s="38" t="s">
        <v>20</v>
      </c>
      <c r="N25" s="38" t="s">
        <v>21</v>
      </c>
    </row>
    <row r="26" spans="1:20" s="12" customFormat="1" ht="70.5">
      <c r="A26" s="54" t="str">
        <f>IFERROR(VLOOKUP(D26,'Master sheet (Clientes)'!A$6:D$747,2,0)," ")</f>
        <v>NJ</v>
      </c>
      <c r="B26" s="54" t="str">
        <f>IFERROR(VLOOKUP(D26,'Master sheet (Clientes)'!A$6:D$747,3,0)," ")</f>
        <v>Vivmark Residential</v>
      </c>
      <c r="C26" s="54" t="str">
        <f>IFERROR(VLOOKUP(D26,'Master sheet (Clientes)'!A$6:D$747,4,0)," ")</f>
        <v>N-O</v>
      </c>
      <c r="D26" s="54" t="s">
        <v>89</v>
      </c>
      <c r="E26" s="54">
        <v>505</v>
      </c>
      <c r="F26" s="54"/>
      <c r="G26" s="54" t="s">
        <v>837</v>
      </c>
      <c r="H26" s="54" t="s">
        <v>1704</v>
      </c>
      <c r="I26" s="54" t="s">
        <v>1705</v>
      </c>
      <c r="J26" s="54" t="s">
        <v>48</v>
      </c>
      <c r="K26" s="54"/>
      <c r="L26" s="54"/>
      <c r="M26" s="54"/>
      <c r="N26" s="54" t="s">
        <v>1268</v>
      </c>
      <c r="O26" s="1"/>
      <c r="P26" s="1"/>
      <c r="Q26" s="1"/>
      <c r="R26" s="11"/>
      <c r="S26" s="11"/>
      <c r="T26" s="11"/>
    </row>
    <row r="27" spans="1:20" s="12" customFormat="1" ht="70.5">
      <c r="A27" s="54" t="str">
        <f>IFERROR(VLOOKUP(D27,'Master sheet (Clientes)'!A$6:D$747,2,0)," ")</f>
        <v>NJ</v>
      </c>
      <c r="B27" s="54" t="str">
        <f>IFERROR(VLOOKUP(D27,'Master sheet (Clientes)'!A$6:D$747,3,0)," ")</f>
        <v>Greystar</v>
      </c>
      <c r="C27" s="54" t="str">
        <f>IFERROR(VLOOKUP(D27,'Master sheet (Clientes)'!A$6:D$747,4,0)," ")</f>
        <v>A-V</v>
      </c>
      <c r="D27" s="54" t="s">
        <v>341</v>
      </c>
      <c r="E27" s="54">
        <v>411</v>
      </c>
      <c r="F27" s="54" t="s">
        <v>854</v>
      </c>
      <c r="G27" s="54" t="s">
        <v>853</v>
      </c>
      <c r="H27" s="54" t="s">
        <v>1394</v>
      </c>
      <c r="I27" s="54" t="s">
        <v>1821</v>
      </c>
      <c r="J27" s="54" t="s">
        <v>48</v>
      </c>
      <c r="K27" s="54"/>
      <c r="L27" s="54"/>
      <c r="M27" s="54"/>
      <c r="N27" s="54" t="s">
        <v>1747</v>
      </c>
      <c r="O27" s="1"/>
      <c r="P27" s="1"/>
      <c r="Q27" s="1"/>
      <c r="R27" s="11"/>
      <c r="S27" s="11"/>
      <c r="T27" s="11"/>
    </row>
    <row r="28" spans="1:20" s="12" customFormat="1" ht="70.5">
      <c r="A28" s="54" t="str">
        <f>IFERROR(VLOOKUP(D28,'Master sheet (Clientes)'!A$6:D$747,2,0)," ")</f>
        <v>NJ</v>
      </c>
      <c r="B28" s="54" t="str">
        <f>IFERROR(VLOOKUP(D28,'Master sheet (Clientes)'!A$6:D$747,3,0)," ")</f>
        <v>Greystar</v>
      </c>
      <c r="C28" s="54" t="str">
        <f>IFERROR(VLOOKUP(D28,'Master sheet (Clientes)'!A$6:D$747,4,0)," ")</f>
        <v>A-V</v>
      </c>
      <c r="D28" s="54" t="s">
        <v>786</v>
      </c>
      <c r="E28" s="54">
        <v>520</v>
      </c>
      <c r="F28" s="54" t="s">
        <v>1455</v>
      </c>
      <c r="G28" s="54" t="s">
        <v>853</v>
      </c>
      <c r="H28" s="54" t="s">
        <v>1706</v>
      </c>
      <c r="I28" s="54" t="s">
        <v>1519</v>
      </c>
      <c r="J28" s="54" t="s">
        <v>48</v>
      </c>
      <c r="K28" s="54"/>
      <c r="L28" s="54"/>
      <c r="M28" s="54" t="s">
        <v>1472</v>
      </c>
      <c r="N28" s="54" t="s">
        <v>1747</v>
      </c>
      <c r="O28" s="1"/>
      <c r="P28" s="1"/>
      <c r="Q28" s="1"/>
      <c r="R28" s="11"/>
      <c r="S28" s="11"/>
      <c r="T28" s="11"/>
    </row>
    <row r="29" spans="1:20" s="1" customFormat="1">
      <c r="A29" s="3"/>
      <c r="B29" s="3"/>
      <c r="C29" s="3"/>
      <c r="D29" s="3"/>
      <c r="E29" s="3"/>
      <c r="F29" s="3"/>
      <c r="G29" s="3"/>
      <c r="H29" s="3"/>
      <c r="I29" s="3"/>
      <c r="J29" s="3"/>
    </row>
    <row r="30" spans="1:20" s="1" customFormat="1" ht="47">
      <c r="A30" s="4" t="s">
        <v>8</v>
      </c>
      <c r="B30" s="4" t="s">
        <v>9</v>
      </c>
      <c r="C30" s="4" t="s">
        <v>10</v>
      </c>
      <c r="D30" s="4" t="s">
        <v>11</v>
      </c>
      <c r="E30" s="4" t="s">
        <v>12</v>
      </c>
      <c r="F30" s="4" t="s">
        <v>13</v>
      </c>
      <c r="G30" s="38" t="s">
        <v>14</v>
      </c>
      <c r="H30" s="4" t="s">
        <v>15</v>
      </c>
      <c r="I30" s="38" t="s">
        <v>16</v>
      </c>
      <c r="J30" s="38" t="s">
        <v>17</v>
      </c>
      <c r="K30" s="38" t="s">
        <v>18</v>
      </c>
      <c r="L30" s="38" t="s">
        <v>19</v>
      </c>
      <c r="M30" s="38" t="s">
        <v>20</v>
      </c>
      <c r="N30" s="38" t="s">
        <v>21</v>
      </c>
    </row>
    <row r="31" spans="1:20" s="12" customFormat="1" ht="47">
      <c r="A31" s="54" t="str">
        <f>IFERROR(VLOOKUP(D31,'Master sheet (Clientes)'!A$6:D$747,2,0)," ")</f>
        <v>NJ</v>
      </c>
      <c r="B31" s="54" t="str">
        <f>IFERROR(VLOOKUP(D31,'Master sheet (Clientes)'!A$6:D$747,3,0)," ")</f>
        <v>Vivmark Residential</v>
      </c>
      <c r="C31" s="54" t="str">
        <f>IFERROR(VLOOKUP(D31,'Master sheet (Clientes)'!A$6:D$747,4,0)," ")</f>
        <v>N-O</v>
      </c>
      <c r="D31" s="54" t="s">
        <v>72</v>
      </c>
      <c r="E31" s="99">
        <v>432</v>
      </c>
      <c r="F31" s="54" t="s">
        <v>946</v>
      </c>
      <c r="G31" s="54" t="s">
        <v>853</v>
      </c>
      <c r="H31" s="54" t="s">
        <v>1485</v>
      </c>
      <c r="I31" s="54" t="s">
        <v>1688</v>
      </c>
      <c r="J31" s="54" t="s">
        <v>48</v>
      </c>
      <c r="K31" s="54"/>
      <c r="L31" s="54"/>
      <c r="M31" s="54"/>
      <c r="N31" s="54" t="s">
        <v>1268</v>
      </c>
      <c r="O31" s="1"/>
      <c r="P31" s="1"/>
      <c r="Q31" s="1"/>
      <c r="R31" s="11"/>
      <c r="S31" s="11"/>
      <c r="T31" s="11"/>
    </row>
    <row r="32" spans="1:20">
      <c r="A32" s="1"/>
      <c r="B32" s="1"/>
      <c r="C32" s="1"/>
      <c r="D32" s="1"/>
      <c r="E32" s="1"/>
      <c r="F32" s="1"/>
      <c r="G32" s="1"/>
      <c r="H32" s="1"/>
      <c r="I32" s="1"/>
      <c r="J32" s="1"/>
      <c r="K32" s="1"/>
      <c r="L32" s="1"/>
      <c r="M32" s="1"/>
      <c r="N32" s="1"/>
    </row>
    <row r="33" spans="1:20" s="1" customFormat="1" ht="47">
      <c r="A33" s="4" t="s">
        <v>8</v>
      </c>
      <c r="B33" s="4" t="s">
        <v>9</v>
      </c>
      <c r="C33" s="4" t="s">
        <v>10</v>
      </c>
      <c r="D33" s="4" t="s">
        <v>11</v>
      </c>
      <c r="E33" s="4" t="s">
        <v>12</v>
      </c>
      <c r="F33" s="4" t="s">
        <v>13</v>
      </c>
      <c r="G33" s="38" t="s">
        <v>14</v>
      </c>
      <c r="H33" s="4" t="s">
        <v>15</v>
      </c>
      <c r="I33" s="38" t="s">
        <v>16</v>
      </c>
      <c r="J33" s="38" t="s">
        <v>17</v>
      </c>
      <c r="K33" s="38" t="s">
        <v>18</v>
      </c>
      <c r="L33" s="38" t="s">
        <v>19</v>
      </c>
      <c r="M33" s="38" t="s">
        <v>20</v>
      </c>
      <c r="N33" s="38" t="s">
        <v>21</v>
      </c>
    </row>
    <row r="34" spans="1:20" s="12" customFormat="1" ht="70.5">
      <c r="A34" s="54" t="str">
        <f>IFERROR(VLOOKUP(D34,'Master sheet (Clientes)'!A$6:D$747,2,0)," ")</f>
        <v>NJ</v>
      </c>
      <c r="B34" s="54" t="str">
        <f>IFERROR(VLOOKUP(D34,'Master sheet (Clientes)'!A$6:D$747,3,0)," ")</f>
        <v>Vivmark Residential</v>
      </c>
      <c r="C34" s="54" t="str">
        <f>IFERROR(VLOOKUP(D34,'Master sheet (Clientes)'!A$6:D$747,4,0)," ")</f>
        <v>N-O</v>
      </c>
      <c r="D34" s="54" t="s">
        <v>86</v>
      </c>
      <c r="E34" s="54">
        <v>606</v>
      </c>
      <c r="F34" s="54"/>
      <c r="G34" s="54"/>
      <c r="H34" s="54" t="s">
        <v>1660</v>
      </c>
      <c r="I34" s="54" t="s">
        <v>987</v>
      </c>
      <c r="J34" s="54" t="s">
        <v>48</v>
      </c>
      <c r="K34" s="54"/>
      <c r="L34" s="54"/>
      <c r="M34" s="54"/>
      <c r="N34" s="54" t="s">
        <v>1268</v>
      </c>
      <c r="O34" s="1"/>
      <c r="P34" s="1"/>
      <c r="Q34" s="1"/>
      <c r="R34" s="11"/>
      <c r="S34" s="11"/>
      <c r="T34" s="11"/>
    </row>
    <row r="35" spans="1:20" s="12" customFormat="1" ht="70.5">
      <c r="A35" s="54" t="str">
        <f>IFERROR(VLOOKUP(D35,'Master sheet (Clientes)'!A$6:D$747,2,0)," ")</f>
        <v>NJ</v>
      </c>
      <c r="B35" s="54" t="str">
        <f>IFERROR(VLOOKUP(D35,'Master sheet (Clientes)'!A$6:D$747,3,0)," ")</f>
        <v>Vivmark Residential</v>
      </c>
      <c r="C35" s="54" t="str">
        <f>IFERROR(VLOOKUP(D35,'Master sheet (Clientes)'!A$6:D$747,4,0)," ")</f>
        <v>N-O</v>
      </c>
      <c r="D35" s="54" t="s">
        <v>86</v>
      </c>
      <c r="E35" s="54">
        <v>537</v>
      </c>
      <c r="F35" s="54"/>
      <c r="G35" s="54"/>
      <c r="H35" s="54" t="s">
        <v>1834</v>
      </c>
      <c r="I35" s="54" t="s">
        <v>987</v>
      </c>
      <c r="J35" s="99" t="s">
        <v>1835</v>
      </c>
      <c r="K35" s="54"/>
      <c r="L35" s="54"/>
      <c r="M35" s="54"/>
      <c r="N35" s="54" t="s">
        <v>1268</v>
      </c>
      <c r="O35" s="1"/>
      <c r="P35" s="1"/>
      <c r="Q35" s="1"/>
      <c r="R35" s="11"/>
      <c r="S35" s="11"/>
      <c r="T35" s="11"/>
    </row>
    <row r="36" spans="1:20">
      <c r="A36" s="1"/>
      <c r="B36" s="1"/>
      <c r="C36" s="1"/>
      <c r="D36" s="1"/>
      <c r="E36" s="1"/>
      <c r="F36" s="1"/>
      <c r="G36" s="1"/>
      <c r="H36" s="1"/>
      <c r="I36" s="1"/>
      <c r="J36" s="1"/>
      <c r="K36" s="1"/>
      <c r="L36" s="1"/>
      <c r="M36" s="1"/>
      <c r="N36" s="1"/>
    </row>
    <row r="37" spans="1:20" s="1" customFormat="1" ht="47">
      <c r="A37" s="4" t="s">
        <v>8</v>
      </c>
      <c r="B37" s="4" t="s">
        <v>9</v>
      </c>
      <c r="C37" s="4" t="s">
        <v>10</v>
      </c>
      <c r="D37" s="4" t="s">
        <v>11</v>
      </c>
      <c r="E37" s="4" t="s">
        <v>12</v>
      </c>
      <c r="F37" s="4" t="s">
        <v>13</v>
      </c>
      <c r="G37" s="38" t="s">
        <v>14</v>
      </c>
      <c r="H37" s="4" t="s">
        <v>15</v>
      </c>
      <c r="I37" s="38" t="s">
        <v>16</v>
      </c>
      <c r="J37" s="38" t="s">
        <v>17</v>
      </c>
      <c r="K37" s="38" t="s">
        <v>18</v>
      </c>
      <c r="L37" s="38" t="s">
        <v>19</v>
      </c>
      <c r="M37" s="38" t="s">
        <v>20</v>
      </c>
      <c r="N37" s="38" t="s">
        <v>21</v>
      </c>
    </row>
    <row r="38" spans="1:20" ht="47">
      <c r="A38" s="54" t="str">
        <f>IFERROR(VLOOKUP(D38,'Master sheet (Clientes)'!A$6:D$747,2,0)," ")</f>
        <v>NJ</v>
      </c>
      <c r="B38" s="54" t="str">
        <f>IFERROR(VLOOKUP(D38,'Master sheet (Clientes)'!A$6:D$747,3,0)," ")</f>
        <v>Vivmark Residential</v>
      </c>
      <c r="C38" s="54" t="str">
        <f>IFERROR(VLOOKUP(D38,'Master sheet (Clientes)'!A$6:D$747,4,0)," ")</f>
        <v>N-O</v>
      </c>
      <c r="D38" s="54" t="s">
        <v>78</v>
      </c>
      <c r="E38" s="54">
        <v>155</v>
      </c>
      <c r="F38" s="54"/>
      <c r="G38" s="54" t="s">
        <v>917</v>
      </c>
      <c r="H38" s="54" t="s">
        <v>1644</v>
      </c>
      <c r="I38" s="54" t="s">
        <v>901</v>
      </c>
      <c r="J38" s="54" t="s">
        <v>48</v>
      </c>
      <c r="K38" s="54"/>
      <c r="L38" s="54"/>
      <c r="M38" s="54" t="s">
        <v>1592</v>
      </c>
      <c r="N38" s="54"/>
    </row>
    <row r="39" spans="1:20" ht="47">
      <c r="A39" s="54" t="str">
        <f>IFERROR(VLOOKUP(D39,'Master sheet (Clientes)'!A$6:D$747,2,0)," ")</f>
        <v>NJ</v>
      </c>
      <c r="B39" s="54" t="str">
        <f>IFERROR(VLOOKUP(D39,'Master sheet (Clientes)'!A$6:D$747,3,0)," ")</f>
        <v>Vivmark Residential</v>
      </c>
      <c r="C39" s="54" t="str">
        <f>IFERROR(VLOOKUP(D39,'Master sheet (Clientes)'!A$6:D$747,4,0)," ")</f>
        <v>N-O</v>
      </c>
      <c r="D39" s="54" t="s">
        <v>78</v>
      </c>
      <c r="E39" s="54">
        <v>151</v>
      </c>
      <c r="F39" s="54"/>
      <c r="G39" s="54" t="s">
        <v>917</v>
      </c>
      <c r="H39" s="54" t="s">
        <v>1893</v>
      </c>
      <c r="I39" s="54" t="s">
        <v>901</v>
      </c>
      <c r="J39" s="54" t="s">
        <v>48</v>
      </c>
      <c r="K39" s="54"/>
      <c r="L39" s="54"/>
      <c r="M39" s="54" t="s">
        <v>1592</v>
      </c>
      <c r="N39" s="54"/>
    </row>
    <row r="40" spans="1:20" s="12" customFormat="1" ht="70.5">
      <c r="A40" s="54" t="str">
        <f>IFERROR(VLOOKUP(D40,'Master sheet (Clientes)'!A$6:D$747,2,0)," ")</f>
        <v>NJ</v>
      </c>
      <c r="B40" s="54" t="str">
        <f>IFERROR(VLOOKUP(D40,'Master sheet (Clientes)'!A$6:D$747,3,0)," ")</f>
        <v>Skylight</v>
      </c>
      <c r="C40" s="54" t="str">
        <f>IFERROR(VLOOKUP(D40,'Master sheet (Clientes)'!A$6:D$747,4,0)," ")</f>
        <v>N-O</v>
      </c>
      <c r="D40" s="54" t="s">
        <v>728</v>
      </c>
      <c r="E40" s="54">
        <v>801</v>
      </c>
      <c r="F40" s="54" t="s">
        <v>45</v>
      </c>
      <c r="G40" s="54" t="s">
        <v>853</v>
      </c>
      <c r="H40" s="54" t="s">
        <v>1418</v>
      </c>
      <c r="I40" s="54" t="s">
        <v>901</v>
      </c>
      <c r="J40" s="54" t="s">
        <v>48</v>
      </c>
      <c r="K40" s="54"/>
      <c r="L40" s="54"/>
      <c r="M40" s="54"/>
      <c r="N40" s="54"/>
      <c r="O40" s="1"/>
      <c r="P40" s="1"/>
      <c r="Q40" s="1"/>
      <c r="R40" s="11"/>
      <c r="S40" s="11"/>
      <c r="T40" s="11"/>
    </row>
    <row r="41" spans="1:20">
      <c r="A41" s="1"/>
      <c r="B41" s="1"/>
      <c r="C41" s="1"/>
      <c r="D41" s="1"/>
      <c r="E41" s="1"/>
      <c r="F41" s="1"/>
      <c r="G41" s="1"/>
      <c r="H41" s="1"/>
      <c r="I41" s="1"/>
      <c r="J41" s="1"/>
      <c r="K41" s="1"/>
      <c r="L41" s="1"/>
      <c r="M41" s="1"/>
      <c r="N41" s="1"/>
    </row>
    <row r="42" spans="1:20" s="1" customFormat="1" ht="47">
      <c r="A42" s="4" t="s">
        <v>8</v>
      </c>
      <c r="B42" s="4" t="s">
        <v>9</v>
      </c>
      <c r="C42" s="4" t="s">
        <v>10</v>
      </c>
      <c r="D42" s="4" t="s">
        <v>11</v>
      </c>
      <c r="E42" s="4" t="s">
        <v>12</v>
      </c>
      <c r="F42" s="4" t="s">
        <v>13</v>
      </c>
      <c r="G42" s="38" t="s">
        <v>14</v>
      </c>
      <c r="H42" s="4" t="s">
        <v>15</v>
      </c>
      <c r="I42" s="38" t="s">
        <v>16</v>
      </c>
      <c r="J42" s="38" t="s">
        <v>17</v>
      </c>
      <c r="K42" s="38" t="s">
        <v>18</v>
      </c>
      <c r="L42" s="38" t="s">
        <v>19</v>
      </c>
      <c r="M42" s="38" t="s">
        <v>20</v>
      </c>
      <c r="N42" s="38" t="s">
        <v>21</v>
      </c>
    </row>
    <row r="43" spans="1:20" s="12" customFormat="1" ht="70.5">
      <c r="A43" s="54" t="str">
        <f>IFERROR(VLOOKUP(D43,'Master sheet (Clientes)'!A$6:D$747,2,0)," ")</f>
        <v>NJ</v>
      </c>
      <c r="B43" s="54" t="str">
        <f>IFERROR(VLOOKUP(D43,'Master sheet (Clientes)'!A$6:D$747,3,0)," ")</f>
        <v>Tower Management Service, LP</v>
      </c>
      <c r="C43" s="54" t="str">
        <f>IFERROR(VLOOKUP(D43,'Master sheet (Clientes)'!A$6:D$747,4,0)," ")</f>
        <v>A-V</v>
      </c>
      <c r="D43" s="54" t="s">
        <v>759</v>
      </c>
      <c r="E43" s="54" t="s">
        <v>846</v>
      </c>
      <c r="F43" s="54"/>
      <c r="G43" s="54" t="s">
        <v>917</v>
      </c>
      <c r="H43" s="54" t="s">
        <v>1707</v>
      </c>
      <c r="I43" s="54" t="s">
        <v>839</v>
      </c>
      <c r="J43" s="54" t="s">
        <v>1746</v>
      </c>
      <c r="K43" s="54"/>
      <c r="L43" s="54"/>
      <c r="M43" s="54"/>
      <c r="N43" s="54"/>
      <c r="O43" s="1"/>
      <c r="P43" s="1"/>
      <c r="Q43" s="1"/>
      <c r="R43" s="11"/>
      <c r="S43" s="11"/>
      <c r="T43" s="11"/>
    </row>
    <row r="44" spans="1:20">
      <c r="A44" s="1"/>
      <c r="B44" s="1"/>
      <c r="C44" s="1"/>
      <c r="D44" s="1"/>
      <c r="E44" s="1"/>
      <c r="F44" s="1"/>
      <c r="G44" s="1"/>
      <c r="H44" s="1"/>
      <c r="I44" s="1"/>
      <c r="J44" s="1"/>
      <c r="K44" s="1"/>
      <c r="L44" s="1"/>
      <c r="M44" s="1"/>
      <c r="N44" s="1"/>
    </row>
    <row r="45" spans="1:20" s="1" customFormat="1" ht="47">
      <c r="A45" s="4" t="s">
        <v>8</v>
      </c>
      <c r="B45" s="4" t="s">
        <v>9</v>
      </c>
      <c r="C45" s="4" t="s">
        <v>10</v>
      </c>
      <c r="D45" s="4" t="s">
        <v>11</v>
      </c>
      <c r="E45" s="4" t="s">
        <v>12</v>
      </c>
      <c r="F45" s="4" t="s">
        <v>13</v>
      </c>
      <c r="G45" s="38" t="s">
        <v>14</v>
      </c>
      <c r="H45" s="4" t="s">
        <v>15</v>
      </c>
      <c r="I45" s="38" t="s">
        <v>16</v>
      </c>
      <c r="J45" s="38" t="s">
        <v>17</v>
      </c>
      <c r="K45" s="38" t="s">
        <v>18</v>
      </c>
      <c r="L45" s="38" t="s">
        <v>19</v>
      </c>
      <c r="M45" s="38" t="s">
        <v>20</v>
      </c>
      <c r="N45" s="38" t="s">
        <v>21</v>
      </c>
    </row>
    <row r="46" spans="1:20" s="111" customFormat="1" ht="94">
      <c r="A46" s="92" t="str">
        <f>IFERROR(VLOOKUP(D46,'Master sheet (Clientes)'!A$6:D$747,2,0)," ")</f>
        <v>NJ</v>
      </c>
      <c r="B46" s="92" t="str">
        <f>IFERROR(VLOOKUP(D46,'Master sheet (Clientes)'!A$6:D$747,3,0)," ")</f>
        <v>Skylight</v>
      </c>
      <c r="C46" s="92" t="str">
        <f>IFERROR(VLOOKUP(D46,'Master sheet (Clientes)'!A$6:D$747,4,0)," ")</f>
        <v>N-O</v>
      </c>
      <c r="D46" s="92" t="s">
        <v>727</v>
      </c>
      <c r="E46" s="92">
        <v>523</v>
      </c>
      <c r="F46" s="92" t="s">
        <v>45</v>
      </c>
      <c r="G46" s="92" t="s">
        <v>853</v>
      </c>
      <c r="H46" s="92" t="s">
        <v>1341</v>
      </c>
      <c r="I46" s="92" t="s">
        <v>1690</v>
      </c>
      <c r="J46" s="92" t="s">
        <v>48</v>
      </c>
      <c r="K46" s="92"/>
      <c r="L46" s="92"/>
      <c r="M46" s="92" t="s">
        <v>1340</v>
      </c>
      <c r="N46" s="92" t="s">
        <v>1748</v>
      </c>
      <c r="O46" s="93"/>
      <c r="P46" s="93"/>
      <c r="Q46" s="93"/>
      <c r="R46" s="110"/>
      <c r="S46" s="110"/>
      <c r="T46" s="110"/>
    </row>
    <row r="47" spans="1:20">
      <c r="A47" s="1"/>
      <c r="B47" s="1"/>
      <c r="C47" s="1"/>
      <c r="D47" s="1"/>
      <c r="E47" s="1"/>
      <c r="F47" s="1"/>
      <c r="G47" s="1"/>
      <c r="H47" s="1"/>
      <c r="I47" s="1"/>
      <c r="J47" s="1"/>
      <c r="K47" s="1"/>
      <c r="L47" s="1"/>
      <c r="M47" s="1"/>
      <c r="N47" s="1"/>
    </row>
    <row r="48" spans="1:20" ht="26">
      <c r="A48" s="33"/>
      <c r="B48" s="33"/>
      <c r="C48" s="33"/>
      <c r="D48" s="127" t="s">
        <v>24</v>
      </c>
      <c r="E48" s="127"/>
      <c r="F48" s="127"/>
      <c r="G48" s="127"/>
      <c r="H48" s="127"/>
      <c r="I48" s="127"/>
      <c r="J48" s="127"/>
      <c r="K48" s="127"/>
      <c r="L48" s="127"/>
      <c r="M48" s="16"/>
      <c r="N48" s="16"/>
    </row>
    <row r="49" spans="1:20" s="5" customFormat="1" ht="26">
      <c r="A49" s="43"/>
      <c r="B49" s="43"/>
      <c r="C49" s="43"/>
      <c r="D49" s="128" t="s">
        <v>25</v>
      </c>
      <c r="E49" s="128"/>
      <c r="F49" s="128"/>
      <c r="G49" s="128"/>
      <c r="H49" s="128"/>
      <c r="I49" s="128"/>
      <c r="J49" s="128"/>
      <c r="K49" s="128"/>
      <c r="L49" s="128"/>
      <c r="M49" s="44"/>
      <c r="N49" s="44"/>
      <c r="O49" s="35"/>
      <c r="P49" s="35"/>
      <c r="Q49" s="35"/>
    </row>
    <row r="50" spans="1:20">
      <c r="A50" s="1"/>
      <c r="B50" s="1"/>
      <c r="C50" s="1"/>
      <c r="D50" s="1"/>
      <c r="E50" s="1"/>
      <c r="F50" s="1"/>
      <c r="G50" s="1"/>
      <c r="H50" s="1"/>
      <c r="I50" s="1"/>
      <c r="J50" s="1"/>
      <c r="K50" s="1"/>
      <c r="L50" s="1"/>
      <c r="M50" s="1"/>
      <c r="N50" s="1"/>
    </row>
    <row r="51" spans="1:20" s="1" customFormat="1" ht="47">
      <c r="A51" s="4" t="s">
        <v>8</v>
      </c>
      <c r="B51" s="4" t="s">
        <v>9</v>
      </c>
      <c r="C51" s="4" t="s">
        <v>10</v>
      </c>
      <c r="D51" s="4" t="s">
        <v>11</v>
      </c>
      <c r="E51" s="4" t="s">
        <v>12</v>
      </c>
      <c r="F51" s="4" t="s">
        <v>13</v>
      </c>
      <c r="G51" s="38" t="s">
        <v>14</v>
      </c>
      <c r="H51" s="4" t="s">
        <v>15</v>
      </c>
      <c r="I51" s="38" t="s">
        <v>16</v>
      </c>
      <c r="J51" s="38" t="s">
        <v>17</v>
      </c>
      <c r="K51" s="38" t="s">
        <v>18</v>
      </c>
      <c r="L51" s="38" t="s">
        <v>19</v>
      </c>
      <c r="M51" s="38" t="s">
        <v>20</v>
      </c>
      <c r="N51" s="38" t="s">
        <v>21</v>
      </c>
    </row>
    <row r="52" spans="1:20" ht="70.5">
      <c r="A52" s="54" t="str">
        <f>IFERROR(VLOOKUP(D52,'Master sheet (Clientes)'!A$6:D$747,2,0)," ")</f>
        <v>NJ</v>
      </c>
      <c r="B52" s="54" t="str">
        <f>IFERROR(VLOOKUP(D52,'Master sheet (Clientes)'!A$6:D$747,3,0)," ")</f>
        <v>Skylight</v>
      </c>
      <c r="C52" s="54" t="str">
        <f>IFERROR(VLOOKUP(D52,'Master sheet (Clientes)'!A$6:D$747,4,0)," ")</f>
        <v>N-O</v>
      </c>
      <c r="D52" s="54" t="s">
        <v>726</v>
      </c>
      <c r="E52" s="54"/>
      <c r="F52" s="54"/>
      <c r="G52" s="54"/>
      <c r="H52" s="54" t="s">
        <v>994</v>
      </c>
      <c r="I52" s="54" t="s">
        <v>995</v>
      </c>
      <c r="J52" s="54" t="s">
        <v>48</v>
      </c>
      <c r="K52" s="54"/>
      <c r="L52" s="54"/>
      <c r="M52" s="54" t="s">
        <v>996</v>
      </c>
      <c r="N52" s="54" t="s">
        <v>1266</v>
      </c>
    </row>
    <row r="53" spans="1:20" ht="47">
      <c r="A53" s="54" t="str">
        <f>IFERROR(VLOOKUP(D53,'Master sheet (Clientes)'!A$6:D$747,2,0)," ")</f>
        <v>NJ</v>
      </c>
      <c r="B53" s="54" t="str">
        <f>IFERROR(VLOOKUP(D53,'Master sheet (Clientes)'!A$6:D$747,3,0)," ")</f>
        <v>Skylight</v>
      </c>
      <c r="C53" s="54" t="str">
        <f>IFERROR(VLOOKUP(D53,'Master sheet (Clientes)'!A$6:D$747,4,0)," ")</f>
        <v>N-O</v>
      </c>
      <c r="D53" s="54" t="s">
        <v>726</v>
      </c>
      <c r="E53" s="54"/>
      <c r="F53" s="54"/>
      <c r="G53" s="54"/>
      <c r="H53" s="54" t="s">
        <v>997</v>
      </c>
      <c r="I53" s="54" t="s">
        <v>998</v>
      </c>
      <c r="J53" s="54" t="s">
        <v>48</v>
      </c>
      <c r="K53" s="54"/>
      <c r="L53" s="54"/>
      <c r="M53" s="54" t="s">
        <v>996</v>
      </c>
      <c r="N53" s="54" t="s">
        <v>1266</v>
      </c>
    </row>
    <row r="54" spans="1:20" ht="70.5">
      <c r="A54" s="54" t="str">
        <f>IFERROR(VLOOKUP(D54,'Master sheet (Clientes)'!A$6:D$747,2,0)," ")</f>
        <v>NJ</v>
      </c>
      <c r="B54" s="54" t="str">
        <f>IFERROR(VLOOKUP(D54,'Master sheet (Clientes)'!A$6:D$747,3,0)," ")</f>
        <v>RHO</v>
      </c>
      <c r="C54" s="54" t="str">
        <f>IFERROR(VLOOKUP(D54,'Master sheet (Clientes)'!A$6:D$747,4,0)," ")</f>
        <v>A-V</v>
      </c>
      <c r="D54" s="54" t="s">
        <v>777</v>
      </c>
      <c r="E54" s="54"/>
      <c r="F54" s="54"/>
      <c r="G54" s="54"/>
      <c r="H54" s="54" t="s">
        <v>1554</v>
      </c>
      <c r="I54" s="54" t="s">
        <v>1046</v>
      </c>
      <c r="J54" s="54" t="s">
        <v>48</v>
      </c>
      <c r="K54" s="54"/>
      <c r="L54" s="54"/>
      <c r="M54" s="54" t="s">
        <v>1456</v>
      </c>
      <c r="N54" s="54" t="s">
        <v>1266</v>
      </c>
    </row>
    <row r="55" spans="1:20" s="1" customFormat="1">
      <c r="A55" s="3"/>
      <c r="B55" s="3"/>
      <c r="C55" s="3"/>
      <c r="D55" s="3"/>
      <c r="E55" s="3"/>
      <c r="F55" s="3"/>
      <c r="G55" s="3"/>
      <c r="H55" s="3"/>
      <c r="I55" s="3"/>
      <c r="J55" s="3"/>
    </row>
    <row r="56" spans="1:20" s="1" customFormat="1" ht="47">
      <c r="A56" s="4" t="s">
        <v>8</v>
      </c>
      <c r="B56" s="4" t="s">
        <v>9</v>
      </c>
      <c r="C56" s="4" t="s">
        <v>10</v>
      </c>
      <c r="D56" s="4" t="s">
        <v>11</v>
      </c>
      <c r="E56" s="4" t="s">
        <v>12</v>
      </c>
      <c r="F56" s="4" t="s">
        <v>13</v>
      </c>
      <c r="G56" s="38" t="s">
        <v>14</v>
      </c>
      <c r="H56" s="4" t="s">
        <v>15</v>
      </c>
      <c r="I56" s="38" t="s">
        <v>16</v>
      </c>
      <c r="J56" s="38" t="s">
        <v>17</v>
      </c>
      <c r="K56" s="38" t="s">
        <v>18</v>
      </c>
      <c r="L56" s="38" t="s">
        <v>19</v>
      </c>
      <c r="M56" s="38" t="s">
        <v>20</v>
      </c>
      <c r="N56" s="38" t="s">
        <v>21</v>
      </c>
    </row>
    <row r="57" spans="1:20" ht="70.5">
      <c r="A57" s="54" t="str">
        <f>IFERROR(VLOOKUP(D57,'Master sheet (Clientes)'!A$6:D$747,2,0)," ")</f>
        <v>NJ</v>
      </c>
      <c r="B57" s="54" t="str">
        <f>IFERROR(VLOOKUP(D57,'Master sheet (Clientes)'!A$6:D$747,3,0)," ")</f>
        <v>Rose Associates</v>
      </c>
      <c r="C57" s="54" t="str">
        <f>IFERROR(VLOOKUP(D57,'Master sheet (Clientes)'!A$6:D$747,4,0)," ")</f>
        <v>A-V</v>
      </c>
      <c r="D57" s="54" t="s">
        <v>1381</v>
      </c>
      <c r="E57" s="54"/>
      <c r="F57" s="54"/>
      <c r="G57" s="54"/>
      <c r="H57" s="54" t="s">
        <v>999</v>
      </c>
      <c r="I57" s="54" t="s">
        <v>1000</v>
      </c>
      <c r="J57" s="54" t="s">
        <v>48</v>
      </c>
      <c r="K57" s="54"/>
      <c r="L57" s="54"/>
      <c r="M57" s="54" t="s">
        <v>1001</v>
      </c>
      <c r="N57" s="54" t="s">
        <v>1266</v>
      </c>
    </row>
    <row r="58" spans="1:20" ht="70.5">
      <c r="A58" s="54" t="str">
        <f>IFERROR(VLOOKUP(D58,'Master sheet (Clientes)'!A$6:D$747,2,0)," ")</f>
        <v>NJ</v>
      </c>
      <c r="B58" s="54" t="str">
        <f>IFERROR(VLOOKUP(D58,'Master sheet (Clientes)'!A$6:D$747,3,0)," ")</f>
        <v>Bozzuto</v>
      </c>
      <c r="C58" s="54" t="str">
        <f>IFERROR(VLOOKUP(D58,'Master sheet (Clientes)'!A$6:D$747,4,0)," ")</f>
        <v>N-O</v>
      </c>
      <c r="D58" s="54" t="s">
        <v>186</v>
      </c>
      <c r="E58" s="54" t="s">
        <v>936</v>
      </c>
      <c r="F58" s="54" t="s">
        <v>854</v>
      </c>
      <c r="G58" s="54" t="s">
        <v>853</v>
      </c>
      <c r="H58" s="54" t="s">
        <v>860</v>
      </c>
      <c r="I58" s="54" t="s">
        <v>1682</v>
      </c>
      <c r="J58" s="54" t="s">
        <v>48</v>
      </c>
      <c r="K58" s="54"/>
      <c r="L58" s="54"/>
      <c r="M58" s="54"/>
      <c r="N58" s="54" t="s">
        <v>1268</v>
      </c>
    </row>
    <row r="59" spans="1:20" ht="70.5">
      <c r="A59" s="54" t="str">
        <f>IFERROR(VLOOKUP(D59,'Master sheet (Clientes)'!A$6:D$747,2,0)," ")</f>
        <v>NJ</v>
      </c>
      <c r="B59" s="54" t="str">
        <f>IFERROR(VLOOKUP(D59,'Master sheet (Clientes)'!A$6:D$747,3,0)," ")</f>
        <v>Vivmark Residential</v>
      </c>
      <c r="C59" s="54" t="str">
        <f>IFERROR(VLOOKUP(D59,'Master sheet (Clientes)'!A$6:D$747,4,0)," ")</f>
        <v>A-V</v>
      </c>
      <c r="D59" s="54" t="s">
        <v>286</v>
      </c>
      <c r="E59" s="54" t="s">
        <v>1427</v>
      </c>
      <c r="F59" s="54" t="s">
        <v>874</v>
      </c>
      <c r="G59" s="54" t="s">
        <v>853</v>
      </c>
      <c r="H59" s="54" t="s">
        <v>860</v>
      </c>
      <c r="I59" s="54" t="s">
        <v>1283</v>
      </c>
      <c r="J59" s="54" t="s">
        <v>1152</v>
      </c>
      <c r="K59" s="54"/>
      <c r="L59" s="54"/>
      <c r="M59" s="54"/>
      <c r="N59" s="54" t="s">
        <v>1268</v>
      </c>
    </row>
    <row r="60" spans="1:20" s="1" customFormat="1">
      <c r="A60" s="3"/>
      <c r="B60" s="3"/>
      <c r="C60" s="3"/>
      <c r="D60" s="3"/>
      <c r="E60" s="3"/>
      <c r="F60" s="3"/>
      <c r="G60" s="3"/>
      <c r="H60" s="3"/>
      <c r="I60" s="3"/>
      <c r="J60" s="3"/>
    </row>
    <row r="61" spans="1:20" s="1" customFormat="1" ht="47">
      <c r="A61" s="4" t="s">
        <v>8</v>
      </c>
      <c r="B61" s="4" t="s">
        <v>9</v>
      </c>
      <c r="C61" s="4" t="s">
        <v>10</v>
      </c>
      <c r="D61" s="4" t="s">
        <v>11</v>
      </c>
      <c r="E61" s="4" t="s">
        <v>12</v>
      </c>
      <c r="F61" s="4" t="s">
        <v>13</v>
      </c>
      <c r="G61" s="38" t="s">
        <v>14</v>
      </c>
      <c r="H61" s="4" t="s">
        <v>15</v>
      </c>
      <c r="I61" s="38" t="s">
        <v>16</v>
      </c>
      <c r="J61" s="38" t="s">
        <v>17</v>
      </c>
      <c r="K61" s="38" t="s">
        <v>18</v>
      </c>
      <c r="L61" s="38" t="s">
        <v>19</v>
      </c>
      <c r="M61" s="38" t="s">
        <v>20</v>
      </c>
      <c r="N61" s="38" t="s">
        <v>21</v>
      </c>
    </row>
    <row r="62" spans="1:20" s="12" customFormat="1" ht="117.5">
      <c r="A62" s="54" t="str">
        <f>IFERROR(VLOOKUP(D62,'Master sheet (Clientes)'!A$6:D$747,2,0)," ")</f>
        <v>NJ</v>
      </c>
      <c r="B62" s="54" t="str">
        <f>IFERROR(VLOOKUP(D62,'Master sheet (Clientes)'!A$6:D$747,3,0)," ")</f>
        <v>Greystar</v>
      </c>
      <c r="C62" s="54" t="str">
        <f>IFERROR(VLOOKUP(D62,'Master sheet (Clientes)'!A$6:D$747,4,0)," ")</f>
        <v>A-V</v>
      </c>
      <c r="D62" s="54" t="s">
        <v>324</v>
      </c>
      <c r="E62" s="54" t="s">
        <v>1614</v>
      </c>
      <c r="F62" s="54"/>
      <c r="G62" s="54"/>
      <c r="H62" s="54" t="s">
        <v>1663</v>
      </c>
      <c r="I62" s="54" t="s">
        <v>1699</v>
      </c>
      <c r="J62" s="54" t="s">
        <v>48</v>
      </c>
      <c r="K62" s="54"/>
      <c r="L62" s="54"/>
      <c r="M62" s="54"/>
      <c r="N62" s="54" t="s">
        <v>1268</v>
      </c>
      <c r="O62" s="1"/>
      <c r="P62" s="1"/>
      <c r="Q62" s="1"/>
      <c r="R62" s="11"/>
      <c r="S62" s="11"/>
      <c r="T62" s="11"/>
    </row>
    <row r="63" spans="1:20" s="1" customFormat="1">
      <c r="A63" s="3"/>
      <c r="B63" s="3"/>
      <c r="C63" s="3"/>
      <c r="D63" s="3"/>
      <c r="E63" s="3"/>
      <c r="F63" s="3"/>
      <c r="G63" s="3"/>
      <c r="H63" s="3"/>
      <c r="I63" s="3"/>
      <c r="J63" s="3"/>
    </row>
    <row r="64" spans="1:20" s="1" customFormat="1" ht="47">
      <c r="A64" s="4" t="s">
        <v>8</v>
      </c>
      <c r="B64" s="4" t="s">
        <v>9</v>
      </c>
      <c r="C64" s="4" t="s">
        <v>10</v>
      </c>
      <c r="D64" s="4" t="s">
        <v>11</v>
      </c>
      <c r="E64" s="4" t="s">
        <v>12</v>
      </c>
      <c r="F64" s="4" t="s">
        <v>13</v>
      </c>
      <c r="G64" s="38" t="s">
        <v>14</v>
      </c>
      <c r="H64" s="4" t="s">
        <v>15</v>
      </c>
      <c r="I64" s="38" t="s">
        <v>16</v>
      </c>
      <c r="J64" s="38" t="s">
        <v>17</v>
      </c>
      <c r="K64" s="38" t="s">
        <v>18</v>
      </c>
      <c r="L64" s="38" t="s">
        <v>19</v>
      </c>
      <c r="M64" s="38" t="s">
        <v>20</v>
      </c>
      <c r="N64" s="38" t="s">
        <v>21</v>
      </c>
    </row>
    <row r="65" spans="1:20" s="12" customFormat="1">
      <c r="A65" s="54" t="str">
        <f>IFERROR(VLOOKUP(D65,'Master sheet (Clientes)'!A$6:D$747,2,0)," ")</f>
        <v>NJ</v>
      </c>
      <c r="B65" s="54" t="str">
        <f>IFERROR(VLOOKUP(D65,'Master sheet (Clientes)'!A$6:D$747,3,0)," ")</f>
        <v>Skylight</v>
      </c>
      <c r="C65" s="54" t="str">
        <f>IFERROR(VLOOKUP(D65,'Master sheet (Clientes)'!A$6:D$747,4,0)," ")</f>
        <v>N-O</v>
      </c>
      <c r="D65" s="54" t="s">
        <v>715</v>
      </c>
      <c r="E65" s="54">
        <v>8</v>
      </c>
      <c r="F65" s="54" t="s">
        <v>854</v>
      </c>
      <c r="G65" s="54" t="s">
        <v>853</v>
      </c>
      <c r="H65" s="54" t="s">
        <v>1587</v>
      </c>
      <c r="I65" s="54" t="s">
        <v>1284</v>
      </c>
      <c r="J65" s="54" t="s">
        <v>48</v>
      </c>
      <c r="K65" s="54"/>
      <c r="L65" s="54"/>
      <c r="M65" s="54"/>
      <c r="N65" s="54" t="s">
        <v>1747</v>
      </c>
      <c r="O65" s="1"/>
      <c r="P65" s="1"/>
      <c r="Q65" s="1"/>
      <c r="R65" s="11"/>
      <c r="S65" s="11"/>
      <c r="T65" s="11"/>
    </row>
    <row r="66" spans="1:20" s="1" customFormat="1">
      <c r="A66" s="3"/>
      <c r="B66" s="3"/>
      <c r="C66" s="3"/>
      <c r="D66" s="3"/>
      <c r="E66" s="3"/>
      <c r="F66" s="3"/>
      <c r="G66" s="3"/>
      <c r="H66" s="3"/>
      <c r="I66" s="3"/>
      <c r="J66" s="3"/>
    </row>
    <row r="67" spans="1:20" s="1" customFormat="1" ht="47">
      <c r="A67" s="4" t="s">
        <v>8</v>
      </c>
      <c r="B67" s="4" t="s">
        <v>9</v>
      </c>
      <c r="C67" s="4" t="s">
        <v>10</v>
      </c>
      <c r="D67" s="4" t="s">
        <v>11</v>
      </c>
      <c r="E67" s="4" t="s">
        <v>12</v>
      </c>
      <c r="F67" s="4" t="s">
        <v>13</v>
      </c>
      <c r="G67" s="38" t="s">
        <v>14</v>
      </c>
      <c r="H67" s="4" t="s">
        <v>15</v>
      </c>
      <c r="I67" s="38" t="s">
        <v>16</v>
      </c>
      <c r="J67" s="38" t="s">
        <v>17</v>
      </c>
      <c r="K67" s="38" t="s">
        <v>18</v>
      </c>
      <c r="L67" s="38" t="s">
        <v>19</v>
      </c>
      <c r="M67" s="38" t="s">
        <v>20</v>
      </c>
      <c r="N67" s="38" t="s">
        <v>21</v>
      </c>
    </row>
    <row r="68" spans="1:20" ht="70.5">
      <c r="A68" s="54" t="str">
        <f>IFERROR(VLOOKUP(D68,'Master sheet (Clientes)'!A$6:D$747,2,0)," ")</f>
        <v>NJ</v>
      </c>
      <c r="B68" s="54" t="str">
        <f>IFERROR(VLOOKUP(D68,'Master sheet (Clientes)'!A$6:D$747,3,0)," ")</f>
        <v>Dalan Management</v>
      </c>
      <c r="C68" s="54" t="str">
        <f>IFERROR(VLOOKUP(D68,'Master sheet (Clientes)'!A$6:D$747,4,0)," ")</f>
        <v>N-O</v>
      </c>
      <c r="D68" s="54" t="s">
        <v>254</v>
      </c>
      <c r="E68" s="54" t="s">
        <v>1487</v>
      </c>
      <c r="F68" s="54"/>
      <c r="G68" s="54"/>
      <c r="H68" s="54" t="s">
        <v>1566</v>
      </c>
      <c r="I68" s="54" t="s">
        <v>1488</v>
      </c>
      <c r="J68" s="54" t="s">
        <v>48</v>
      </c>
      <c r="K68" s="54"/>
      <c r="L68" s="54"/>
      <c r="M68" s="54"/>
      <c r="N68" s="54" t="s">
        <v>1268</v>
      </c>
    </row>
    <row r="69" spans="1:20" s="1" customFormat="1">
      <c r="A69" s="3"/>
      <c r="B69" s="3"/>
      <c r="C69" s="3"/>
      <c r="D69" s="3"/>
      <c r="E69" s="3"/>
      <c r="F69" s="3"/>
      <c r="G69" s="3"/>
      <c r="H69" s="3"/>
      <c r="I69" s="3"/>
      <c r="J69" s="3"/>
    </row>
    <row r="70" spans="1:20" s="1" customFormat="1" ht="47">
      <c r="A70" s="4" t="s">
        <v>8</v>
      </c>
      <c r="B70" s="4" t="s">
        <v>9</v>
      </c>
      <c r="C70" s="4" t="s">
        <v>10</v>
      </c>
      <c r="D70" s="4" t="s">
        <v>11</v>
      </c>
      <c r="E70" s="4" t="s">
        <v>12</v>
      </c>
      <c r="F70" s="4" t="s">
        <v>13</v>
      </c>
      <c r="G70" s="38" t="s">
        <v>14</v>
      </c>
      <c r="H70" s="4" t="s">
        <v>15</v>
      </c>
      <c r="I70" s="38" t="s">
        <v>16</v>
      </c>
      <c r="J70" s="38" t="s">
        <v>17</v>
      </c>
      <c r="K70" s="38" t="s">
        <v>18</v>
      </c>
      <c r="L70" s="38" t="s">
        <v>19</v>
      </c>
      <c r="M70" s="38" t="s">
        <v>20</v>
      </c>
      <c r="N70" s="38" t="s">
        <v>21</v>
      </c>
    </row>
    <row r="71" spans="1:20" ht="70.5">
      <c r="A71" s="54" t="str">
        <f>IFERROR(VLOOKUP(D71,'Master sheet (Clientes)'!A$6:D$747,2,0)," ")</f>
        <v>NJ</v>
      </c>
      <c r="B71" s="54" t="str">
        <f>IFERROR(VLOOKUP(D71,'Master sheet (Clientes)'!A$6:D$747,3,0)," ")</f>
        <v>Greystar</v>
      </c>
      <c r="C71" s="54" t="str">
        <f>IFERROR(VLOOKUP(D71,'Master sheet (Clientes)'!A$6:D$747,4,0)," ")</f>
        <v>A-V</v>
      </c>
      <c r="D71" s="54" t="s">
        <v>309</v>
      </c>
      <c r="E71" s="54">
        <v>421</v>
      </c>
      <c r="F71" s="54" t="s">
        <v>946</v>
      </c>
      <c r="G71" s="54" t="s">
        <v>853</v>
      </c>
      <c r="H71" s="54" t="s">
        <v>1567</v>
      </c>
      <c r="I71" s="54" t="s">
        <v>1411</v>
      </c>
      <c r="J71" s="54" t="s">
        <v>48</v>
      </c>
      <c r="K71" s="54"/>
      <c r="L71" s="54"/>
      <c r="M71" s="54"/>
      <c r="N71" s="54" t="s">
        <v>1268</v>
      </c>
    </row>
    <row r="72" spans="1:20">
      <c r="A72" s="1"/>
      <c r="B72" s="1"/>
      <c r="C72" s="1"/>
      <c r="D72" s="1"/>
      <c r="E72" s="1"/>
      <c r="F72" s="1"/>
      <c r="G72" s="1"/>
      <c r="H72" s="1"/>
      <c r="I72" s="1"/>
      <c r="J72" s="1"/>
      <c r="K72" s="1"/>
      <c r="L72" s="1"/>
      <c r="M72" s="1"/>
      <c r="N72" s="1"/>
    </row>
    <row r="73" spans="1:20" s="1" customFormat="1" ht="47">
      <c r="A73" s="4" t="s">
        <v>8</v>
      </c>
      <c r="B73" s="4" t="s">
        <v>9</v>
      </c>
      <c r="C73" s="4" t="s">
        <v>10</v>
      </c>
      <c r="D73" s="4" t="s">
        <v>11</v>
      </c>
      <c r="E73" s="4" t="s">
        <v>12</v>
      </c>
      <c r="F73" s="4" t="s">
        <v>13</v>
      </c>
      <c r="G73" s="38" t="s">
        <v>14</v>
      </c>
      <c r="H73" s="4" t="s">
        <v>15</v>
      </c>
      <c r="I73" s="38" t="s">
        <v>16</v>
      </c>
      <c r="J73" s="38" t="s">
        <v>17</v>
      </c>
      <c r="K73" s="38" t="s">
        <v>18</v>
      </c>
      <c r="L73" s="38" t="s">
        <v>19</v>
      </c>
      <c r="M73" s="38" t="s">
        <v>20</v>
      </c>
      <c r="N73" s="38" t="s">
        <v>21</v>
      </c>
    </row>
    <row r="74" spans="1:20" s="94" customFormat="1" ht="70.5">
      <c r="A74" s="92" t="str">
        <f>IFERROR(VLOOKUP(D74,'Master sheet (Clientes)'!A$6:D$747,2,0)," ")</f>
        <v>NJ</v>
      </c>
      <c r="B74" s="92" t="str">
        <f>IFERROR(VLOOKUP(D74,'Master sheet (Clientes)'!A$6:D$747,3,0)," ")</f>
        <v>Vivmark Residential</v>
      </c>
      <c r="C74" s="92" t="str">
        <f>IFERROR(VLOOKUP(D74,'Master sheet (Clientes)'!A$6:D$747,4,0)," ")</f>
        <v>A-V</v>
      </c>
      <c r="D74" s="92" t="s">
        <v>286</v>
      </c>
      <c r="E74" s="92">
        <v>4104</v>
      </c>
      <c r="F74" s="92" t="s">
        <v>946</v>
      </c>
      <c r="G74" s="92" t="s">
        <v>853</v>
      </c>
      <c r="H74" s="92" t="s">
        <v>1856</v>
      </c>
      <c r="I74" s="92" t="s">
        <v>901</v>
      </c>
      <c r="J74" s="92" t="s">
        <v>1158</v>
      </c>
      <c r="K74" s="92"/>
      <c r="L74" s="92"/>
      <c r="M74" s="92"/>
      <c r="N74" s="92" t="s">
        <v>1830</v>
      </c>
      <c r="O74" s="93"/>
      <c r="P74" s="93"/>
      <c r="Q74" s="93"/>
    </row>
    <row r="75" spans="1:20" ht="70.5">
      <c r="A75" s="54" t="str">
        <f>IFERROR(VLOOKUP(D75,'Master sheet (Clientes)'!A$6:D$747,2,0)," ")</f>
        <v>NJ</v>
      </c>
      <c r="B75" s="54" t="str">
        <f>IFERROR(VLOOKUP(D75,'Master sheet (Clientes)'!A$6:D$747,3,0)," ")</f>
        <v>Vivmark Residential</v>
      </c>
      <c r="C75" s="54" t="str">
        <f>IFERROR(VLOOKUP(D75,'Master sheet (Clientes)'!A$6:D$747,4,0)," ")</f>
        <v>A-V</v>
      </c>
      <c r="D75" s="54" t="s">
        <v>286</v>
      </c>
      <c r="E75" s="54">
        <v>3102</v>
      </c>
      <c r="F75" s="54" t="s">
        <v>874</v>
      </c>
      <c r="G75" s="54" t="s">
        <v>853</v>
      </c>
      <c r="H75" s="54" t="s">
        <v>857</v>
      </c>
      <c r="I75" s="54" t="s">
        <v>901</v>
      </c>
      <c r="J75" s="54" t="s">
        <v>1154</v>
      </c>
      <c r="K75" s="54"/>
      <c r="L75" s="54"/>
      <c r="M75" s="54"/>
      <c r="N75" s="54"/>
    </row>
    <row r="76" spans="1:20" ht="70.5">
      <c r="A76" s="54" t="str">
        <f>IFERROR(VLOOKUP(D76,'Master sheet (Clientes)'!A$6:D$747,2,0)," ")</f>
        <v>NJ</v>
      </c>
      <c r="B76" s="54" t="str">
        <f>IFERROR(VLOOKUP(D76,'Master sheet (Clientes)'!A$6:D$747,3,0)," ")</f>
        <v>Vivmark Residential</v>
      </c>
      <c r="C76" s="54" t="str">
        <f>IFERROR(VLOOKUP(D76,'Master sheet (Clientes)'!A$6:D$747,4,0)," ")</f>
        <v>A-V</v>
      </c>
      <c r="D76" s="54" t="s">
        <v>286</v>
      </c>
      <c r="E76" s="54">
        <v>2408</v>
      </c>
      <c r="F76" s="54" t="s">
        <v>874</v>
      </c>
      <c r="G76" s="54" t="s">
        <v>853</v>
      </c>
      <c r="H76" s="54" t="s">
        <v>857</v>
      </c>
      <c r="I76" s="54" t="s">
        <v>901</v>
      </c>
      <c r="J76" s="54" t="s">
        <v>1154</v>
      </c>
      <c r="K76" s="54"/>
      <c r="L76" s="54"/>
      <c r="M76" s="54"/>
      <c r="N76" s="54"/>
    </row>
    <row r="77" spans="1:20" ht="70.5">
      <c r="A77" s="54" t="str">
        <f>IFERROR(VLOOKUP(D77,'Master sheet (Clientes)'!A$6:D$747,2,0)," ")</f>
        <v>NJ</v>
      </c>
      <c r="B77" s="54" t="str">
        <f>IFERROR(VLOOKUP(D77,'Master sheet (Clientes)'!A$6:D$747,3,0)," ")</f>
        <v>Vivmark Residential</v>
      </c>
      <c r="C77" s="54" t="str">
        <f>IFERROR(VLOOKUP(D77,'Master sheet (Clientes)'!A$6:D$747,4,0)," ")</f>
        <v>A-V</v>
      </c>
      <c r="D77" s="54" t="s">
        <v>292</v>
      </c>
      <c r="E77" s="54">
        <v>542</v>
      </c>
      <c r="F77" s="54" t="s">
        <v>45</v>
      </c>
      <c r="G77" s="54" t="s">
        <v>853</v>
      </c>
      <c r="H77" s="54" t="s">
        <v>1418</v>
      </c>
      <c r="I77" s="54" t="s">
        <v>901</v>
      </c>
      <c r="J77" s="54" t="s">
        <v>973</v>
      </c>
      <c r="K77" s="54"/>
      <c r="L77" s="54"/>
      <c r="M77" s="54"/>
      <c r="N77" s="54"/>
    </row>
    <row r="78" spans="1:20" s="117" customFormat="1" ht="47">
      <c r="A78" s="114" t="str">
        <f>IFERROR(VLOOKUP(D78,'Master sheet (Clientes)'!A$6:D$747,2,0)," ")</f>
        <v>NJ</v>
      </c>
      <c r="B78" s="114" t="str">
        <f>IFERROR(VLOOKUP(D78,'Master sheet (Clientes)'!A$6:D$747,3,0)," ")</f>
        <v>Skylight</v>
      </c>
      <c r="C78" s="114" t="str">
        <f>IFERROR(VLOOKUP(D78,'Master sheet (Clientes)'!A$6:D$747,4,0)," ")</f>
        <v>N-O</v>
      </c>
      <c r="D78" s="54" t="s">
        <v>713</v>
      </c>
      <c r="E78" s="114">
        <v>303</v>
      </c>
      <c r="F78" s="114" t="s">
        <v>45</v>
      </c>
      <c r="G78" s="114" t="s">
        <v>853</v>
      </c>
      <c r="H78" s="114" t="s">
        <v>1667</v>
      </c>
      <c r="I78" s="54" t="s">
        <v>901</v>
      </c>
      <c r="J78" s="114" t="s">
        <v>48</v>
      </c>
      <c r="K78" s="114"/>
      <c r="L78" s="114"/>
      <c r="M78" s="114"/>
      <c r="N78" s="114"/>
      <c r="O78" s="35"/>
      <c r="P78" s="35"/>
      <c r="Q78" s="35"/>
      <c r="R78" s="116"/>
      <c r="S78" s="116"/>
      <c r="T78" s="116"/>
    </row>
    <row r="79" spans="1:20">
      <c r="A79" s="1"/>
      <c r="B79" s="1"/>
      <c r="C79" s="1"/>
      <c r="D79" s="1"/>
      <c r="E79" s="1"/>
      <c r="F79" s="1"/>
      <c r="G79" s="1"/>
      <c r="H79" s="1"/>
      <c r="I79" s="1"/>
      <c r="J79" s="1"/>
      <c r="K79" s="1"/>
      <c r="L79" s="1"/>
      <c r="M79" s="1"/>
      <c r="N79" s="1"/>
    </row>
    <row r="80" spans="1:20" s="1" customFormat="1" ht="47">
      <c r="A80" s="4" t="s">
        <v>8</v>
      </c>
      <c r="B80" s="4" t="s">
        <v>9</v>
      </c>
      <c r="C80" s="4" t="s">
        <v>10</v>
      </c>
      <c r="D80" s="4" t="s">
        <v>11</v>
      </c>
      <c r="E80" s="4" t="s">
        <v>12</v>
      </c>
      <c r="F80" s="4" t="s">
        <v>13</v>
      </c>
      <c r="G80" s="38" t="s">
        <v>14</v>
      </c>
      <c r="H80" s="4" t="s">
        <v>15</v>
      </c>
      <c r="I80" s="38" t="s">
        <v>16</v>
      </c>
      <c r="J80" s="38" t="s">
        <v>17</v>
      </c>
      <c r="K80" s="38" t="s">
        <v>18</v>
      </c>
      <c r="L80" s="38" t="s">
        <v>19</v>
      </c>
      <c r="M80" s="38" t="s">
        <v>20</v>
      </c>
      <c r="N80" s="38" t="s">
        <v>21</v>
      </c>
    </row>
    <row r="81" spans="1:20" ht="47">
      <c r="A81" s="54" t="str">
        <f>IFERROR(VLOOKUP(D81,'Master sheet (Clientes)'!A$6:D$747,2,0)," ")</f>
        <v>NJ</v>
      </c>
      <c r="B81" s="54" t="str">
        <f>IFERROR(VLOOKUP(D81,'Master sheet (Clientes)'!A$6:D$747,3,0)," ")</f>
        <v>Bozzuto</v>
      </c>
      <c r="C81" s="54" t="str">
        <f>IFERROR(VLOOKUP(D81,'Master sheet (Clientes)'!A$6:D$747,4,0)," ")</f>
        <v>N-O</v>
      </c>
      <c r="D81" s="54" t="s">
        <v>175</v>
      </c>
      <c r="E81" s="54">
        <v>1204</v>
      </c>
      <c r="F81" s="54" t="s">
        <v>45</v>
      </c>
      <c r="G81" s="54" t="s">
        <v>46</v>
      </c>
      <c r="H81" s="54" t="s">
        <v>1418</v>
      </c>
      <c r="I81" s="54" t="s">
        <v>896</v>
      </c>
      <c r="J81" s="54" t="s">
        <v>48</v>
      </c>
      <c r="K81" s="54"/>
      <c r="L81" s="54"/>
      <c r="M81" s="54"/>
      <c r="N81" s="54"/>
    </row>
    <row r="82" spans="1:20" ht="47">
      <c r="A82" s="54" t="str">
        <f>IFERROR(VLOOKUP(D82,'Master sheet (Clientes)'!A$6:D$747,2,0)," ")</f>
        <v>NJ</v>
      </c>
      <c r="B82" s="54" t="str">
        <f>IFERROR(VLOOKUP(D82,'Master sheet (Clientes)'!A$6:D$747,3,0)," ")</f>
        <v>Skylight</v>
      </c>
      <c r="C82" s="54" t="str">
        <f>IFERROR(VLOOKUP(D82,'Master sheet (Clientes)'!A$6:D$747,4,0)," ")</f>
        <v>N-O</v>
      </c>
      <c r="D82" s="54" t="s">
        <v>726</v>
      </c>
      <c r="E82" s="54">
        <v>410</v>
      </c>
      <c r="F82" s="54" t="s">
        <v>1279</v>
      </c>
      <c r="G82" s="54" t="s">
        <v>853</v>
      </c>
      <c r="H82" s="54" t="s">
        <v>1418</v>
      </c>
      <c r="I82" s="54" t="s">
        <v>896</v>
      </c>
      <c r="J82" s="54" t="s">
        <v>48</v>
      </c>
      <c r="K82" s="54"/>
      <c r="L82" s="54"/>
      <c r="M82" s="54"/>
      <c r="N82" s="54"/>
    </row>
    <row r="83" spans="1:20">
      <c r="A83" s="1"/>
      <c r="B83" s="1"/>
      <c r="C83" s="1"/>
      <c r="D83" s="1"/>
      <c r="E83" s="1"/>
      <c r="F83" s="1"/>
      <c r="G83" s="1"/>
      <c r="H83" s="1"/>
      <c r="I83" s="1"/>
      <c r="J83" s="1"/>
      <c r="K83" s="1"/>
      <c r="L83" s="1"/>
      <c r="M83" s="1"/>
      <c r="N83" s="1"/>
    </row>
    <row r="84" spans="1:20" s="1" customFormat="1" ht="47">
      <c r="A84" s="4" t="s">
        <v>8</v>
      </c>
      <c r="B84" s="4" t="s">
        <v>9</v>
      </c>
      <c r="C84" s="4" t="s">
        <v>10</v>
      </c>
      <c r="D84" s="4" t="s">
        <v>11</v>
      </c>
      <c r="E84" s="4" t="s">
        <v>12</v>
      </c>
      <c r="F84" s="4" t="s">
        <v>13</v>
      </c>
      <c r="G84" s="38" t="s">
        <v>14</v>
      </c>
      <c r="H84" s="4" t="s">
        <v>15</v>
      </c>
      <c r="I84" s="38" t="s">
        <v>16</v>
      </c>
      <c r="J84" s="38" t="s">
        <v>17</v>
      </c>
      <c r="K84" s="38" t="s">
        <v>18</v>
      </c>
      <c r="L84" s="38" t="s">
        <v>19</v>
      </c>
      <c r="M84" s="38" t="s">
        <v>20</v>
      </c>
      <c r="N84" s="38" t="s">
        <v>21</v>
      </c>
    </row>
    <row r="85" spans="1:20" ht="70.5">
      <c r="A85" s="54" t="str">
        <f>IFERROR(VLOOKUP(D85,'Master sheet (Clientes)'!A$6:D$747,2,0)," ")</f>
        <v>NJ</v>
      </c>
      <c r="B85" s="54" t="str">
        <f>IFERROR(VLOOKUP(D85,'Master sheet (Clientes)'!A$6:D$747,3,0)," ")</f>
        <v>Dalan Management</v>
      </c>
      <c r="C85" s="54" t="str">
        <f>IFERROR(VLOOKUP(D85,'Master sheet (Clientes)'!A$6:D$747,4,0)," ")</f>
        <v>N-O</v>
      </c>
      <c r="D85" s="54" t="s">
        <v>254</v>
      </c>
      <c r="E85" s="54">
        <v>1611</v>
      </c>
      <c r="F85" s="54" t="s">
        <v>1279</v>
      </c>
      <c r="G85" s="54" t="s">
        <v>853</v>
      </c>
      <c r="H85" s="54" t="s">
        <v>1669</v>
      </c>
      <c r="I85" s="54" t="s">
        <v>1137</v>
      </c>
      <c r="J85" s="54" t="s">
        <v>48</v>
      </c>
      <c r="K85" s="54"/>
      <c r="L85" s="54"/>
      <c r="M85" s="54"/>
      <c r="N85" s="54"/>
    </row>
    <row r="86" spans="1:20">
      <c r="A86" s="1"/>
      <c r="B86" s="1"/>
      <c r="C86" s="1"/>
      <c r="D86" s="1"/>
      <c r="E86" s="1"/>
      <c r="F86" s="1"/>
      <c r="G86" s="1"/>
      <c r="H86" s="1"/>
      <c r="I86" s="1"/>
      <c r="J86" s="1"/>
      <c r="K86" s="1"/>
      <c r="L86" s="1"/>
      <c r="M86" s="1"/>
      <c r="N86" s="1"/>
    </row>
    <row r="87" spans="1:20" s="1" customFormat="1" ht="47">
      <c r="A87" s="4" t="s">
        <v>8</v>
      </c>
      <c r="B87" s="4" t="s">
        <v>9</v>
      </c>
      <c r="C87" s="4" t="s">
        <v>10</v>
      </c>
      <c r="D87" s="4" t="s">
        <v>11</v>
      </c>
      <c r="E87" s="4" t="s">
        <v>12</v>
      </c>
      <c r="F87" s="4" t="s">
        <v>13</v>
      </c>
      <c r="G87" s="38" t="s">
        <v>14</v>
      </c>
      <c r="H87" s="4" t="s">
        <v>15</v>
      </c>
      <c r="I87" s="38" t="s">
        <v>16</v>
      </c>
      <c r="J87" s="38" t="s">
        <v>17</v>
      </c>
      <c r="K87" s="38" t="s">
        <v>18</v>
      </c>
      <c r="L87" s="38" t="s">
        <v>19</v>
      </c>
      <c r="M87" s="38" t="s">
        <v>20</v>
      </c>
      <c r="N87" s="38" t="s">
        <v>21</v>
      </c>
    </row>
    <row r="88" spans="1:20" s="12" customFormat="1" ht="70.5">
      <c r="A88" s="54" t="str">
        <f>IFERROR(VLOOKUP(D88,'Master sheet (Clientes)'!A$6:D$747,2,0)," ")</f>
        <v>NJ</v>
      </c>
      <c r="B88" s="54" t="str">
        <f>IFERROR(VLOOKUP(D88,'Master sheet (Clientes)'!A$6:D$747,3,0)," ")</f>
        <v>Vivmark Residential</v>
      </c>
      <c r="C88" s="54" t="str">
        <f>IFERROR(VLOOKUP(D88,'Master sheet (Clientes)'!A$6:D$747,4,0)," ")</f>
        <v>N-O</v>
      </c>
      <c r="D88" s="54" t="s">
        <v>83</v>
      </c>
      <c r="E88" s="54">
        <v>2325</v>
      </c>
      <c r="F88" s="54"/>
      <c r="G88" s="54" t="s">
        <v>917</v>
      </c>
      <c r="H88" s="54" t="s">
        <v>1530</v>
      </c>
      <c r="I88" s="54" t="s">
        <v>883</v>
      </c>
      <c r="J88" s="54" t="s">
        <v>48</v>
      </c>
      <c r="K88" s="54"/>
      <c r="L88" s="54"/>
      <c r="M88" s="54"/>
      <c r="N88" s="54"/>
      <c r="O88" s="1"/>
      <c r="P88" s="1"/>
      <c r="Q88" s="1"/>
      <c r="R88" s="11"/>
      <c r="S88" s="11"/>
      <c r="T88" s="11"/>
    </row>
    <row r="89" spans="1:20" ht="70.5">
      <c r="A89" s="54" t="str">
        <f>IFERROR(VLOOKUP(D89,'Master sheet (Clientes)'!A$6:D$747,2,0)," ")</f>
        <v>NJ</v>
      </c>
      <c r="B89" s="54" t="str">
        <f>IFERROR(VLOOKUP(D89,'Master sheet (Clientes)'!A$6:D$747,3,0)," ")</f>
        <v>Vivmark Residential</v>
      </c>
      <c r="C89" s="54" t="str">
        <f>IFERROR(VLOOKUP(D89,'Master sheet (Clientes)'!A$6:D$747,4,0)," ")</f>
        <v>N-O</v>
      </c>
      <c r="D89" s="54" t="s">
        <v>83</v>
      </c>
      <c r="E89" s="54">
        <v>5424</v>
      </c>
      <c r="F89" s="54"/>
      <c r="G89" s="54" t="s">
        <v>853</v>
      </c>
      <c r="H89" s="54" t="s">
        <v>1708</v>
      </c>
      <c r="I89" s="54" t="s">
        <v>883</v>
      </c>
      <c r="J89" s="54" t="s">
        <v>48</v>
      </c>
      <c r="K89" s="54"/>
      <c r="L89" s="54"/>
      <c r="M89" s="54"/>
      <c r="N89" s="54"/>
    </row>
    <row r="90" spans="1:20" ht="70.5">
      <c r="A90" s="54" t="str">
        <f>IFERROR(VLOOKUP(D90,'Master sheet (Clientes)'!A$6:D$747,2,0)," ")</f>
        <v>NJ</v>
      </c>
      <c r="B90" s="54" t="str">
        <f>IFERROR(VLOOKUP(D90,'Master sheet (Clientes)'!A$6:D$747,3,0)," ")</f>
        <v>Vivmark Residential</v>
      </c>
      <c r="C90" s="54" t="str">
        <f>IFERROR(VLOOKUP(D90,'Master sheet (Clientes)'!A$6:D$747,4,0)," ")</f>
        <v>N-O</v>
      </c>
      <c r="D90" s="54" t="s">
        <v>83</v>
      </c>
      <c r="E90" s="54">
        <v>3253</v>
      </c>
      <c r="F90" s="54"/>
      <c r="G90" s="54" t="s">
        <v>853</v>
      </c>
      <c r="H90" s="54" t="s">
        <v>1709</v>
      </c>
      <c r="I90" s="54" t="s">
        <v>883</v>
      </c>
      <c r="J90" s="54" t="s">
        <v>48</v>
      </c>
      <c r="K90" s="54"/>
      <c r="L90" s="54"/>
      <c r="M90" s="54"/>
      <c r="N90" s="54"/>
    </row>
    <row r="91" spans="1:20" s="94" customFormat="1" ht="70.5">
      <c r="A91" s="92" t="str">
        <f>IFERROR(VLOOKUP(D91,'Master sheet (Clientes)'!A$6:D$747,2,0)," ")</f>
        <v>NJ</v>
      </c>
      <c r="B91" s="92" t="str">
        <f>IFERROR(VLOOKUP(D91,'Master sheet (Clientes)'!A$6:D$747,3,0)," ")</f>
        <v>Vivmark Residential</v>
      </c>
      <c r="C91" s="92" t="str">
        <f>IFERROR(VLOOKUP(D91,'Master sheet (Clientes)'!A$6:D$747,4,0)," ")</f>
        <v>A-V</v>
      </c>
      <c r="D91" s="92" t="s">
        <v>292</v>
      </c>
      <c r="E91" s="92">
        <v>754</v>
      </c>
      <c r="F91" s="92"/>
      <c r="G91" s="92" t="s">
        <v>917</v>
      </c>
      <c r="H91" s="92" t="s">
        <v>1810</v>
      </c>
      <c r="I91" s="92" t="s">
        <v>883</v>
      </c>
      <c r="J91" s="92" t="s">
        <v>1593</v>
      </c>
      <c r="K91" s="92"/>
      <c r="L91" s="92"/>
      <c r="M91" s="92"/>
      <c r="N91" s="92" t="s">
        <v>1811</v>
      </c>
      <c r="O91" s="93"/>
      <c r="P91" s="93"/>
      <c r="Q91" s="93"/>
    </row>
    <row r="92" spans="1:20" ht="47">
      <c r="A92" s="54" t="str">
        <f>IFERROR(VLOOKUP(D92,'Master sheet (Clientes)'!A$6:D$747,2,0)," ")</f>
        <v>NJ</v>
      </c>
      <c r="B92" s="54" t="str">
        <f>IFERROR(VLOOKUP(D92,'Master sheet (Clientes)'!A$6:D$747,3,0)," ")</f>
        <v>Skylight</v>
      </c>
      <c r="C92" s="54" t="str">
        <f>IFERROR(VLOOKUP(D92,'Master sheet (Clientes)'!A$6:D$747,4,0)," ")</f>
        <v>N-O</v>
      </c>
      <c r="D92" s="54" t="s">
        <v>729</v>
      </c>
      <c r="E92" s="54">
        <v>504</v>
      </c>
      <c r="F92" s="54" t="s">
        <v>45</v>
      </c>
      <c r="G92" s="54" t="s">
        <v>853</v>
      </c>
      <c r="H92" s="54" t="s">
        <v>1673</v>
      </c>
      <c r="I92" s="54" t="s">
        <v>883</v>
      </c>
      <c r="J92" s="54" t="s">
        <v>48</v>
      </c>
      <c r="K92" s="54"/>
      <c r="L92" s="54"/>
      <c r="M92" s="54"/>
      <c r="N92" s="54"/>
    </row>
    <row r="93" spans="1:20" ht="70.5">
      <c r="A93" s="54" t="str">
        <f>IFERROR(VLOOKUP(D93,'Master sheet (Clientes)'!A$6:D$747,2,0)," ")</f>
        <v>NJ</v>
      </c>
      <c r="B93" s="54" t="str">
        <f>IFERROR(VLOOKUP(D93,'Master sheet (Clientes)'!A$6:D$747,3,0)," ")</f>
        <v>Windsor Communities</v>
      </c>
      <c r="C93" s="54" t="str">
        <f>IFERROR(VLOOKUP(D93,'Master sheet (Clientes)'!A$6:D$747,4,0)," ")</f>
        <v>A-V</v>
      </c>
      <c r="D93" s="54" t="s">
        <v>789</v>
      </c>
      <c r="E93" s="54">
        <v>2140</v>
      </c>
      <c r="F93" s="54"/>
      <c r="G93" s="54" t="s">
        <v>853</v>
      </c>
      <c r="H93" s="54" t="s">
        <v>1773</v>
      </c>
      <c r="I93" s="54" t="s">
        <v>883</v>
      </c>
      <c r="J93" s="54" t="s">
        <v>48</v>
      </c>
      <c r="K93" s="54"/>
      <c r="L93" s="54"/>
      <c r="M93" s="54"/>
      <c r="N93" s="54"/>
    </row>
    <row r="94" spans="1:20">
      <c r="A94" s="1"/>
      <c r="B94" s="1"/>
      <c r="C94" s="1"/>
      <c r="D94" s="1"/>
      <c r="E94" s="1"/>
      <c r="F94" s="1"/>
      <c r="G94" s="1"/>
      <c r="H94" s="1"/>
      <c r="I94" s="1"/>
      <c r="J94" s="1"/>
      <c r="K94" s="1"/>
      <c r="L94" s="1"/>
      <c r="M94" s="1"/>
      <c r="N94" s="1"/>
    </row>
    <row r="95" spans="1:20" s="1" customFormat="1" ht="47">
      <c r="A95" s="4" t="s">
        <v>8</v>
      </c>
      <c r="B95" s="4" t="s">
        <v>9</v>
      </c>
      <c r="C95" s="4" t="s">
        <v>10</v>
      </c>
      <c r="D95" s="4" t="s">
        <v>11</v>
      </c>
      <c r="E95" s="4" t="s">
        <v>12</v>
      </c>
      <c r="F95" s="4" t="s">
        <v>13</v>
      </c>
      <c r="G95" s="38" t="s">
        <v>14</v>
      </c>
      <c r="H95" s="4" t="s">
        <v>15</v>
      </c>
      <c r="I95" s="38" t="s">
        <v>16</v>
      </c>
      <c r="J95" s="38" t="s">
        <v>17</v>
      </c>
      <c r="K95" s="38" t="s">
        <v>18</v>
      </c>
      <c r="L95" s="38" t="s">
        <v>19</v>
      </c>
      <c r="M95" s="38" t="s">
        <v>20</v>
      </c>
      <c r="N95" s="38" t="s">
        <v>21</v>
      </c>
    </row>
    <row r="96" spans="1:20" ht="70.5">
      <c r="A96" s="54" t="str">
        <f>IFERROR(VLOOKUP(D96,'Master sheet (Clientes)'!A$6:D$747,2,0)," ")</f>
        <v>NJ</v>
      </c>
      <c r="B96" s="54" t="str">
        <f>IFERROR(VLOOKUP(D96,'Master sheet (Clientes)'!A$6:D$747,3,0)," ")</f>
        <v>Bozzuto</v>
      </c>
      <c r="C96" s="54" t="str">
        <f>IFERROR(VLOOKUP(D96,'Master sheet (Clientes)'!A$6:D$747,4,0)," ")</f>
        <v>N-O</v>
      </c>
      <c r="D96" s="54" t="s">
        <v>44</v>
      </c>
      <c r="E96" s="54" t="s">
        <v>1531</v>
      </c>
      <c r="F96" s="54"/>
      <c r="G96" s="54" t="s">
        <v>917</v>
      </c>
      <c r="H96" s="54" t="s">
        <v>1532</v>
      </c>
      <c r="I96" s="54" t="s">
        <v>1505</v>
      </c>
      <c r="J96" s="54" t="s">
        <v>48</v>
      </c>
      <c r="K96" s="54" t="s">
        <v>1534</v>
      </c>
      <c r="L96" s="54"/>
      <c r="M96" s="54"/>
      <c r="N96" s="54"/>
    </row>
    <row r="97" spans="1:20">
      <c r="A97" s="1"/>
      <c r="B97" s="1"/>
      <c r="C97" s="1"/>
      <c r="D97" s="1"/>
      <c r="E97" s="1"/>
      <c r="F97" s="1"/>
      <c r="G97" s="1"/>
      <c r="H97" s="1"/>
      <c r="I97" s="1"/>
      <c r="J97" s="1"/>
      <c r="K97" s="1"/>
      <c r="L97" s="1"/>
      <c r="M97" s="1"/>
      <c r="N97" s="1"/>
    </row>
    <row r="98" spans="1:20" s="1" customFormat="1" ht="47">
      <c r="A98" s="4" t="s">
        <v>8</v>
      </c>
      <c r="B98" s="4" t="s">
        <v>9</v>
      </c>
      <c r="C98" s="4" t="s">
        <v>10</v>
      </c>
      <c r="D98" s="4" t="s">
        <v>11</v>
      </c>
      <c r="E98" s="4" t="s">
        <v>12</v>
      </c>
      <c r="F98" s="4" t="s">
        <v>13</v>
      </c>
      <c r="G98" s="38" t="s">
        <v>14</v>
      </c>
      <c r="H98" s="4" t="s">
        <v>15</v>
      </c>
      <c r="I98" s="38" t="s">
        <v>16</v>
      </c>
      <c r="J98" s="38" t="s">
        <v>17</v>
      </c>
      <c r="K98" s="38" t="s">
        <v>18</v>
      </c>
      <c r="L98" s="38" t="s">
        <v>19</v>
      </c>
      <c r="M98" s="38" t="s">
        <v>20</v>
      </c>
      <c r="N98" s="38" t="s">
        <v>21</v>
      </c>
    </row>
    <row r="99" spans="1:20" s="111" customFormat="1" ht="94">
      <c r="A99" s="92" t="str">
        <f>IFERROR(VLOOKUP(D99,'Master sheet (Clientes)'!A$6:D$747,2,0)," ")</f>
        <v>NJ</v>
      </c>
      <c r="B99" s="92" t="str">
        <f>IFERROR(VLOOKUP(D99,'Master sheet (Clientes)'!A$6:D$747,3,0)," ")</f>
        <v>Skylight</v>
      </c>
      <c r="C99" s="92" t="str">
        <f>IFERROR(VLOOKUP(D99,'Master sheet (Clientes)'!A$6:D$747,4,0)," ")</f>
        <v>N-O</v>
      </c>
      <c r="D99" s="92" t="s">
        <v>726</v>
      </c>
      <c r="E99" s="92" t="s">
        <v>848</v>
      </c>
      <c r="F99" s="92"/>
      <c r="G99" s="92"/>
      <c r="H99" s="92" t="s">
        <v>1489</v>
      </c>
      <c r="I99" s="92" t="s">
        <v>850</v>
      </c>
      <c r="J99" s="92" t="s">
        <v>48</v>
      </c>
      <c r="K99" s="92" t="s">
        <v>849</v>
      </c>
      <c r="L99" s="92"/>
      <c r="M99" s="92"/>
      <c r="N99" s="92" t="s">
        <v>1748</v>
      </c>
      <c r="O99" s="93"/>
      <c r="P99" s="93"/>
      <c r="Q99" s="93"/>
      <c r="R99" s="110"/>
      <c r="S99" s="110"/>
      <c r="T99" s="110"/>
    </row>
    <row r="100" spans="1:20">
      <c r="A100" s="1"/>
      <c r="B100" s="1"/>
      <c r="C100" s="1"/>
      <c r="D100" s="1"/>
      <c r="E100" s="1"/>
      <c r="F100" s="1"/>
      <c r="G100" s="1"/>
      <c r="H100" s="1"/>
      <c r="I100" s="1"/>
      <c r="J100" s="1"/>
      <c r="K100" s="1"/>
      <c r="L100" s="1"/>
      <c r="M100" s="1"/>
      <c r="N100" s="1"/>
    </row>
    <row r="101" spans="1:20" ht="26">
      <c r="A101" s="33"/>
      <c r="B101" s="33"/>
      <c r="C101" s="33"/>
      <c r="D101" s="127" t="s">
        <v>26</v>
      </c>
      <c r="E101" s="127"/>
      <c r="F101" s="127"/>
      <c r="G101" s="127"/>
      <c r="H101" s="127"/>
      <c r="I101" s="127"/>
      <c r="J101" s="127"/>
      <c r="K101" s="127"/>
      <c r="L101" s="127"/>
      <c r="M101" s="16"/>
      <c r="N101" s="16"/>
    </row>
    <row r="102" spans="1:20" s="5" customFormat="1" ht="26">
      <c r="A102" s="43"/>
      <c r="B102" s="43"/>
      <c r="C102" s="43"/>
      <c r="D102" s="128" t="s">
        <v>27</v>
      </c>
      <c r="E102" s="128"/>
      <c r="F102" s="128"/>
      <c r="G102" s="128"/>
      <c r="H102" s="128"/>
      <c r="I102" s="128"/>
      <c r="J102" s="128"/>
      <c r="K102" s="128"/>
      <c r="L102" s="128"/>
      <c r="M102" s="44"/>
      <c r="N102" s="44"/>
      <c r="O102" s="35"/>
      <c r="P102" s="35"/>
      <c r="Q102" s="35"/>
    </row>
    <row r="103" spans="1:20" s="1" customFormat="1">
      <c r="A103" s="3"/>
      <c r="B103" s="3"/>
      <c r="C103" s="3"/>
      <c r="D103" s="3"/>
      <c r="E103" s="3"/>
      <c r="F103" s="3"/>
      <c r="G103" s="3"/>
      <c r="H103" s="3"/>
      <c r="I103" s="3"/>
      <c r="J103" s="3"/>
    </row>
    <row r="104" spans="1:20" s="1" customFormat="1" ht="47">
      <c r="A104" s="4" t="s">
        <v>8</v>
      </c>
      <c r="B104" s="4" t="s">
        <v>9</v>
      </c>
      <c r="C104" s="4" t="s">
        <v>10</v>
      </c>
      <c r="D104" s="4" t="s">
        <v>11</v>
      </c>
      <c r="E104" s="4" t="s">
        <v>12</v>
      </c>
      <c r="F104" s="4" t="s">
        <v>13</v>
      </c>
      <c r="G104" s="38" t="s">
        <v>14</v>
      </c>
      <c r="H104" s="4" t="s">
        <v>15</v>
      </c>
      <c r="I104" s="38" t="s">
        <v>16</v>
      </c>
      <c r="J104" s="38" t="s">
        <v>17</v>
      </c>
      <c r="K104" s="38" t="s">
        <v>18</v>
      </c>
      <c r="L104" s="38" t="s">
        <v>19</v>
      </c>
      <c r="M104" s="38" t="s">
        <v>20</v>
      </c>
      <c r="N104" s="38" t="s">
        <v>21</v>
      </c>
    </row>
    <row r="105" spans="1:20" ht="70.5">
      <c r="A105" s="54" t="str">
        <f>IFERROR(VLOOKUP(D105,'Master sheet (Clientes)'!A$6:D$747,2,0)," ")</f>
        <v>NJ</v>
      </c>
      <c r="B105" s="54" t="str">
        <f>IFERROR(VLOOKUP(D105,'Master sheet (Clientes)'!A$6:D$747,3,0)," ")</f>
        <v>C/O Realty</v>
      </c>
      <c r="C105" s="54" t="str">
        <f>IFERROR(VLOOKUP(D105,'Master sheet (Clientes)'!A$6:D$747,4,0)," ")</f>
        <v>N-O</v>
      </c>
      <c r="D105" s="54" t="s">
        <v>217</v>
      </c>
      <c r="E105" s="54"/>
      <c r="F105" s="54"/>
      <c r="G105" s="54"/>
      <c r="H105" s="54" t="s">
        <v>878</v>
      </c>
      <c r="I105" s="54" t="s">
        <v>1251</v>
      </c>
      <c r="J105" s="54" t="s">
        <v>869</v>
      </c>
      <c r="K105" s="54" t="s">
        <v>898</v>
      </c>
      <c r="L105" s="54"/>
      <c r="M105" s="54" t="s">
        <v>900</v>
      </c>
      <c r="N105" s="54"/>
    </row>
    <row r="106" spans="1:20" ht="70.5">
      <c r="A106" s="54" t="str">
        <f>IFERROR(VLOOKUP(D106,'Master sheet (Clientes)'!A$6:D$747,2,0)," ")</f>
        <v>NJ</v>
      </c>
      <c r="B106" s="54" t="str">
        <f>IFERROR(VLOOKUP(D106,'Master sheet (Clientes)'!A$6:D$747,3,0)," ")</f>
        <v>C/O Realty</v>
      </c>
      <c r="C106" s="54" t="str">
        <f>IFERROR(VLOOKUP(D106,'Master sheet (Clientes)'!A$6:D$747,4,0)," ")</f>
        <v>N-O</v>
      </c>
      <c r="D106" s="54" t="s">
        <v>217</v>
      </c>
      <c r="E106" s="54"/>
      <c r="F106" s="54"/>
      <c r="G106" s="54"/>
      <c r="H106" s="54" t="s">
        <v>879</v>
      </c>
      <c r="I106" s="54" t="s">
        <v>1858</v>
      </c>
      <c r="J106" s="54" t="s">
        <v>869</v>
      </c>
      <c r="K106" s="54" t="s">
        <v>899</v>
      </c>
      <c r="L106" s="54"/>
      <c r="M106" s="54" t="s">
        <v>900</v>
      </c>
      <c r="N106" s="54"/>
    </row>
    <row r="107" spans="1:20" ht="94">
      <c r="A107" s="54" t="str">
        <f>IFERROR(VLOOKUP(D107,'Master sheet (Clientes)'!A$6:D$747,2,0)," ")</f>
        <v>NJ</v>
      </c>
      <c r="B107" s="54" t="str">
        <f>IFERROR(VLOOKUP(D107,'Master sheet (Clientes)'!A$6:D$747,3,0)," ")</f>
        <v>C/O Realty</v>
      </c>
      <c r="C107" s="54" t="str">
        <f>IFERROR(VLOOKUP(D107,'Master sheet (Clientes)'!A$6:D$747,4,0)," ")</f>
        <v>N-O</v>
      </c>
      <c r="D107" s="54" t="s">
        <v>219</v>
      </c>
      <c r="E107" s="54"/>
      <c r="F107" s="54"/>
      <c r="G107" s="54"/>
      <c r="H107" s="54" t="s">
        <v>1008</v>
      </c>
      <c r="I107" s="54" t="s">
        <v>1009</v>
      </c>
      <c r="J107" s="54" t="s">
        <v>869</v>
      </c>
      <c r="K107" s="54"/>
      <c r="L107" s="54"/>
      <c r="M107" s="54" t="s">
        <v>1010</v>
      </c>
      <c r="N107" s="54"/>
    </row>
    <row r="108" spans="1:20" ht="94">
      <c r="A108" s="54" t="str">
        <f>IFERROR(VLOOKUP(D108,'Master sheet (Clientes)'!A$6:D$747,2,0)," ")</f>
        <v>NJ</v>
      </c>
      <c r="B108" s="54" t="str">
        <f>IFERROR(VLOOKUP(D108,'Master sheet (Clientes)'!A$6:D$747,3,0)," ")</f>
        <v>C/O Realty</v>
      </c>
      <c r="C108" s="54" t="str">
        <f>IFERROR(VLOOKUP(D108,'Master sheet (Clientes)'!A$6:D$747,4,0)," ")</f>
        <v>N-O</v>
      </c>
      <c r="D108" s="54" t="s">
        <v>218</v>
      </c>
      <c r="E108" s="54"/>
      <c r="F108" s="54"/>
      <c r="G108" s="54"/>
      <c r="H108" s="54" t="s">
        <v>1011</v>
      </c>
      <c r="I108" s="54" t="s">
        <v>1012</v>
      </c>
      <c r="J108" s="54" t="s">
        <v>869</v>
      </c>
      <c r="K108" s="54"/>
      <c r="L108" s="54"/>
      <c r="M108" s="54" t="s">
        <v>1010</v>
      </c>
      <c r="N108" s="54"/>
    </row>
    <row r="109" spans="1:20" s="94" customFormat="1" ht="47">
      <c r="A109" s="92" t="str">
        <f>IFERROR(VLOOKUP(D109,'Master sheet (Clientes)'!A$6:D$747,2,0)," ")</f>
        <v>NJ</v>
      </c>
      <c r="B109" s="92" t="str">
        <f>IFERROR(VLOOKUP(D109,'Master sheet (Clientes)'!A$6:D$747,3,0)," ")</f>
        <v>C/O Realty</v>
      </c>
      <c r="C109" s="92" t="str">
        <f>IFERROR(VLOOKUP(D109,'Master sheet (Clientes)'!A$6:D$747,4,0)," ")</f>
        <v>N-O</v>
      </c>
      <c r="D109" s="92" t="s">
        <v>212</v>
      </c>
      <c r="E109" s="92">
        <v>415</v>
      </c>
      <c r="F109" s="92" t="s">
        <v>45</v>
      </c>
      <c r="G109" s="92" t="s">
        <v>853</v>
      </c>
      <c r="H109" s="92" t="s">
        <v>1859</v>
      </c>
      <c r="I109" s="92" t="s">
        <v>1860</v>
      </c>
      <c r="J109" s="92" t="s">
        <v>869</v>
      </c>
      <c r="K109" s="92"/>
      <c r="L109" s="92"/>
      <c r="M109" s="92"/>
      <c r="N109" s="92" t="s">
        <v>1861</v>
      </c>
      <c r="O109" s="93"/>
      <c r="P109" s="93"/>
      <c r="Q109" s="93"/>
    </row>
    <row r="110" spans="1:20" s="94" customFormat="1" ht="70.5">
      <c r="A110" s="92" t="str">
        <f>IFERROR(VLOOKUP(D110,'Master sheet (Clientes)'!A$6:D$747,2,0)," ")</f>
        <v>NJ</v>
      </c>
      <c r="B110" s="92" t="str">
        <f>IFERROR(VLOOKUP(D110,'Master sheet (Clientes)'!A$6:D$747,3,0)," ")</f>
        <v>C/O Realty</v>
      </c>
      <c r="C110" s="92" t="str">
        <f>IFERROR(VLOOKUP(D110,'Master sheet (Clientes)'!A$6:D$747,4,0)," ")</f>
        <v>N-O</v>
      </c>
      <c r="D110" s="92" t="s">
        <v>220</v>
      </c>
      <c r="E110" s="92" t="s">
        <v>1002</v>
      </c>
      <c r="F110" s="92"/>
      <c r="G110" s="92"/>
      <c r="H110" s="92" t="s">
        <v>1294</v>
      </c>
      <c r="I110" s="92" t="s">
        <v>1863</v>
      </c>
      <c r="J110" s="92" t="s">
        <v>869</v>
      </c>
      <c r="K110" s="92"/>
      <c r="L110" s="92"/>
      <c r="M110" s="92" t="s">
        <v>1004</v>
      </c>
      <c r="N110" s="92" t="s">
        <v>1862</v>
      </c>
      <c r="O110" s="93"/>
      <c r="P110" s="93"/>
      <c r="Q110" s="93"/>
    </row>
    <row r="111" spans="1:20" ht="70.5">
      <c r="A111" s="54" t="str">
        <f>IFERROR(VLOOKUP(D111,'Master sheet (Clientes)'!A$6:D$747,2,0)," ")</f>
        <v>NJ</v>
      </c>
      <c r="B111" s="54" t="str">
        <f>IFERROR(VLOOKUP(D111,'Master sheet (Clientes)'!A$6:D$747,3,0)," ")</f>
        <v>C/O Realty</v>
      </c>
      <c r="C111" s="54" t="str">
        <f>IFERROR(VLOOKUP(D111,'Master sheet (Clientes)'!A$6:D$747,4,0)," ")</f>
        <v>N-O</v>
      </c>
      <c r="D111" s="54" t="s">
        <v>221</v>
      </c>
      <c r="E111" s="54"/>
      <c r="F111" s="54"/>
      <c r="G111" s="54"/>
      <c r="H111" s="54" t="s">
        <v>929</v>
      </c>
      <c r="I111" s="54" t="s">
        <v>930</v>
      </c>
      <c r="J111" s="54" t="s">
        <v>869</v>
      </c>
      <c r="K111" s="54" t="s">
        <v>931</v>
      </c>
      <c r="L111" s="54"/>
      <c r="M111" s="54" t="s">
        <v>932</v>
      </c>
      <c r="N111" s="54"/>
    </row>
    <row r="112" spans="1:20" ht="70.5">
      <c r="A112" s="54" t="str">
        <f>IFERROR(VLOOKUP(D112,'Master sheet (Clientes)'!A$6:D$747,2,0)," ")</f>
        <v>NJ</v>
      </c>
      <c r="B112" s="54" t="str">
        <f>IFERROR(VLOOKUP(D112,'Master sheet (Clientes)'!A$6:D$747,3,0)," ")</f>
        <v>C/O Realty</v>
      </c>
      <c r="C112" s="54" t="str">
        <f>IFERROR(VLOOKUP(D112,'Master sheet (Clientes)'!A$6:D$747,4,0)," ")</f>
        <v>N-O</v>
      </c>
      <c r="D112" s="54" t="s">
        <v>226</v>
      </c>
      <c r="E112" s="54"/>
      <c r="F112" s="54"/>
      <c r="G112" s="54"/>
      <c r="H112" s="54" t="s">
        <v>1005</v>
      </c>
      <c r="I112" s="54" t="s">
        <v>1006</v>
      </c>
      <c r="J112" s="54" t="s">
        <v>869</v>
      </c>
      <c r="K112" s="54" t="s">
        <v>1007</v>
      </c>
      <c r="L112" s="54"/>
      <c r="M112" s="54" t="s">
        <v>1643</v>
      </c>
      <c r="N112" s="54"/>
    </row>
    <row r="113" spans="1:17" ht="70.5">
      <c r="A113" s="54" t="str">
        <f>IFERROR(VLOOKUP(D113,'Master sheet (Clientes)'!A$6:D$747,2,0)," ")</f>
        <v>NJ</v>
      </c>
      <c r="B113" s="54" t="str">
        <f>IFERROR(VLOOKUP(D113,'Master sheet (Clientes)'!A$6:D$747,3,0)," ")</f>
        <v>C/O Realty</v>
      </c>
      <c r="C113" s="54" t="str">
        <f>IFERROR(VLOOKUP(D113,'Master sheet (Clientes)'!A$6:D$747,4,0)," ")</f>
        <v>N-O</v>
      </c>
      <c r="D113" s="54" t="s">
        <v>217</v>
      </c>
      <c r="E113" s="54">
        <v>1409</v>
      </c>
      <c r="F113" s="54" t="s">
        <v>854</v>
      </c>
      <c r="G113" s="54" t="s">
        <v>853</v>
      </c>
      <c r="H113" s="54" t="s">
        <v>1364</v>
      </c>
      <c r="I113" s="54" t="s">
        <v>1864</v>
      </c>
      <c r="J113" s="54" t="s">
        <v>869</v>
      </c>
      <c r="K113" s="54" t="s">
        <v>943</v>
      </c>
      <c r="L113" s="54"/>
      <c r="M113" s="54"/>
      <c r="N113" s="54"/>
    </row>
    <row r="114" spans="1:17" s="94" customFormat="1" ht="117.5">
      <c r="A114" s="92" t="str">
        <f>IFERROR(VLOOKUP(D114,'Master sheet (Clientes)'!A$6:D$747,2,0)," ")</f>
        <v>NJ</v>
      </c>
      <c r="B114" s="92" t="str">
        <f>IFERROR(VLOOKUP(D114,'Master sheet (Clientes)'!A$6:D$747,3,0)," ")</f>
        <v>C/O Realty</v>
      </c>
      <c r="C114" s="92" t="str">
        <f>IFERROR(VLOOKUP(D114,'Master sheet (Clientes)'!A$6:D$747,4,0)," ")</f>
        <v>N-O</v>
      </c>
      <c r="D114" s="92" t="s">
        <v>208</v>
      </c>
      <c r="E114" s="92" t="s">
        <v>1317</v>
      </c>
      <c r="F114" s="92"/>
      <c r="G114" s="92"/>
      <c r="H114" s="92" t="s">
        <v>1865</v>
      </c>
      <c r="I114" s="92" t="s">
        <v>1328</v>
      </c>
      <c r="J114" s="92" t="s">
        <v>869</v>
      </c>
      <c r="K114" s="92" t="s">
        <v>1319</v>
      </c>
      <c r="L114" s="92"/>
      <c r="M114" s="92" t="s">
        <v>1320</v>
      </c>
      <c r="N114" s="92" t="s">
        <v>1866</v>
      </c>
      <c r="O114" s="93"/>
      <c r="P114" s="93"/>
      <c r="Q114" s="93"/>
    </row>
    <row r="115" spans="1:17" ht="70.5">
      <c r="A115" s="54" t="str">
        <f>IFERROR(VLOOKUP(D115,'Master sheet (Clientes)'!A$6:D$747,2,0)," ")</f>
        <v>NJ</v>
      </c>
      <c r="B115" s="54" t="str">
        <f>IFERROR(VLOOKUP(D115,'Master sheet (Clientes)'!A$6:D$747,3,0)," ")</f>
        <v>C/O Realty</v>
      </c>
      <c r="C115" s="54" t="str">
        <f>IFERROR(VLOOKUP(D115,'Master sheet (Clientes)'!A$6:D$747,4,0)," ")</f>
        <v>N-O</v>
      </c>
      <c r="D115" s="54" t="s">
        <v>217</v>
      </c>
      <c r="E115" s="54">
        <v>2007</v>
      </c>
      <c r="F115" s="54" t="s">
        <v>45</v>
      </c>
      <c r="G115" s="54" t="s">
        <v>853</v>
      </c>
      <c r="H115" s="54" t="s">
        <v>1555</v>
      </c>
      <c r="I115" s="54" t="s">
        <v>1867</v>
      </c>
      <c r="J115" s="54" t="s">
        <v>869</v>
      </c>
      <c r="K115" s="54"/>
      <c r="L115" s="54"/>
      <c r="M115" s="54"/>
      <c r="N115" s="54"/>
    </row>
    <row r="116" spans="1:17" ht="70.5">
      <c r="A116" s="54" t="str">
        <f>IFERROR(VLOOKUP(D116,'Master sheet (Clientes)'!A$6:D$747,2,0)," ")</f>
        <v>NJ</v>
      </c>
      <c r="B116" s="54" t="str">
        <f>IFERROR(VLOOKUP(D116,'Master sheet (Clientes)'!A$6:D$747,3,0)," ")</f>
        <v>C/O Realty</v>
      </c>
      <c r="C116" s="54" t="str">
        <f>IFERROR(VLOOKUP(D116,'Master sheet (Clientes)'!A$6:D$747,4,0)," ")</f>
        <v>N-O</v>
      </c>
      <c r="D116" s="54" t="s">
        <v>217</v>
      </c>
      <c r="E116" s="54">
        <v>2504</v>
      </c>
      <c r="F116" s="54"/>
      <c r="G116" s="54" t="s">
        <v>853</v>
      </c>
      <c r="H116" s="54" t="s">
        <v>1414</v>
      </c>
      <c r="I116" s="54" t="s">
        <v>1868</v>
      </c>
      <c r="J116" s="54" t="s">
        <v>869</v>
      </c>
      <c r="K116" s="54"/>
      <c r="L116" s="54"/>
      <c r="M116" s="54"/>
      <c r="N116" s="54"/>
    </row>
    <row r="117" spans="1:17" ht="47">
      <c r="A117" s="54" t="str">
        <f>IFERROR(VLOOKUP(D117,'Master sheet (Clientes)'!A$6:D$747,2,0)," ")</f>
        <v>NJ</v>
      </c>
      <c r="B117" s="54" t="str">
        <f>IFERROR(VLOOKUP(D117,'Master sheet (Clientes)'!A$6:D$747,3,0)," ")</f>
        <v>C/O Realty</v>
      </c>
      <c r="C117" s="54" t="str">
        <f>IFERROR(VLOOKUP(D117,'Master sheet (Clientes)'!A$6:D$747,4,0)," ")</f>
        <v>N-O</v>
      </c>
      <c r="D117" s="54" t="s">
        <v>220</v>
      </c>
      <c r="E117" s="54"/>
      <c r="F117" s="54"/>
      <c r="G117" s="54"/>
      <c r="H117" s="54" t="s">
        <v>1515</v>
      </c>
      <c r="I117" s="54" t="s">
        <v>1623</v>
      </c>
      <c r="J117" s="54" t="s">
        <v>869</v>
      </c>
      <c r="K117" s="54" t="s">
        <v>1058</v>
      </c>
      <c r="L117" s="54"/>
      <c r="M117" s="54" t="s">
        <v>1004</v>
      </c>
      <c r="N117" s="54"/>
    </row>
    <row r="118" spans="1:17" ht="47">
      <c r="A118" s="54" t="str">
        <f>IFERROR(VLOOKUP(D118,'Master sheet (Clientes)'!A$6:D$747,2,0)," ")</f>
        <v>NJ</v>
      </c>
      <c r="B118" s="54" t="str">
        <f>IFERROR(VLOOKUP(D118,'Master sheet (Clientes)'!A$6:D$747,3,0)," ")</f>
        <v>C/O Realty</v>
      </c>
      <c r="C118" s="54" t="str">
        <f>IFERROR(VLOOKUP(D118,'Master sheet (Clientes)'!A$6:D$747,4,0)," ")</f>
        <v>N-O</v>
      </c>
      <c r="D118" s="54" t="s">
        <v>226</v>
      </c>
      <c r="E118" s="54">
        <v>1207</v>
      </c>
      <c r="F118" s="54"/>
      <c r="G118" s="54" t="s">
        <v>853</v>
      </c>
      <c r="H118" s="54" t="s">
        <v>1458</v>
      </c>
      <c r="I118" s="54" t="s">
        <v>1258</v>
      </c>
      <c r="J118" s="54" t="s">
        <v>869</v>
      </c>
      <c r="K118" s="54"/>
      <c r="L118" s="54"/>
      <c r="M118" s="54"/>
      <c r="N118" s="54"/>
    </row>
    <row r="119" spans="1:17" ht="70.5">
      <c r="A119" s="54" t="str">
        <f>IFERROR(VLOOKUP(D119,'Master sheet (Clientes)'!A$6:D$747,2,0)," ")</f>
        <v>NJ</v>
      </c>
      <c r="B119" s="54" t="str">
        <f>IFERROR(VLOOKUP(D119,'Master sheet (Clientes)'!A$6:D$747,3,0)," ")</f>
        <v>C/O Realty</v>
      </c>
      <c r="C119" s="54" t="str">
        <f>IFERROR(VLOOKUP(D119,'Master sheet (Clientes)'!A$6:D$747,4,0)," ")</f>
        <v>N-O</v>
      </c>
      <c r="D119" s="54" t="s">
        <v>209</v>
      </c>
      <c r="E119" s="54">
        <v>2503</v>
      </c>
      <c r="F119" s="54" t="s">
        <v>854</v>
      </c>
      <c r="G119" s="54" t="s">
        <v>853</v>
      </c>
      <c r="H119" s="54" t="s">
        <v>1463</v>
      </c>
      <c r="I119" s="54" t="s">
        <v>1869</v>
      </c>
      <c r="J119" s="54" t="s">
        <v>869</v>
      </c>
      <c r="K119" s="54"/>
      <c r="L119" s="54"/>
      <c r="M119" s="54"/>
      <c r="N119" s="54"/>
    </row>
    <row r="120" spans="1:17" s="94" customFormat="1" ht="70.5">
      <c r="A120" s="92" t="str">
        <f>IFERROR(VLOOKUP(D120,'Master sheet (Clientes)'!A$6:D$747,2,0)," ")</f>
        <v>NJ</v>
      </c>
      <c r="B120" s="92" t="str">
        <f>IFERROR(VLOOKUP(D120,'Master sheet (Clientes)'!A$6:D$747,3,0)," ")</f>
        <v>C/O Realty</v>
      </c>
      <c r="C120" s="92" t="str">
        <f>IFERROR(VLOOKUP(D120,'Master sheet (Clientes)'!A$6:D$747,4,0)," ")</f>
        <v>N-O</v>
      </c>
      <c r="D120" s="92" t="s">
        <v>217</v>
      </c>
      <c r="E120" s="92">
        <v>610</v>
      </c>
      <c r="F120" s="92" t="s">
        <v>854</v>
      </c>
      <c r="G120" s="92" t="s">
        <v>853</v>
      </c>
      <c r="H120" s="92" t="s">
        <v>1253</v>
      </c>
      <c r="I120" s="92" t="s">
        <v>880</v>
      </c>
      <c r="J120" s="92" t="s">
        <v>869</v>
      </c>
      <c r="K120" s="92"/>
      <c r="L120" s="92"/>
      <c r="M120" s="92"/>
      <c r="N120" s="92" t="s">
        <v>1870</v>
      </c>
      <c r="O120" s="93"/>
      <c r="P120" s="93"/>
      <c r="Q120" s="93"/>
    </row>
    <row r="121" spans="1:17" s="94" customFormat="1" ht="70.5">
      <c r="A121" s="92" t="str">
        <f>IFERROR(VLOOKUP(D121,'Master sheet (Clientes)'!A$6:D$747,2,0)," ")</f>
        <v>NJ</v>
      </c>
      <c r="B121" s="92" t="str">
        <f>IFERROR(VLOOKUP(D121,'Master sheet (Clientes)'!A$6:D$747,3,0)," ")</f>
        <v>C/O Realty</v>
      </c>
      <c r="C121" s="92" t="str">
        <f>IFERROR(VLOOKUP(D121,'Master sheet (Clientes)'!A$6:D$747,4,0)," ")</f>
        <v>N-O</v>
      </c>
      <c r="D121" s="92" t="s">
        <v>217</v>
      </c>
      <c r="E121" s="92">
        <v>610</v>
      </c>
      <c r="F121" s="92" t="s">
        <v>854</v>
      </c>
      <c r="G121" s="92" t="s">
        <v>853</v>
      </c>
      <c r="H121" s="92" t="s">
        <v>1254</v>
      </c>
      <c r="I121" s="92" t="s">
        <v>880</v>
      </c>
      <c r="J121" s="92" t="s">
        <v>869</v>
      </c>
      <c r="K121" s="92" t="s">
        <v>1085</v>
      </c>
      <c r="L121" s="92"/>
      <c r="M121" s="92"/>
      <c r="N121" s="92" t="s">
        <v>1870</v>
      </c>
      <c r="O121" s="93"/>
      <c r="P121" s="93"/>
      <c r="Q121" s="93"/>
    </row>
    <row r="122" spans="1:17" ht="47">
      <c r="A122" s="54" t="str">
        <f>IFERROR(VLOOKUP(D122,'Master sheet (Clientes)'!A$6:D$747,2,0)," ")</f>
        <v>NJ</v>
      </c>
      <c r="B122" s="54" t="str">
        <f>IFERROR(VLOOKUP(D122,'Master sheet (Clientes)'!A$6:D$747,3,0)," ")</f>
        <v>C/O Realty</v>
      </c>
      <c r="C122" s="54" t="str">
        <f>IFERROR(VLOOKUP(D122,'Master sheet (Clientes)'!A$6:D$747,4,0)," ")</f>
        <v>N-O</v>
      </c>
      <c r="D122" s="54" t="s">
        <v>220</v>
      </c>
      <c r="E122" s="54">
        <v>2905</v>
      </c>
      <c r="F122" s="54" t="s">
        <v>876</v>
      </c>
      <c r="G122" s="54" t="s">
        <v>853</v>
      </c>
      <c r="H122" s="54" t="s">
        <v>1710</v>
      </c>
      <c r="I122" s="54" t="s">
        <v>1875</v>
      </c>
      <c r="J122" s="54" t="s">
        <v>869</v>
      </c>
      <c r="K122" s="54"/>
      <c r="L122" s="54"/>
      <c r="M122" s="54"/>
      <c r="N122" s="54"/>
    </row>
    <row r="123" spans="1:17" ht="70.5">
      <c r="A123" s="54" t="str">
        <f>IFERROR(VLOOKUP(D123,'Master sheet (Clientes)'!A$6:D$747,2,0)," ")</f>
        <v>NJ</v>
      </c>
      <c r="B123" s="54" t="str">
        <f>IFERROR(VLOOKUP(D123,'Master sheet (Clientes)'!A$6:D$747,3,0)," ")</f>
        <v>C/O Realty</v>
      </c>
      <c r="C123" s="54" t="str">
        <f>IFERROR(VLOOKUP(D123,'Master sheet (Clientes)'!A$6:D$747,4,0)," ")</f>
        <v>N-O</v>
      </c>
      <c r="D123" s="54" t="s">
        <v>208</v>
      </c>
      <c r="E123" s="54">
        <v>3208</v>
      </c>
      <c r="F123" s="54" t="s">
        <v>876</v>
      </c>
      <c r="G123" s="54" t="s">
        <v>853</v>
      </c>
      <c r="H123" s="54" t="s">
        <v>1710</v>
      </c>
      <c r="I123" s="54" t="s">
        <v>1876</v>
      </c>
      <c r="J123" s="54" t="s">
        <v>869</v>
      </c>
      <c r="K123" s="54"/>
      <c r="L123" s="54"/>
      <c r="M123" s="54"/>
      <c r="N123" s="54"/>
    </row>
    <row r="124" spans="1:17" ht="47">
      <c r="A124" s="54" t="str">
        <f>IFERROR(VLOOKUP(D124,'Master sheet (Clientes)'!A$6:D$747,2,0)," ")</f>
        <v>NJ</v>
      </c>
      <c r="B124" s="54" t="str">
        <f>IFERROR(VLOOKUP(D124,'Master sheet (Clientes)'!A$6:D$747,3,0)," ")</f>
        <v>C/O Realty</v>
      </c>
      <c r="C124" s="54" t="str">
        <f>IFERROR(VLOOKUP(D124,'Master sheet (Clientes)'!A$6:D$747,4,0)," ")</f>
        <v>N-O</v>
      </c>
      <c r="D124" s="54" t="s">
        <v>209</v>
      </c>
      <c r="E124" s="54">
        <v>2609</v>
      </c>
      <c r="F124" s="54" t="s">
        <v>876</v>
      </c>
      <c r="G124" s="54" t="s">
        <v>853</v>
      </c>
      <c r="H124" s="54" t="s">
        <v>1694</v>
      </c>
      <c r="I124" s="54" t="s">
        <v>1877</v>
      </c>
      <c r="J124" s="54" t="s">
        <v>869</v>
      </c>
      <c r="K124" s="54"/>
      <c r="L124" s="54"/>
      <c r="M124" s="54"/>
      <c r="N124" s="54"/>
    </row>
    <row r="125" spans="1:17">
      <c r="A125" s="1"/>
      <c r="B125" s="1"/>
      <c r="C125" s="1"/>
      <c r="D125" s="1"/>
      <c r="E125" s="1"/>
      <c r="F125" s="1"/>
      <c r="G125" s="1"/>
      <c r="H125" s="1"/>
      <c r="I125" s="1"/>
      <c r="J125" s="1"/>
      <c r="K125" s="1"/>
      <c r="L125" s="1"/>
      <c r="M125" s="1"/>
      <c r="N125" s="1"/>
    </row>
    <row r="126" spans="1:17" s="1" customFormat="1" ht="47">
      <c r="A126" s="4" t="s">
        <v>8</v>
      </c>
      <c r="B126" s="4" t="s">
        <v>9</v>
      </c>
      <c r="C126" s="4" t="s">
        <v>10</v>
      </c>
      <c r="D126" s="4" t="s">
        <v>11</v>
      </c>
      <c r="E126" s="4" t="s">
        <v>12</v>
      </c>
      <c r="F126" s="4" t="s">
        <v>13</v>
      </c>
      <c r="G126" s="38" t="s">
        <v>14</v>
      </c>
      <c r="H126" s="4" t="s">
        <v>15</v>
      </c>
      <c r="I126" s="38" t="s">
        <v>16</v>
      </c>
      <c r="J126" s="38" t="s">
        <v>17</v>
      </c>
      <c r="K126" s="38" t="s">
        <v>18</v>
      </c>
      <c r="L126" s="38" t="s">
        <v>19</v>
      </c>
      <c r="M126" s="38" t="s">
        <v>20</v>
      </c>
      <c r="N126" s="38" t="s">
        <v>21</v>
      </c>
    </row>
    <row r="127" spans="1:17" ht="47">
      <c r="A127" s="54" t="str">
        <f>IFERROR(VLOOKUP(D127,'Master sheet (Clientes)'!A$6:D$747,2,0)," ")</f>
        <v>NJ</v>
      </c>
      <c r="B127" s="54" t="str">
        <f>IFERROR(VLOOKUP(D127,'Master sheet (Clientes)'!A$6:D$747,3,0)," ")</f>
        <v>C/O Realty</v>
      </c>
      <c r="C127" s="54" t="str">
        <f>IFERROR(VLOOKUP(D127,'Master sheet (Clientes)'!A$6:D$747,4,0)," ")</f>
        <v>N-O</v>
      </c>
      <c r="D127" s="54" t="s">
        <v>226</v>
      </c>
      <c r="E127" s="54">
        <v>3405</v>
      </c>
      <c r="F127" s="54" t="s">
        <v>854</v>
      </c>
      <c r="G127" s="54" t="s">
        <v>917</v>
      </c>
      <c r="H127" s="54" t="s">
        <v>1711</v>
      </c>
      <c r="I127" s="54" t="s">
        <v>987</v>
      </c>
      <c r="J127" s="54" t="s">
        <v>869</v>
      </c>
      <c r="K127" s="54" t="s">
        <v>1692</v>
      </c>
      <c r="L127" s="54"/>
      <c r="M127" s="54"/>
      <c r="N127" s="54" t="s">
        <v>1268</v>
      </c>
    </row>
    <row r="128" spans="1:17" ht="94">
      <c r="A128" s="54" t="str">
        <f>IFERROR(VLOOKUP(D128,'Master sheet (Clientes)'!A$6:D$747,2,0)," ")</f>
        <v>NJ</v>
      </c>
      <c r="B128" s="54" t="str">
        <f>IFERROR(VLOOKUP(D128,'Master sheet (Clientes)'!A$6:D$747,3,0)," ")</f>
        <v>C/O Realty</v>
      </c>
      <c r="C128" s="54" t="str">
        <f>IFERROR(VLOOKUP(D128,'Master sheet (Clientes)'!A$6:D$747,4,0)," ")</f>
        <v>N-O</v>
      </c>
      <c r="D128" s="54" t="s">
        <v>211</v>
      </c>
      <c r="E128" s="54">
        <v>3202</v>
      </c>
      <c r="F128" s="54" t="s">
        <v>1428</v>
      </c>
      <c r="G128" s="54" t="s">
        <v>1428</v>
      </c>
      <c r="H128" s="54" t="s">
        <v>1712</v>
      </c>
      <c r="I128" s="54" t="s">
        <v>987</v>
      </c>
      <c r="J128" s="54" t="s">
        <v>869</v>
      </c>
      <c r="K128" s="54" t="s">
        <v>1479</v>
      </c>
      <c r="L128" s="54"/>
      <c r="M128" s="54"/>
      <c r="N128" s="54" t="s">
        <v>1268</v>
      </c>
    </row>
    <row r="129" spans="1:14" ht="70.5">
      <c r="A129" s="54" t="str">
        <f>IFERROR(VLOOKUP(D129,'Master sheet (Clientes)'!A$6:D$747,2,0)," ")</f>
        <v>NJ</v>
      </c>
      <c r="B129" s="54" t="str">
        <f>IFERROR(VLOOKUP(D129,'Master sheet (Clientes)'!A$6:D$747,3,0)," ")</f>
        <v>C/O Realty</v>
      </c>
      <c r="C129" s="54" t="str">
        <f>IFERROR(VLOOKUP(D129,'Master sheet (Clientes)'!A$6:D$747,4,0)," ")</f>
        <v>N-O</v>
      </c>
      <c r="D129" s="54" t="s">
        <v>219</v>
      </c>
      <c r="E129" s="54">
        <v>710</v>
      </c>
      <c r="F129" s="54" t="s">
        <v>854</v>
      </c>
      <c r="G129" s="54" t="s">
        <v>917</v>
      </c>
      <c r="H129" s="54" t="s">
        <v>1713</v>
      </c>
      <c r="I129" s="54" t="s">
        <v>960</v>
      </c>
      <c r="J129" s="54" t="s">
        <v>840</v>
      </c>
      <c r="K129" s="54" t="s">
        <v>1308</v>
      </c>
      <c r="L129" s="54"/>
      <c r="M129" s="54"/>
      <c r="N129" s="54" t="s">
        <v>1269</v>
      </c>
    </row>
    <row r="130" spans="1:14" ht="70.5">
      <c r="A130" s="54" t="str">
        <f>IFERROR(VLOOKUP(D130,'Master sheet (Clientes)'!A$6:D$747,2,0)," ")</f>
        <v>NJ</v>
      </c>
      <c r="B130" s="54" t="str">
        <f>IFERROR(VLOOKUP(D130,'Master sheet (Clientes)'!A$6:D$747,3,0)," ")</f>
        <v>C/O Realty</v>
      </c>
      <c r="C130" s="54" t="str">
        <f>IFERROR(VLOOKUP(D130,'Master sheet (Clientes)'!A$6:D$747,4,0)," ")</f>
        <v>N-O</v>
      </c>
      <c r="D130" s="54" t="s">
        <v>209</v>
      </c>
      <c r="E130" s="54">
        <v>3508</v>
      </c>
      <c r="F130" s="54"/>
      <c r="G130" s="54" t="s">
        <v>917</v>
      </c>
      <c r="H130" s="54" t="s">
        <v>1833</v>
      </c>
      <c r="I130" s="54" t="s">
        <v>960</v>
      </c>
      <c r="J130" s="54" t="s">
        <v>840</v>
      </c>
      <c r="K130" s="54" t="s">
        <v>1483</v>
      </c>
      <c r="L130" s="54"/>
      <c r="M130" s="54"/>
      <c r="N130" s="54" t="s">
        <v>1268</v>
      </c>
    </row>
    <row r="131" spans="1:14">
      <c r="A131" s="1"/>
      <c r="B131" s="1"/>
      <c r="C131" s="1"/>
      <c r="D131" s="1"/>
      <c r="E131" s="1"/>
      <c r="F131" s="1"/>
      <c r="G131" s="1"/>
      <c r="H131" s="1"/>
      <c r="I131" s="1"/>
      <c r="J131" s="1"/>
      <c r="K131" s="1"/>
      <c r="L131" s="1"/>
      <c r="M131" s="1"/>
      <c r="N131" s="1"/>
    </row>
    <row r="132" spans="1:14" s="1" customFormat="1" ht="47">
      <c r="A132" s="4" t="s">
        <v>8</v>
      </c>
      <c r="B132" s="4" t="s">
        <v>9</v>
      </c>
      <c r="C132" s="4" t="s">
        <v>10</v>
      </c>
      <c r="D132" s="4" t="s">
        <v>11</v>
      </c>
      <c r="E132" s="4" t="s">
        <v>12</v>
      </c>
      <c r="F132" s="4" t="s">
        <v>13</v>
      </c>
      <c r="G132" s="38" t="s">
        <v>14</v>
      </c>
      <c r="H132" s="4" t="s">
        <v>15</v>
      </c>
      <c r="I132" s="38" t="s">
        <v>16</v>
      </c>
      <c r="J132" s="38" t="s">
        <v>17</v>
      </c>
      <c r="K132" s="38" t="s">
        <v>18</v>
      </c>
      <c r="L132" s="38" t="s">
        <v>19</v>
      </c>
      <c r="M132" s="38" t="s">
        <v>20</v>
      </c>
      <c r="N132" s="38" t="s">
        <v>21</v>
      </c>
    </row>
    <row r="133" spans="1:14" ht="70.5">
      <c r="A133" s="54" t="str">
        <f>IFERROR(VLOOKUP(D133,'Master sheet (Clientes)'!A$6:D$747,2,0)," ")</f>
        <v>NJ</v>
      </c>
      <c r="B133" s="54" t="str">
        <f>IFERROR(VLOOKUP(D133,'Master sheet (Clientes)'!A$6:D$747,3,0)," ")</f>
        <v>C/O Realty</v>
      </c>
      <c r="C133" s="54" t="str">
        <f>IFERROR(VLOOKUP(D133,'Master sheet (Clientes)'!A$6:D$747,4,0)," ")</f>
        <v>N-O</v>
      </c>
      <c r="D133" s="54" t="s">
        <v>219</v>
      </c>
      <c r="E133" s="54">
        <v>1411</v>
      </c>
      <c r="F133" s="54" t="s">
        <v>874</v>
      </c>
      <c r="G133" s="54" t="s">
        <v>853</v>
      </c>
      <c r="H133" s="54" t="s">
        <v>958</v>
      </c>
      <c r="I133" s="54" t="s">
        <v>901</v>
      </c>
      <c r="J133" s="54" t="s">
        <v>869</v>
      </c>
      <c r="K133" s="54"/>
      <c r="L133" s="54"/>
      <c r="M133" s="54"/>
      <c r="N133" s="54"/>
    </row>
    <row r="134" spans="1:14" ht="70.5">
      <c r="A134" s="54" t="str">
        <f>IFERROR(VLOOKUP(D134,'Master sheet (Clientes)'!A$6:D$747,2,0)," ")</f>
        <v>NJ</v>
      </c>
      <c r="B134" s="54" t="str">
        <f>IFERROR(VLOOKUP(D134,'Master sheet (Clientes)'!A$6:D$747,3,0)," ")</f>
        <v>C/O Realty</v>
      </c>
      <c r="C134" s="54" t="str">
        <f>IFERROR(VLOOKUP(D134,'Master sheet (Clientes)'!A$6:D$747,4,0)," ")</f>
        <v>N-O</v>
      </c>
      <c r="D134" s="54" t="s">
        <v>219</v>
      </c>
      <c r="E134" s="54">
        <v>1415</v>
      </c>
      <c r="F134" s="54" t="s">
        <v>874</v>
      </c>
      <c r="G134" s="54" t="s">
        <v>853</v>
      </c>
      <c r="H134" s="54" t="s">
        <v>958</v>
      </c>
      <c r="I134" s="54" t="s">
        <v>901</v>
      </c>
      <c r="J134" s="54" t="s">
        <v>869</v>
      </c>
      <c r="K134" s="54"/>
      <c r="L134" s="54"/>
      <c r="M134" s="54"/>
      <c r="N134" s="54"/>
    </row>
    <row r="135" spans="1:14" ht="47">
      <c r="A135" s="54" t="str">
        <f>IFERROR(VLOOKUP(D135,'Master sheet (Clientes)'!A$6:D$747,2,0)," ")</f>
        <v>NJ</v>
      </c>
      <c r="B135" s="54" t="str">
        <f>IFERROR(VLOOKUP(D135,'Master sheet (Clientes)'!A$6:D$747,3,0)," ")</f>
        <v>C/O Realty</v>
      </c>
      <c r="C135" s="54" t="str">
        <f>IFERROR(VLOOKUP(D135,'Master sheet (Clientes)'!A$6:D$747,4,0)," ")</f>
        <v>N-O</v>
      </c>
      <c r="D135" s="54" t="s">
        <v>215</v>
      </c>
      <c r="E135" s="54">
        <v>309</v>
      </c>
      <c r="F135" s="54" t="s">
        <v>854</v>
      </c>
      <c r="G135" s="54" t="s">
        <v>853</v>
      </c>
      <c r="H135" s="54" t="s">
        <v>1827</v>
      </c>
      <c r="I135" s="54" t="s">
        <v>901</v>
      </c>
      <c r="J135" s="54" t="s">
        <v>869</v>
      </c>
      <c r="K135" s="54"/>
      <c r="L135" s="54"/>
      <c r="M135" s="54"/>
      <c r="N135" s="54"/>
    </row>
    <row r="136" spans="1:14">
      <c r="A136" s="1"/>
      <c r="B136" s="1"/>
      <c r="C136" s="1"/>
      <c r="D136" s="1"/>
      <c r="E136" s="1"/>
      <c r="F136" s="1"/>
      <c r="G136" s="1"/>
      <c r="H136" s="1"/>
      <c r="I136" s="1"/>
      <c r="J136" s="1"/>
      <c r="K136" s="1"/>
      <c r="L136" s="1"/>
      <c r="M136" s="1"/>
      <c r="N136" s="1"/>
    </row>
    <row r="137" spans="1:14" s="1" customFormat="1" ht="47">
      <c r="A137" s="4" t="s">
        <v>8</v>
      </c>
      <c r="B137" s="4" t="s">
        <v>9</v>
      </c>
      <c r="C137" s="4" t="s">
        <v>10</v>
      </c>
      <c r="D137" s="4" t="s">
        <v>11</v>
      </c>
      <c r="E137" s="4" t="s">
        <v>12</v>
      </c>
      <c r="F137" s="4" t="s">
        <v>13</v>
      </c>
      <c r="G137" s="38" t="s">
        <v>14</v>
      </c>
      <c r="H137" s="4" t="s">
        <v>15</v>
      </c>
      <c r="I137" s="38" t="s">
        <v>16</v>
      </c>
      <c r="J137" s="38" t="s">
        <v>17</v>
      </c>
      <c r="K137" s="38" t="s">
        <v>18</v>
      </c>
      <c r="L137" s="38" t="s">
        <v>19</v>
      </c>
      <c r="M137" s="38" t="s">
        <v>20</v>
      </c>
      <c r="N137" s="38" t="s">
        <v>21</v>
      </c>
    </row>
    <row r="138" spans="1:14" ht="70.5">
      <c r="A138" s="54" t="str">
        <f>IFERROR(VLOOKUP(D138,'Master sheet (Clientes)'!A$6:D$747,2,0)," ")</f>
        <v>NJ</v>
      </c>
      <c r="B138" s="54" t="str">
        <f>IFERROR(VLOOKUP(D138,'Master sheet (Clientes)'!A$6:D$747,3,0)," ")</f>
        <v>C/O Realty</v>
      </c>
      <c r="C138" s="54" t="str">
        <f>IFERROR(VLOOKUP(D138,'Master sheet (Clientes)'!A$6:D$747,4,0)," ")</f>
        <v>N-O</v>
      </c>
      <c r="D138" s="54" t="s">
        <v>229</v>
      </c>
      <c r="E138" s="54">
        <v>1604</v>
      </c>
      <c r="F138" s="54" t="s">
        <v>45</v>
      </c>
      <c r="G138" s="54" t="s">
        <v>837</v>
      </c>
      <c r="H138" s="54" t="s">
        <v>838</v>
      </c>
      <c r="I138" s="54" t="s">
        <v>839</v>
      </c>
      <c r="J138" s="54" t="s">
        <v>840</v>
      </c>
      <c r="K138" s="54"/>
      <c r="L138" s="54"/>
      <c r="M138" s="54"/>
      <c r="N138" s="54"/>
    </row>
    <row r="139" spans="1:14" ht="47">
      <c r="A139" s="54" t="str">
        <f>IFERROR(VLOOKUP(D139,'Master sheet (Clientes)'!A$6:D$747,2,0)," ")</f>
        <v>NJ</v>
      </c>
      <c r="B139" s="54" t="str">
        <f>IFERROR(VLOOKUP(D139,'Master sheet (Clientes)'!A$6:D$747,3,0)," ")</f>
        <v>C/O Realty</v>
      </c>
      <c r="C139" s="54" t="str">
        <f>IFERROR(VLOOKUP(D139,'Master sheet (Clientes)'!A$6:D$747,4,0)," ")</f>
        <v>N-O</v>
      </c>
      <c r="D139" s="54" t="s">
        <v>226</v>
      </c>
      <c r="E139" s="54">
        <v>1207</v>
      </c>
      <c r="F139" s="54"/>
      <c r="G139" s="54" t="s">
        <v>853</v>
      </c>
      <c r="H139" s="54" t="s">
        <v>1459</v>
      </c>
      <c r="I139" s="54" t="s">
        <v>839</v>
      </c>
      <c r="J139" s="54" t="s">
        <v>840</v>
      </c>
      <c r="K139" s="54"/>
      <c r="L139" s="54"/>
      <c r="M139" s="54"/>
      <c r="N139" s="54"/>
    </row>
    <row r="140" spans="1:14" ht="70.5">
      <c r="A140" s="54" t="str">
        <f>IFERROR(VLOOKUP(D140,'Master sheet (Clientes)'!A$6:D$747,2,0)," ")</f>
        <v>NJ</v>
      </c>
      <c r="B140" s="54" t="str">
        <f>IFERROR(VLOOKUP(D140,'Master sheet (Clientes)'!A$6:D$747,3,0)," ")</f>
        <v>C/O Realty</v>
      </c>
      <c r="C140" s="54" t="str">
        <f>IFERROR(VLOOKUP(D140,'Master sheet (Clientes)'!A$6:D$747,4,0)," ")</f>
        <v>N-O</v>
      </c>
      <c r="D140" s="54" t="s">
        <v>208</v>
      </c>
      <c r="E140" s="54">
        <v>330</v>
      </c>
      <c r="F140" s="54"/>
      <c r="G140" s="54" t="s">
        <v>837</v>
      </c>
      <c r="H140" s="54" t="s">
        <v>1637</v>
      </c>
      <c r="I140" s="54" t="s">
        <v>839</v>
      </c>
      <c r="J140" s="54" t="s">
        <v>840</v>
      </c>
      <c r="K140" s="54"/>
      <c r="L140" s="54"/>
      <c r="M140" s="54"/>
      <c r="N140" s="54"/>
    </row>
    <row r="141" spans="1:14" ht="47">
      <c r="A141" s="54" t="str">
        <f>IFERROR(VLOOKUP(D141,'Master sheet (Clientes)'!A$6:D$747,2,0)," ")</f>
        <v>NJ</v>
      </c>
      <c r="B141" s="54" t="str">
        <f>IFERROR(VLOOKUP(D141,'Master sheet (Clientes)'!A$6:D$747,3,0)," ")</f>
        <v>C/O Realty</v>
      </c>
      <c r="C141" s="54" t="str">
        <f>IFERROR(VLOOKUP(D141,'Master sheet (Clientes)'!A$6:D$747,4,0)," ")</f>
        <v>N-O</v>
      </c>
      <c r="D141" s="54" t="s">
        <v>212</v>
      </c>
      <c r="E141" s="54">
        <v>3314</v>
      </c>
      <c r="F141" s="54"/>
      <c r="G141" s="54" t="s">
        <v>853</v>
      </c>
      <c r="H141" s="54" t="s">
        <v>1631</v>
      </c>
      <c r="I141" s="54" t="s">
        <v>839</v>
      </c>
      <c r="J141" s="54" t="s">
        <v>840</v>
      </c>
      <c r="K141" s="54"/>
      <c r="L141" s="54"/>
      <c r="M141" s="54"/>
      <c r="N141" s="54"/>
    </row>
    <row r="142" spans="1:14" ht="47">
      <c r="A142" s="54" t="str">
        <f>IFERROR(VLOOKUP(D142,'Master sheet (Clientes)'!A$6:D$747,2,0)," ")</f>
        <v>NJ</v>
      </c>
      <c r="B142" s="54" t="str">
        <f>IFERROR(VLOOKUP(D142,'Master sheet (Clientes)'!A$6:D$747,3,0)," ")</f>
        <v>C/O Realty</v>
      </c>
      <c r="C142" s="54" t="str">
        <f>IFERROR(VLOOKUP(D142,'Master sheet (Clientes)'!A$6:D$747,4,0)," ")</f>
        <v>N-O</v>
      </c>
      <c r="D142" s="54" t="s">
        <v>215</v>
      </c>
      <c r="E142" s="54">
        <v>309</v>
      </c>
      <c r="F142" s="54" t="s">
        <v>854</v>
      </c>
      <c r="G142" s="54" t="s">
        <v>853</v>
      </c>
      <c r="H142" s="54" t="s">
        <v>1826</v>
      </c>
      <c r="I142" s="54" t="s">
        <v>839</v>
      </c>
      <c r="J142" s="54" t="s">
        <v>840</v>
      </c>
      <c r="K142" s="54"/>
      <c r="L142" s="54"/>
      <c r="M142" s="54"/>
      <c r="N142" s="54"/>
    </row>
    <row r="144" spans="1:14" s="1" customFormat="1" ht="47">
      <c r="A144" s="4" t="s">
        <v>8</v>
      </c>
      <c r="B144" s="4" t="s">
        <v>9</v>
      </c>
      <c r="C144" s="4" t="s">
        <v>10</v>
      </c>
      <c r="D144" s="4" t="s">
        <v>11</v>
      </c>
      <c r="E144" s="4" t="s">
        <v>12</v>
      </c>
      <c r="F144" s="4" t="s">
        <v>13</v>
      </c>
      <c r="G144" s="38" t="s">
        <v>14</v>
      </c>
      <c r="H144" s="4" t="s">
        <v>15</v>
      </c>
      <c r="I144" s="38" t="s">
        <v>16</v>
      </c>
      <c r="J144" s="38" t="s">
        <v>17</v>
      </c>
      <c r="K144" s="38" t="s">
        <v>18</v>
      </c>
      <c r="L144" s="38" t="s">
        <v>19</v>
      </c>
      <c r="M144" s="38" t="s">
        <v>20</v>
      </c>
      <c r="N144" s="38" t="s">
        <v>21</v>
      </c>
    </row>
    <row r="145" spans="1:17" ht="70.5">
      <c r="A145" s="54" t="str">
        <f>IFERROR(VLOOKUP(D145,'Master sheet (Clientes)'!A$6:D$747,2,0)," ")</f>
        <v>NJ</v>
      </c>
      <c r="B145" s="54" t="str">
        <f>IFERROR(VLOOKUP(D145,'Master sheet (Clientes)'!A$6:D$747,3,0)," ")</f>
        <v xml:space="preserve">BuildCare </v>
      </c>
      <c r="C145" s="54" t="str">
        <f>IFERROR(VLOOKUP(D145,'Master sheet (Clientes)'!A$6:D$747,4,0)," ")</f>
        <v>N/A</v>
      </c>
      <c r="D145" s="54" t="s">
        <v>198</v>
      </c>
      <c r="E145" s="54"/>
      <c r="F145" s="54"/>
      <c r="G145" s="54"/>
      <c r="H145" s="54" t="s">
        <v>1386</v>
      </c>
      <c r="I145" s="54" t="s">
        <v>1067</v>
      </c>
      <c r="J145" s="54" t="s">
        <v>991</v>
      </c>
      <c r="K145" s="54"/>
      <c r="L145" s="54"/>
      <c r="M145" s="54" t="s">
        <v>1387</v>
      </c>
      <c r="N145" s="54"/>
    </row>
    <row r="146" spans="1:17">
      <c r="A146" s="1"/>
      <c r="B146" s="1"/>
      <c r="C146" s="1"/>
      <c r="D146" s="1"/>
      <c r="E146" s="1"/>
      <c r="F146" s="1"/>
      <c r="G146" s="1"/>
      <c r="H146" s="1"/>
      <c r="I146" s="1"/>
      <c r="K146" s="1"/>
      <c r="L146" s="1"/>
      <c r="M146" s="1"/>
      <c r="N146" s="1"/>
    </row>
    <row r="147" spans="1:17" ht="26">
      <c r="A147" s="33"/>
      <c r="B147" s="33"/>
      <c r="C147" s="33"/>
      <c r="D147" s="127" t="s">
        <v>28</v>
      </c>
      <c r="E147" s="127"/>
      <c r="F147" s="127"/>
      <c r="G147" s="127"/>
      <c r="H147" s="127"/>
      <c r="I147" s="127"/>
      <c r="J147" s="127"/>
      <c r="K147" s="127"/>
      <c r="L147" s="127"/>
      <c r="M147" s="16"/>
      <c r="N147" s="16"/>
    </row>
    <row r="148" spans="1:17" s="5" customFormat="1" ht="26">
      <c r="A148" s="43"/>
      <c r="B148" s="43"/>
      <c r="C148" s="43"/>
      <c r="D148" s="128" t="s">
        <v>29</v>
      </c>
      <c r="E148" s="128"/>
      <c r="F148" s="128"/>
      <c r="G148" s="128"/>
      <c r="H148" s="128"/>
      <c r="I148" s="128"/>
      <c r="J148" s="128"/>
      <c r="K148" s="128"/>
      <c r="L148" s="128"/>
      <c r="M148" s="44"/>
      <c r="N148" s="44"/>
      <c r="O148" s="35"/>
      <c r="P148" s="35"/>
      <c r="Q148" s="35"/>
    </row>
    <row r="149" spans="1:17">
      <c r="A149" s="3"/>
      <c r="B149" s="3"/>
      <c r="C149" s="3"/>
      <c r="D149" s="3"/>
      <c r="E149" s="3"/>
      <c r="F149" s="3"/>
      <c r="G149" s="3"/>
      <c r="H149" s="3"/>
      <c r="I149" s="3"/>
      <c r="K149" s="1"/>
      <c r="L149" s="1"/>
      <c r="M149" s="1"/>
      <c r="N149" s="1"/>
    </row>
    <row r="150" spans="1:17" s="1" customFormat="1" ht="47">
      <c r="A150" s="4" t="s">
        <v>8</v>
      </c>
      <c r="B150" s="4" t="s">
        <v>9</v>
      </c>
      <c r="C150" s="4" t="s">
        <v>10</v>
      </c>
      <c r="D150" s="4" t="s">
        <v>11</v>
      </c>
      <c r="E150" s="4" t="s">
        <v>12</v>
      </c>
      <c r="F150" s="4" t="s">
        <v>13</v>
      </c>
      <c r="G150" s="38" t="s">
        <v>14</v>
      </c>
      <c r="H150" s="4" t="s">
        <v>15</v>
      </c>
      <c r="I150" s="38" t="s">
        <v>16</v>
      </c>
      <c r="J150" s="38" t="s">
        <v>17</v>
      </c>
      <c r="K150" s="38" t="s">
        <v>18</v>
      </c>
      <c r="L150" s="38" t="s">
        <v>19</v>
      </c>
      <c r="M150" s="38" t="s">
        <v>20</v>
      </c>
      <c r="N150" s="38" t="s">
        <v>21</v>
      </c>
    </row>
    <row r="151" spans="1:17" ht="94">
      <c r="A151" s="54" t="str">
        <f>IFERROR(VLOOKUP(D151,'Master sheet (Clientes)'!A$6:D$747,2,0)," ")</f>
        <v>NJ</v>
      </c>
      <c r="B151" s="54" t="str">
        <f>IFERROR(VLOOKUP(D151,'Master sheet (Clientes)'!A$6:D$747,3,0)," ")</f>
        <v xml:space="preserve">KRE Group Management </v>
      </c>
      <c r="C151" s="54" t="str">
        <f>IFERROR(VLOOKUP(D151,'Master sheet (Clientes)'!A$6:D$747,4,0)," ")</f>
        <v>A-V</v>
      </c>
      <c r="D151" s="54" t="s">
        <v>383</v>
      </c>
      <c r="E151" s="54"/>
      <c r="F151" s="54"/>
      <c r="G151" s="54"/>
      <c r="H151" s="54" t="s">
        <v>1013</v>
      </c>
      <c r="I151" s="54" t="s">
        <v>1014</v>
      </c>
      <c r="J151" s="54" t="s">
        <v>48</v>
      </c>
      <c r="K151" s="54"/>
      <c r="L151" s="54"/>
      <c r="M151" s="54"/>
      <c r="N151" s="54" t="s">
        <v>1266</v>
      </c>
    </row>
    <row r="152" spans="1:17" ht="70.5">
      <c r="A152" s="54" t="str">
        <f>IFERROR(VLOOKUP(D152,'Master sheet (Clientes)'!A$6:D$747,2,0)," ")</f>
        <v>NJ</v>
      </c>
      <c r="B152" s="54" t="str">
        <f>IFERROR(VLOOKUP(D152,'Master sheet (Clientes)'!A$6:D$747,3,0)," ")</f>
        <v xml:space="preserve">Sparrow </v>
      </c>
      <c r="C152" s="54" t="str">
        <f>IFERROR(VLOOKUP(D152,'Master sheet (Clientes)'!A$6:D$747,4,0)," ")</f>
        <v>A-V</v>
      </c>
      <c r="D152" s="54" t="s">
        <v>750</v>
      </c>
      <c r="E152" s="54">
        <v>538</v>
      </c>
      <c r="F152" s="99" t="s">
        <v>854</v>
      </c>
      <c r="G152" s="54" t="s">
        <v>853</v>
      </c>
      <c r="H152" s="54" t="s">
        <v>1816</v>
      </c>
      <c r="I152" s="54" t="s">
        <v>1685</v>
      </c>
      <c r="J152" s="54" t="s">
        <v>48</v>
      </c>
      <c r="K152" s="54"/>
      <c r="L152" s="54" t="s">
        <v>1817</v>
      </c>
      <c r="M152" s="54"/>
      <c r="N152" s="54" t="s">
        <v>1825</v>
      </c>
    </row>
    <row r="153" spans="1:17" ht="70.5">
      <c r="A153" s="54" t="str">
        <f>IFERROR(VLOOKUP(D153,'Master sheet (Clientes)'!A$6:D$747,2,0)," ")</f>
        <v>NJ</v>
      </c>
      <c r="B153" s="54" t="str">
        <f>IFERROR(VLOOKUP(D153,'Master sheet (Clientes)'!A$6:D$747,3,0)," ")</f>
        <v>Greystar</v>
      </c>
      <c r="C153" s="54" t="str">
        <f>IFERROR(VLOOKUP(D153,'Master sheet (Clientes)'!A$6:D$747,4,0)," ")</f>
        <v>A-V</v>
      </c>
      <c r="D153" s="54" t="s">
        <v>304</v>
      </c>
      <c r="E153" s="54">
        <v>549</v>
      </c>
      <c r="F153" s="54" t="s">
        <v>45</v>
      </c>
      <c r="G153" s="54" t="s">
        <v>853</v>
      </c>
      <c r="H153" s="54" t="s">
        <v>1494</v>
      </c>
      <c r="I153" s="54" t="s">
        <v>1686</v>
      </c>
      <c r="J153" s="54" t="s">
        <v>48</v>
      </c>
      <c r="K153" s="54"/>
      <c r="L153" s="54"/>
      <c r="M153" s="54"/>
      <c r="N153" s="54" t="s">
        <v>1268</v>
      </c>
    </row>
    <row r="154" spans="1:17" ht="70.5">
      <c r="A154" s="54" t="str">
        <f>IFERROR(VLOOKUP(D154,'Master sheet (Clientes)'!A$6:D$747,2,0)," ")</f>
        <v>NJ</v>
      </c>
      <c r="B154" s="54" t="str">
        <f>IFERROR(VLOOKUP(D154,'Master sheet (Clientes)'!A$6:D$747,3,0)," ")</f>
        <v>Greystar</v>
      </c>
      <c r="C154" s="54" t="str">
        <f>IFERROR(VLOOKUP(D154,'Master sheet (Clientes)'!A$6:D$747,4,0)," ")</f>
        <v>A-V</v>
      </c>
      <c r="D154" s="54" t="s">
        <v>304</v>
      </c>
      <c r="E154" s="54">
        <v>420</v>
      </c>
      <c r="F154" s="54" t="s">
        <v>45</v>
      </c>
      <c r="G154" s="54" t="s">
        <v>853</v>
      </c>
      <c r="H154" s="54" t="s">
        <v>1494</v>
      </c>
      <c r="I154" s="54" t="s">
        <v>1686</v>
      </c>
      <c r="J154" s="54" t="s">
        <v>48</v>
      </c>
      <c r="K154" s="54"/>
      <c r="L154" s="54"/>
      <c r="M154" s="54"/>
      <c r="N154" s="54" t="s">
        <v>1268</v>
      </c>
    </row>
    <row r="155" spans="1:17" ht="70.5">
      <c r="A155" s="54" t="str">
        <f>IFERROR(VLOOKUP(D155,'Master sheet (Clientes)'!A$6:D$747,2,0)," ")</f>
        <v>NJ</v>
      </c>
      <c r="B155" s="54" t="str">
        <f>IFERROR(VLOOKUP(D155,'Master sheet (Clientes)'!A$6:D$747,3,0)," ")</f>
        <v>Greystar</v>
      </c>
      <c r="C155" s="54" t="str">
        <f>IFERROR(VLOOKUP(D155,'Master sheet (Clientes)'!A$6:D$747,4,0)," ")</f>
        <v>A-V</v>
      </c>
      <c r="D155" s="54" t="s">
        <v>304</v>
      </c>
      <c r="E155" s="54">
        <v>155</v>
      </c>
      <c r="F155" s="54" t="s">
        <v>1455</v>
      </c>
      <c r="G155" s="54" t="s">
        <v>853</v>
      </c>
      <c r="H155" s="54" t="s">
        <v>1494</v>
      </c>
      <c r="I155" s="54" t="s">
        <v>1686</v>
      </c>
      <c r="J155" s="54" t="s">
        <v>48</v>
      </c>
      <c r="K155" s="54"/>
      <c r="L155" s="54"/>
      <c r="M155" s="54"/>
      <c r="N155" s="54" t="s">
        <v>1268</v>
      </c>
    </row>
    <row r="156" spans="1:17" s="94" customFormat="1" ht="70.5">
      <c r="A156" s="92" t="str">
        <f>IFERROR(VLOOKUP(D156,'Master sheet (Clientes)'!A$6:D$747,2,0)," ")</f>
        <v>NJ</v>
      </c>
      <c r="B156" s="92" t="str">
        <f>IFERROR(VLOOKUP(D156,'Master sheet (Clientes)'!A$6:D$747,3,0)," ")</f>
        <v>Greystar</v>
      </c>
      <c r="C156" s="92" t="str">
        <f>IFERROR(VLOOKUP(D156,'Master sheet (Clientes)'!A$6:D$747,4,0)," ")</f>
        <v>A-V</v>
      </c>
      <c r="D156" s="92" t="s">
        <v>304</v>
      </c>
      <c r="E156" s="92">
        <v>655</v>
      </c>
      <c r="F156" s="92" t="s">
        <v>1455</v>
      </c>
      <c r="G156" s="92" t="s">
        <v>853</v>
      </c>
      <c r="H156" s="92" t="s">
        <v>1494</v>
      </c>
      <c r="I156" s="92" t="s">
        <v>1686</v>
      </c>
      <c r="J156" s="92" t="s">
        <v>48</v>
      </c>
      <c r="K156" s="92"/>
      <c r="L156" s="92"/>
      <c r="M156" s="92"/>
      <c r="N156" s="92" t="s">
        <v>1830</v>
      </c>
      <c r="O156" s="93"/>
      <c r="P156" s="93"/>
      <c r="Q156" s="93"/>
    </row>
    <row r="157" spans="1:17" s="94" customFormat="1" ht="70.5">
      <c r="A157" s="92" t="str">
        <f>IFERROR(VLOOKUP(D157,'Master sheet (Clientes)'!A$6:D$747,2,0)," ")</f>
        <v>NJ</v>
      </c>
      <c r="B157" s="92" t="str">
        <f>IFERROR(VLOOKUP(D157,'Master sheet (Clientes)'!A$6:D$747,3,0)," ")</f>
        <v>Greystar</v>
      </c>
      <c r="C157" s="92" t="str">
        <f>IFERROR(VLOOKUP(D157,'Master sheet (Clientes)'!A$6:D$747,4,0)," ")</f>
        <v>A-V</v>
      </c>
      <c r="D157" s="92" t="s">
        <v>304</v>
      </c>
      <c r="E157" s="92">
        <v>363</v>
      </c>
      <c r="F157" s="92" t="s">
        <v>854</v>
      </c>
      <c r="G157" s="92" t="s">
        <v>853</v>
      </c>
      <c r="H157" s="92" t="s">
        <v>1829</v>
      </c>
      <c r="I157" s="92" t="s">
        <v>1686</v>
      </c>
      <c r="J157" s="92" t="s">
        <v>48</v>
      </c>
      <c r="K157" s="92"/>
      <c r="L157" s="92"/>
      <c r="M157" s="92"/>
      <c r="N157" s="92" t="s">
        <v>1830</v>
      </c>
      <c r="O157" s="93"/>
      <c r="P157" s="93"/>
      <c r="Q157" s="93"/>
    </row>
    <row r="158" spans="1:17" ht="47">
      <c r="A158" s="54" t="str">
        <f>IFERROR(VLOOKUP(D158,'Master sheet (Clientes)'!A$6:D$747,2,0)," ")</f>
        <v>NJ</v>
      </c>
      <c r="B158" s="54" t="str">
        <f>IFERROR(VLOOKUP(D158,'Master sheet (Clientes)'!A$6:D$747,3,0)," ")</f>
        <v>Diversified Properties</v>
      </c>
      <c r="C158" s="54" t="str">
        <f>IFERROR(VLOOKUP(D158,'Master sheet (Clientes)'!A$6:D$747,4,0)," ")</f>
        <v>A-V</v>
      </c>
      <c r="D158" s="54" t="s">
        <v>265</v>
      </c>
      <c r="E158" s="54">
        <v>403</v>
      </c>
      <c r="F158" s="54" t="s">
        <v>854</v>
      </c>
      <c r="G158" s="54" t="s">
        <v>853</v>
      </c>
      <c r="H158" s="54" t="s">
        <v>925</v>
      </c>
      <c r="I158" s="54" t="s">
        <v>1584</v>
      </c>
      <c r="J158" s="54" t="s">
        <v>48</v>
      </c>
      <c r="K158" s="54"/>
      <c r="L158" s="54"/>
      <c r="M158" s="54"/>
      <c r="N158" s="54" t="s">
        <v>1820</v>
      </c>
    </row>
    <row r="159" spans="1:17">
      <c r="A159" s="1"/>
      <c r="B159" s="1"/>
      <c r="C159" s="1"/>
      <c r="D159" s="1"/>
      <c r="E159" s="1"/>
      <c r="F159" s="1"/>
      <c r="G159" s="1"/>
      <c r="H159" s="1"/>
      <c r="I159" s="1"/>
      <c r="J159" s="1"/>
      <c r="K159" s="1"/>
      <c r="L159" s="1"/>
      <c r="M159" s="1"/>
      <c r="N159" s="1"/>
    </row>
    <row r="160" spans="1:17" s="1" customFormat="1" ht="47">
      <c r="A160" s="4" t="s">
        <v>8</v>
      </c>
      <c r="B160" s="4" t="s">
        <v>9</v>
      </c>
      <c r="C160" s="4" t="s">
        <v>10</v>
      </c>
      <c r="D160" s="4" t="s">
        <v>11</v>
      </c>
      <c r="E160" s="4" t="s">
        <v>12</v>
      </c>
      <c r="F160" s="4" t="s">
        <v>13</v>
      </c>
      <c r="G160" s="38" t="s">
        <v>14</v>
      </c>
      <c r="H160" s="4" t="s">
        <v>15</v>
      </c>
      <c r="I160" s="38" t="s">
        <v>16</v>
      </c>
      <c r="J160" s="38" t="s">
        <v>17</v>
      </c>
      <c r="K160" s="38" t="s">
        <v>18</v>
      </c>
      <c r="L160" s="38" t="s">
        <v>19</v>
      </c>
      <c r="M160" s="38" t="s">
        <v>20</v>
      </c>
      <c r="N160" s="38" t="s">
        <v>21</v>
      </c>
    </row>
    <row r="161" spans="1:20" s="12" customFormat="1" ht="70.5">
      <c r="A161" s="54" t="str">
        <f>IFERROR(VLOOKUP(D161,'Master sheet (Clientes)'!A$6:D$747,2,0)," ")</f>
        <v>NJ</v>
      </c>
      <c r="B161" s="54" t="str">
        <f>IFERROR(VLOOKUP(D161,'Master sheet (Clientes)'!A$6:D$747,3,0)," ")</f>
        <v>No Charge / Courtesy Job</v>
      </c>
      <c r="C161" s="54" t="str">
        <f>IFERROR(VLOOKUP(D161,'Master sheet (Clientes)'!A$6:D$747,4,0)," ")</f>
        <v>N/A</v>
      </c>
      <c r="D161" s="54" t="s">
        <v>941</v>
      </c>
      <c r="E161" s="54" t="s">
        <v>968</v>
      </c>
      <c r="F161" s="54"/>
      <c r="G161" s="54"/>
      <c r="H161" s="54" t="s">
        <v>1372</v>
      </c>
      <c r="I161" s="54" t="s">
        <v>1300</v>
      </c>
      <c r="J161" s="54" t="s">
        <v>969</v>
      </c>
      <c r="K161" s="54" t="s">
        <v>970</v>
      </c>
      <c r="L161" s="54"/>
      <c r="M161" s="54" t="s">
        <v>1141</v>
      </c>
      <c r="N161" s="54" t="s">
        <v>1269</v>
      </c>
      <c r="O161" s="1"/>
      <c r="P161" s="1"/>
      <c r="Q161" s="1"/>
      <c r="R161" s="11"/>
      <c r="S161" s="11"/>
      <c r="T161" s="11"/>
    </row>
    <row r="162" spans="1:20">
      <c r="A162" s="3"/>
      <c r="B162" s="3"/>
      <c r="C162" s="3"/>
      <c r="D162" s="3"/>
      <c r="E162" s="3"/>
      <c r="F162" s="3"/>
      <c r="G162" s="3"/>
      <c r="H162" s="3"/>
      <c r="I162" s="3"/>
      <c r="K162" s="1"/>
      <c r="L162" s="1"/>
      <c r="M162" s="1"/>
      <c r="N162" s="1"/>
    </row>
    <row r="163" spans="1:20" s="1" customFormat="1" ht="47">
      <c r="A163" s="4" t="s">
        <v>8</v>
      </c>
      <c r="B163" s="4" t="s">
        <v>9</v>
      </c>
      <c r="C163" s="4" t="s">
        <v>10</v>
      </c>
      <c r="D163" s="4" t="s">
        <v>11</v>
      </c>
      <c r="E163" s="4" t="s">
        <v>12</v>
      </c>
      <c r="F163" s="4" t="s">
        <v>13</v>
      </c>
      <c r="G163" s="38" t="s">
        <v>14</v>
      </c>
      <c r="H163" s="4" t="s">
        <v>15</v>
      </c>
      <c r="I163" s="38" t="s">
        <v>16</v>
      </c>
      <c r="J163" s="38" t="s">
        <v>17</v>
      </c>
      <c r="K163" s="38" t="s">
        <v>18</v>
      </c>
      <c r="L163" s="38" t="s">
        <v>19</v>
      </c>
      <c r="M163" s="38" t="s">
        <v>20</v>
      </c>
      <c r="N163" s="38" t="s">
        <v>21</v>
      </c>
    </row>
    <row r="164" spans="1:20" ht="164.5">
      <c r="A164" s="54" t="str">
        <f>IFERROR(VLOOKUP(D164,'Master sheet (Clientes)'!A$6:D$747,2,0)," ")</f>
        <v>NJ</v>
      </c>
      <c r="B164" s="54" t="str">
        <f>IFERROR(VLOOKUP(D164,'Master sheet (Clientes)'!A$6:D$747,3,0)," ")</f>
        <v>Diversified Properties</v>
      </c>
      <c r="C164" s="54" t="str">
        <f>IFERROR(VLOOKUP(D164,'Master sheet (Clientes)'!A$6:D$747,4,0)," ")</f>
        <v>A-V</v>
      </c>
      <c r="D164" s="54" t="s">
        <v>269</v>
      </c>
      <c r="E164" s="54" t="s">
        <v>1036</v>
      </c>
      <c r="F164" s="54"/>
      <c r="G164" s="54"/>
      <c r="H164" s="54" t="s">
        <v>1714</v>
      </c>
      <c r="I164" s="54" t="s">
        <v>1687</v>
      </c>
      <c r="J164" s="54" t="s">
        <v>48</v>
      </c>
      <c r="K164" s="54" t="s">
        <v>1037</v>
      </c>
      <c r="L164" s="54"/>
      <c r="M164" s="54" t="s">
        <v>1038</v>
      </c>
      <c r="N164" s="54"/>
    </row>
    <row r="165" spans="1:20" ht="117.5">
      <c r="A165" s="54" t="str">
        <f>IFERROR(VLOOKUP(D165,'Master sheet (Clientes)'!A$6:D$747,2,0)," ")</f>
        <v>NJ</v>
      </c>
      <c r="B165" s="54" t="str">
        <f>IFERROR(VLOOKUP(D165,'Master sheet (Clientes)'!A$6:D$747,3,0)," ")</f>
        <v>Diversified Properties</v>
      </c>
      <c r="C165" s="54" t="str">
        <f>IFERROR(VLOOKUP(D165,'Master sheet (Clientes)'!A$6:D$747,4,0)," ")</f>
        <v>A-V</v>
      </c>
      <c r="D165" s="54" t="s">
        <v>269</v>
      </c>
      <c r="E165" s="54" t="s">
        <v>1192</v>
      </c>
      <c r="F165" s="54"/>
      <c r="G165" s="54"/>
      <c r="H165" s="54" t="s">
        <v>1715</v>
      </c>
      <c r="I165" s="54" t="s">
        <v>1735</v>
      </c>
      <c r="J165" s="54" t="s">
        <v>48</v>
      </c>
      <c r="K165" s="54" t="s">
        <v>1193</v>
      </c>
      <c r="L165" s="54"/>
      <c r="M165" s="54" t="s">
        <v>1194</v>
      </c>
      <c r="N165" s="54"/>
    </row>
    <row r="166" spans="1:20">
      <c r="A166" s="3"/>
      <c r="B166" s="3"/>
      <c r="C166" s="3"/>
      <c r="D166" s="3"/>
      <c r="E166" s="3"/>
      <c r="F166" s="3"/>
      <c r="G166" s="3"/>
      <c r="H166" s="3"/>
      <c r="I166" s="3"/>
      <c r="K166" s="1"/>
      <c r="L166" s="1"/>
      <c r="M166" s="1"/>
      <c r="N166" s="1"/>
    </row>
    <row r="167" spans="1:20" s="1" customFormat="1" ht="47">
      <c r="A167" s="4" t="s">
        <v>8</v>
      </c>
      <c r="B167" s="4" t="s">
        <v>9</v>
      </c>
      <c r="C167" s="4" t="s">
        <v>10</v>
      </c>
      <c r="D167" s="4" t="s">
        <v>11</v>
      </c>
      <c r="E167" s="4" t="s">
        <v>12</v>
      </c>
      <c r="F167" s="4" t="s">
        <v>13</v>
      </c>
      <c r="G167" s="38" t="s">
        <v>14</v>
      </c>
      <c r="H167" s="4" t="s">
        <v>15</v>
      </c>
      <c r="I167" s="38" t="s">
        <v>16</v>
      </c>
      <c r="J167" s="38" t="s">
        <v>17</v>
      </c>
      <c r="K167" s="38" t="s">
        <v>18</v>
      </c>
      <c r="L167" s="38" t="s">
        <v>19</v>
      </c>
      <c r="M167" s="38" t="s">
        <v>20</v>
      </c>
      <c r="N167" s="38" t="s">
        <v>21</v>
      </c>
    </row>
    <row r="168" spans="1:20" s="94" customFormat="1" ht="70.5">
      <c r="A168" s="92" t="str">
        <f>IFERROR(VLOOKUP(D168,'Master sheet (Clientes)'!A$6:D$747,2,0)," ")</f>
        <v>NJ</v>
      </c>
      <c r="B168" s="92" t="str">
        <f>IFERROR(VLOOKUP(D168,'Master sheet (Clientes)'!A$6:D$747,3,0)," ")</f>
        <v xml:space="preserve">BuildCare </v>
      </c>
      <c r="C168" s="92" t="str">
        <f>IFERROR(VLOOKUP(D168,'Master sheet (Clientes)'!A$6:D$747,4,0)," ")</f>
        <v>N/A</v>
      </c>
      <c r="D168" s="92" t="s">
        <v>196</v>
      </c>
      <c r="E168" s="92"/>
      <c r="F168" s="92"/>
      <c r="G168" s="92"/>
      <c r="H168" s="92" t="s">
        <v>1063</v>
      </c>
      <c r="I168" s="92" t="s">
        <v>990</v>
      </c>
      <c r="J168" s="92" t="s">
        <v>48</v>
      </c>
      <c r="K168" s="92"/>
      <c r="L168" s="92"/>
      <c r="M168" s="92" t="s">
        <v>1064</v>
      </c>
      <c r="N168" s="92" t="s">
        <v>1813</v>
      </c>
      <c r="O168" s="93"/>
      <c r="P168" s="93"/>
      <c r="Q168" s="93"/>
    </row>
    <row r="169" spans="1:20">
      <c r="A169" s="1"/>
      <c r="B169" s="1"/>
      <c r="C169" s="1"/>
      <c r="D169" s="1"/>
      <c r="E169" s="1"/>
      <c r="F169" s="1"/>
      <c r="G169" s="1"/>
      <c r="H169" s="1"/>
      <c r="I169" s="1"/>
      <c r="J169" s="1"/>
      <c r="K169" s="1"/>
      <c r="L169" s="1"/>
      <c r="M169" s="1"/>
      <c r="N169" s="1"/>
    </row>
    <row r="170" spans="1:20" s="1" customFormat="1" ht="47">
      <c r="A170" s="4" t="s">
        <v>8</v>
      </c>
      <c r="B170" s="4" t="s">
        <v>9</v>
      </c>
      <c r="C170" s="4" t="s">
        <v>10</v>
      </c>
      <c r="D170" s="4" t="s">
        <v>11</v>
      </c>
      <c r="E170" s="4" t="s">
        <v>12</v>
      </c>
      <c r="F170" s="4" t="s">
        <v>13</v>
      </c>
      <c r="G170" s="38" t="s">
        <v>14</v>
      </c>
      <c r="H170" s="4" t="s">
        <v>15</v>
      </c>
      <c r="I170" s="38" t="s">
        <v>16</v>
      </c>
      <c r="J170" s="38" t="s">
        <v>17</v>
      </c>
      <c r="K170" s="38" t="s">
        <v>18</v>
      </c>
      <c r="L170" s="38" t="s">
        <v>19</v>
      </c>
      <c r="M170" s="38" t="s">
        <v>20</v>
      </c>
      <c r="N170" s="38" t="s">
        <v>21</v>
      </c>
    </row>
    <row r="171" spans="1:20" ht="47">
      <c r="A171" s="54" t="str">
        <f>IFERROR(VLOOKUP(D171,'Master sheet (Clientes)'!A$6:D$747,2,0)," ")</f>
        <v>NJ</v>
      </c>
      <c r="B171" s="54" t="str">
        <f>IFERROR(VLOOKUP(D171,'Master sheet (Clientes)'!A$6:D$747,3,0)," ")</f>
        <v>No Charge / Courtesy Job</v>
      </c>
      <c r="C171" s="54" t="str">
        <f>IFERROR(VLOOKUP(D171,'Master sheet (Clientes)'!A$6:D$747,4,0)," ")</f>
        <v>N/A</v>
      </c>
      <c r="D171" s="54" t="s">
        <v>941</v>
      </c>
      <c r="E171" s="54" t="s">
        <v>968</v>
      </c>
      <c r="F171" s="54"/>
      <c r="G171" s="54"/>
      <c r="H171" s="54" t="s">
        <v>1716</v>
      </c>
      <c r="I171" s="54" t="s">
        <v>1739</v>
      </c>
      <c r="J171" s="54" t="s">
        <v>48</v>
      </c>
      <c r="K171" s="54" t="s">
        <v>970</v>
      </c>
      <c r="L171" s="54"/>
      <c r="M171" s="54" t="s">
        <v>972</v>
      </c>
      <c r="N171" s="54"/>
    </row>
    <row r="172" spans="1:20" ht="70.5">
      <c r="A172" s="54" t="str">
        <f>IFERROR(VLOOKUP(D172,'Master sheet (Clientes)'!A$6:D$747,2,0)," ")</f>
        <v>NJ</v>
      </c>
      <c r="B172" s="54" t="str">
        <f>IFERROR(VLOOKUP(D172,'Master sheet (Clientes)'!A$6:D$747,3,0)," ")</f>
        <v>Vivmark Residential</v>
      </c>
      <c r="C172" s="54" t="str">
        <f>IFERROR(VLOOKUP(D172,'Master sheet (Clientes)'!A$6:D$747,4,0)," ")</f>
        <v>N-O</v>
      </c>
      <c r="D172" s="54" t="s">
        <v>80</v>
      </c>
      <c r="E172" s="54">
        <v>254</v>
      </c>
      <c r="F172" s="54" t="s">
        <v>45</v>
      </c>
      <c r="G172" s="54" t="s">
        <v>853</v>
      </c>
      <c r="H172" s="54" t="s">
        <v>1280</v>
      </c>
      <c r="I172" s="54" t="s">
        <v>1739</v>
      </c>
      <c r="J172" s="54" t="s">
        <v>48</v>
      </c>
      <c r="K172" s="54"/>
      <c r="L172" s="54"/>
      <c r="M172" s="54"/>
      <c r="N172" s="54"/>
    </row>
    <row r="173" spans="1:20" ht="70.5">
      <c r="A173" s="54" t="str">
        <f>IFERROR(VLOOKUP(D173,'Master sheet (Clientes)'!A$6:D$747,2,0)," ")</f>
        <v>NJ</v>
      </c>
      <c r="B173" s="54" t="str">
        <f>IFERROR(VLOOKUP(D173,'Master sheet (Clientes)'!A$6:D$747,3,0)," ")</f>
        <v xml:space="preserve">Sparrow </v>
      </c>
      <c r="C173" s="54" t="str">
        <f>IFERROR(VLOOKUP(D173,'Master sheet (Clientes)'!A$6:D$747,4,0)," ")</f>
        <v>A-V</v>
      </c>
      <c r="D173" s="54" t="s">
        <v>751</v>
      </c>
      <c r="E173" s="54" t="s">
        <v>1420</v>
      </c>
      <c r="F173" s="54" t="s">
        <v>1279</v>
      </c>
      <c r="G173" s="54" t="s">
        <v>853</v>
      </c>
      <c r="H173" s="54" t="s">
        <v>1280</v>
      </c>
      <c r="I173" s="54" t="s">
        <v>1739</v>
      </c>
      <c r="J173" s="54" t="s">
        <v>1422</v>
      </c>
      <c r="K173" s="54"/>
      <c r="L173" s="54"/>
      <c r="M173" s="54"/>
      <c r="N173" s="54"/>
    </row>
    <row r="174" spans="1:20" s="5" customFormat="1">
      <c r="A174" s="1"/>
      <c r="B174" s="1"/>
      <c r="C174" s="1"/>
      <c r="D174" s="1"/>
      <c r="E174" s="1"/>
      <c r="F174" s="1"/>
      <c r="G174" s="1"/>
      <c r="H174" s="1"/>
      <c r="I174" s="1"/>
      <c r="J174" s="1"/>
      <c r="K174" s="1"/>
      <c r="L174" s="1"/>
      <c r="M174" s="1"/>
      <c r="N174" s="1"/>
      <c r="O174" s="35"/>
      <c r="P174" s="35"/>
      <c r="Q174" s="35"/>
    </row>
    <row r="175" spans="1:20" s="1" customFormat="1" ht="47">
      <c r="A175" s="4" t="s">
        <v>8</v>
      </c>
      <c r="B175" s="4" t="s">
        <v>9</v>
      </c>
      <c r="C175" s="4" t="s">
        <v>10</v>
      </c>
      <c r="D175" s="4" t="s">
        <v>11</v>
      </c>
      <c r="E175" s="4" t="s">
        <v>12</v>
      </c>
      <c r="F175" s="4" t="s">
        <v>13</v>
      </c>
      <c r="G175" s="38" t="s">
        <v>14</v>
      </c>
      <c r="H175" s="4" t="s">
        <v>15</v>
      </c>
      <c r="I175" s="38" t="s">
        <v>16</v>
      </c>
      <c r="J175" s="38" t="s">
        <v>17</v>
      </c>
      <c r="K175" s="38" t="s">
        <v>18</v>
      </c>
      <c r="L175" s="38" t="s">
        <v>19</v>
      </c>
      <c r="M175" s="38" t="s">
        <v>20</v>
      </c>
      <c r="N175" s="38" t="s">
        <v>21</v>
      </c>
    </row>
    <row r="176" spans="1:20" ht="70.5">
      <c r="A176" s="54" t="str">
        <f>IFERROR(VLOOKUP(D176,'Master sheet (Clientes)'!A$6:D$747,2,0)," ")</f>
        <v>NJ</v>
      </c>
      <c r="B176" s="54" t="str">
        <f>IFERROR(VLOOKUP(D176,'Master sheet (Clientes)'!A$6:D$747,3,0)," ")</f>
        <v>Titan Corp US</v>
      </c>
      <c r="C176" s="54" t="str">
        <f>IFERROR(VLOOKUP(D176,'Master sheet (Clientes)'!A$6:D$747,4,0)," ")</f>
        <v>A-V</v>
      </c>
      <c r="D176" s="54" t="s">
        <v>743</v>
      </c>
      <c r="E176" s="54">
        <v>424</v>
      </c>
      <c r="F176" s="54" t="s">
        <v>874</v>
      </c>
      <c r="G176" s="54" t="s">
        <v>853</v>
      </c>
      <c r="H176" s="54" t="s">
        <v>1280</v>
      </c>
      <c r="I176" s="54" t="s">
        <v>1137</v>
      </c>
      <c r="J176" s="54" t="s">
        <v>48</v>
      </c>
      <c r="K176" s="54"/>
      <c r="L176" s="54"/>
      <c r="M176" s="54"/>
      <c r="N176" s="54"/>
    </row>
    <row r="177" spans="1:17" ht="70.5">
      <c r="A177" s="54" t="str">
        <f>IFERROR(VLOOKUP(D177,'Master sheet (Clientes)'!A$6:D$747,2,0)," ")</f>
        <v>NJ</v>
      </c>
      <c r="B177" s="54" t="str">
        <f>IFERROR(VLOOKUP(D177,'Master sheet (Clientes)'!A$6:D$747,3,0)," ")</f>
        <v>Titan Corp US</v>
      </c>
      <c r="C177" s="54" t="str">
        <f>IFERROR(VLOOKUP(D177,'Master sheet (Clientes)'!A$6:D$747,4,0)," ")</f>
        <v>A-V</v>
      </c>
      <c r="D177" s="54" t="s">
        <v>743</v>
      </c>
      <c r="E177" s="54">
        <v>519</v>
      </c>
      <c r="F177" s="54" t="s">
        <v>854</v>
      </c>
      <c r="G177" s="54" t="s">
        <v>853</v>
      </c>
      <c r="H177" s="54" t="s">
        <v>1280</v>
      </c>
      <c r="I177" s="54" t="s">
        <v>1137</v>
      </c>
      <c r="J177" s="54" t="s">
        <v>48</v>
      </c>
      <c r="K177" s="54"/>
      <c r="L177" s="54"/>
      <c r="M177" s="54"/>
      <c r="N177" s="54"/>
    </row>
    <row r="178" spans="1:17" s="5" customFormat="1">
      <c r="A178" s="1"/>
      <c r="B178" s="1"/>
      <c r="C178" s="1"/>
      <c r="D178" s="1"/>
      <c r="E178" s="1"/>
      <c r="F178" s="1"/>
      <c r="G178" s="1"/>
      <c r="H178" s="1"/>
      <c r="I178" s="1"/>
      <c r="J178" s="1"/>
      <c r="K178" s="1"/>
      <c r="L178" s="1"/>
      <c r="M178" s="1"/>
      <c r="N178" s="1"/>
      <c r="O178" s="35"/>
      <c r="P178" s="35"/>
      <c r="Q178" s="35"/>
    </row>
    <row r="179" spans="1:17" s="1" customFormat="1" ht="47">
      <c r="A179" s="4" t="s">
        <v>8</v>
      </c>
      <c r="B179" s="4" t="s">
        <v>9</v>
      </c>
      <c r="C179" s="4" t="s">
        <v>10</v>
      </c>
      <c r="D179" s="4" t="s">
        <v>11</v>
      </c>
      <c r="E179" s="4" t="s">
        <v>12</v>
      </c>
      <c r="F179" s="4" t="s">
        <v>13</v>
      </c>
      <c r="G179" s="38" t="s">
        <v>14</v>
      </c>
      <c r="H179" s="4" t="s">
        <v>15</v>
      </c>
      <c r="I179" s="38" t="s">
        <v>16</v>
      </c>
      <c r="J179" s="38" t="s">
        <v>17</v>
      </c>
      <c r="K179" s="38" t="s">
        <v>18</v>
      </c>
      <c r="L179" s="38" t="s">
        <v>19</v>
      </c>
      <c r="M179" s="38" t="s">
        <v>20</v>
      </c>
      <c r="N179" s="38" t="s">
        <v>21</v>
      </c>
    </row>
    <row r="180" spans="1:17" ht="70.5">
      <c r="A180" s="54" t="str">
        <f>IFERROR(VLOOKUP(D180,'Master sheet (Clientes)'!A$6:D$747,2,0)," ")</f>
        <v>NJ</v>
      </c>
      <c r="B180" s="54" t="str">
        <f>IFERROR(VLOOKUP(D180,'Master sheet (Clientes)'!A$6:D$747,3,0)," ")</f>
        <v xml:space="preserve">BuildCare </v>
      </c>
      <c r="C180" s="54" t="str">
        <f>IFERROR(VLOOKUP(D180,'Master sheet (Clientes)'!A$6:D$747,4,0)," ")</f>
        <v>N/A</v>
      </c>
      <c r="D180" s="54" t="s">
        <v>196</v>
      </c>
      <c r="E180" s="54"/>
      <c r="F180" s="54"/>
      <c r="G180" s="54"/>
      <c r="H180" s="54" t="s">
        <v>1270</v>
      </c>
      <c r="I180" s="54" t="s">
        <v>909</v>
      </c>
      <c r="J180" s="54" t="s">
        <v>48</v>
      </c>
      <c r="K180" s="54"/>
      <c r="L180" s="54"/>
      <c r="M180" s="54" t="s">
        <v>1271</v>
      </c>
      <c r="N180" s="54"/>
    </row>
    <row r="181" spans="1:17">
      <c r="A181" s="1"/>
      <c r="B181" s="1"/>
      <c r="C181" s="1"/>
      <c r="D181" s="1"/>
      <c r="E181" s="1"/>
      <c r="F181" s="1"/>
      <c r="G181" s="1"/>
      <c r="H181" s="1"/>
      <c r="I181" s="1"/>
      <c r="K181" s="1"/>
      <c r="L181" s="1"/>
      <c r="M181" s="1"/>
      <c r="N181" s="1"/>
    </row>
    <row r="182" spans="1:17" ht="26">
      <c r="A182" s="33"/>
      <c r="B182" s="33"/>
      <c r="C182" s="33"/>
      <c r="D182" s="127" t="s">
        <v>30</v>
      </c>
      <c r="E182" s="127"/>
      <c r="F182" s="127"/>
      <c r="G182" s="127"/>
      <c r="H182" s="127"/>
      <c r="I182" s="127"/>
      <c r="J182" s="127"/>
      <c r="K182" s="127"/>
      <c r="L182" s="127"/>
      <c r="M182" s="16"/>
      <c r="N182" s="16"/>
    </row>
    <row r="183" spans="1:17" s="5" customFormat="1" ht="26">
      <c r="A183" s="43"/>
      <c r="B183" s="43"/>
      <c r="C183" s="43"/>
      <c r="D183" s="128" t="s">
        <v>31</v>
      </c>
      <c r="E183" s="128"/>
      <c r="F183" s="128"/>
      <c r="G183" s="128"/>
      <c r="H183" s="128"/>
      <c r="I183" s="128"/>
      <c r="J183" s="128"/>
      <c r="K183" s="128"/>
      <c r="L183" s="128"/>
      <c r="M183" s="44"/>
      <c r="N183" s="44"/>
      <c r="O183" s="35"/>
      <c r="P183" s="35"/>
      <c r="Q183" s="35"/>
    </row>
    <row r="184" spans="1:17">
      <c r="A184" s="3"/>
      <c r="B184" s="3"/>
      <c r="C184" s="3"/>
      <c r="D184" s="3"/>
      <c r="E184" s="3"/>
      <c r="F184" s="3"/>
      <c r="G184" s="3"/>
      <c r="H184" s="3"/>
      <c r="I184" s="3"/>
      <c r="K184" s="1"/>
      <c r="L184" s="1"/>
      <c r="M184" s="1"/>
      <c r="N184" s="1"/>
    </row>
    <row r="185" spans="1:17" s="1" customFormat="1" ht="47">
      <c r="A185" s="4" t="s">
        <v>8</v>
      </c>
      <c r="B185" s="4" t="s">
        <v>9</v>
      </c>
      <c r="C185" s="4" t="s">
        <v>10</v>
      </c>
      <c r="D185" s="4" t="s">
        <v>11</v>
      </c>
      <c r="E185" s="4" t="s">
        <v>12</v>
      </c>
      <c r="F185" s="4" t="s">
        <v>13</v>
      </c>
      <c r="G185" s="38" t="s">
        <v>14</v>
      </c>
      <c r="H185" s="4" t="s">
        <v>15</v>
      </c>
      <c r="I185" s="38" t="s">
        <v>16</v>
      </c>
      <c r="J185" s="38" t="s">
        <v>17</v>
      </c>
      <c r="K185" s="38" t="s">
        <v>18</v>
      </c>
      <c r="L185" s="38" t="s">
        <v>19</v>
      </c>
      <c r="M185" s="38" t="s">
        <v>20</v>
      </c>
      <c r="N185" s="38" t="s">
        <v>21</v>
      </c>
    </row>
    <row r="186" spans="1:17" ht="47">
      <c r="A186" s="54" t="str">
        <f>IFERROR(VLOOKUP(D186,'Master sheet (Clientes)'!A$6:D$747,2,0)," ")</f>
        <v>NJ</v>
      </c>
      <c r="B186" s="54" t="str">
        <f>IFERROR(VLOOKUP(D186,'Master sheet (Clientes)'!A$6:D$747,3,0)," ")</f>
        <v xml:space="preserve">KRE Group Management </v>
      </c>
      <c r="C186" s="54" t="str">
        <f>IFERROR(VLOOKUP(D186,'Master sheet (Clientes)'!A$6:D$747,4,0)," ")</f>
        <v>A-V</v>
      </c>
      <c r="D186" s="54" t="s">
        <v>384</v>
      </c>
      <c r="E186" s="54"/>
      <c r="F186" s="54"/>
      <c r="G186" s="54"/>
      <c r="H186" s="54" t="s">
        <v>1017</v>
      </c>
      <c r="I186" s="54" t="s">
        <v>1018</v>
      </c>
      <c r="J186" s="54" t="s">
        <v>48</v>
      </c>
      <c r="K186" s="54"/>
      <c r="L186" s="54"/>
      <c r="M186" s="54"/>
      <c r="N186" s="54" t="s">
        <v>1266</v>
      </c>
    </row>
    <row r="187" spans="1:17" ht="70.5">
      <c r="A187" s="54" t="str">
        <f>IFERROR(VLOOKUP(D187,'Master sheet (Clientes)'!A$6:D$747,2,0)," ")</f>
        <v>NJ</v>
      </c>
      <c r="B187" s="54" t="str">
        <f>IFERROR(VLOOKUP(D187,'Master sheet (Clientes)'!A$6:D$747,3,0)," ")</f>
        <v xml:space="preserve">KRE Group Management </v>
      </c>
      <c r="C187" s="54" t="str">
        <f>IFERROR(VLOOKUP(D187,'Master sheet (Clientes)'!A$6:D$747,4,0)," ")</f>
        <v>A-V</v>
      </c>
      <c r="D187" s="54" t="s">
        <v>392</v>
      </c>
      <c r="E187" s="54"/>
      <c r="F187" s="54"/>
      <c r="G187" s="54"/>
      <c r="H187" s="54" t="s">
        <v>1015</v>
      </c>
      <c r="I187" s="54" t="s">
        <v>1019</v>
      </c>
      <c r="J187" s="54" t="s">
        <v>48</v>
      </c>
      <c r="K187" s="54"/>
      <c r="L187" s="54"/>
      <c r="M187" s="54" t="s">
        <v>1020</v>
      </c>
      <c r="N187" s="54" t="s">
        <v>1266</v>
      </c>
    </row>
    <row r="188" spans="1:17" ht="47">
      <c r="A188" s="54" t="str">
        <f>IFERROR(VLOOKUP(D188,'Master sheet (Clientes)'!A$6:D$747,2,0)," ")</f>
        <v>NJ</v>
      </c>
      <c r="B188" s="54" t="str">
        <f>IFERROR(VLOOKUP(D188,'Master sheet (Clientes)'!A$6:D$747,3,0)," ")</f>
        <v>Paramount Assets</v>
      </c>
      <c r="C188" s="54" t="str">
        <f>IFERROR(VLOOKUP(D188,'Master sheet (Clientes)'!A$6:D$747,4,0)," ")</f>
        <v>A-V</v>
      </c>
      <c r="D188" s="54" t="s">
        <v>608</v>
      </c>
      <c r="E188" s="54"/>
      <c r="F188" s="54"/>
      <c r="G188" s="54"/>
      <c r="H188" s="54" t="s">
        <v>1332</v>
      </c>
      <c r="I188" s="54" t="s">
        <v>911</v>
      </c>
      <c r="J188" s="54" t="s">
        <v>48</v>
      </c>
      <c r="K188" s="54"/>
      <c r="L188" s="54"/>
      <c r="M188" s="54" t="s">
        <v>1331</v>
      </c>
      <c r="N188" s="54" t="s">
        <v>1268</v>
      </c>
    </row>
    <row r="189" spans="1:17" ht="70.5">
      <c r="A189" s="54" t="str">
        <f>IFERROR(VLOOKUP(D189,'Master sheet (Clientes)'!A$6:D$747,2,0)," ")</f>
        <v>NJ</v>
      </c>
      <c r="B189" s="54" t="str">
        <f>IFERROR(VLOOKUP(D189,'Master sheet (Clientes)'!A$6:D$747,3,0)," ")</f>
        <v>Greystar</v>
      </c>
      <c r="C189" s="54" t="str">
        <f>IFERROR(VLOOKUP(D189,'Master sheet (Clientes)'!A$6:D$747,4,0)," ")</f>
        <v>A-V</v>
      </c>
      <c r="D189" s="54" t="s">
        <v>361</v>
      </c>
      <c r="E189" s="54" t="s">
        <v>1333</v>
      </c>
      <c r="F189" s="54" t="s">
        <v>864</v>
      </c>
      <c r="G189" s="54" t="s">
        <v>853</v>
      </c>
      <c r="H189" s="54" t="s">
        <v>1334</v>
      </c>
      <c r="I189" s="54" t="s">
        <v>1689</v>
      </c>
      <c r="J189" s="54" t="s">
        <v>48</v>
      </c>
      <c r="K189" s="54"/>
      <c r="L189" s="54"/>
      <c r="M189" s="54" t="s">
        <v>1335</v>
      </c>
      <c r="N189" s="54" t="s">
        <v>1747</v>
      </c>
    </row>
    <row r="190" spans="1:17" ht="70.5">
      <c r="A190" s="54" t="str">
        <f>IFERROR(VLOOKUP(D190,'Master sheet (Clientes)'!A$6:D$747,2,0)," ")</f>
        <v>NJ</v>
      </c>
      <c r="B190" s="54" t="str">
        <f>IFERROR(VLOOKUP(D190,'Master sheet (Clientes)'!A$6:D$747,3,0)," ")</f>
        <v>Greystar</v>
      </c>
      <c r="C190" s="54" t="str">
        <f>IFERROR(VLOOKUP(D190,'Master sheet (Clientes)'!A$6:D$747,4,0)," ")</f>
        <v>A-V</v>
      </c>
      <c r="D190" s="54" t="s">
        <v>361</v>
      </c>
      <c r="E190" s="54" t="s">
        <v>1445</v>
      </c>
      <c r="F190" s="54" t="s">
        <v>946</v>
      </c>
      <c r="G190" s="54" t="s">
        <v>853</v>
      </c>
      <c r="H190" s="54" t="s">
        <v>860</v>
      </c>
      <c r="I190" s="54" t="s">
        <v>1689</v>
      </c>
      <c r="J190" s="54" t="s">
        <v>48</v>
      </c>
      <c r="K190" s="54"/>
      <c r="L190" s="54"/>
      <c r="M190" s="54" t="s">
        <v>1448</v>
      </c>
      <c r="N190" s="54" t="s">
        <v>1747</v>
      </c>
    </row>
    <row r="191" spans="1:17" s="94" customFormat="1" ht="70.5">
      <c r="A191" s="92" t="str">
        <f>IFERROR(VLOOKUP(D191,'Master sheet (Clientes)'!A$6:D$747,2,0)," ")</f>
        <v>NJ</v>
      </c>
      <c r="B191" s="92" t="str">
        <f>IFERROR(VLOOKUP(D191,'Master sheet (Clientes)'!A$6:D$747,3,0)," ")</f>
        <v>Greystar</v>
      </c>
      <c r="C191" s="92" t="str">
        <f>IFERROR(VLOOKUP(D191,'Master sheet (Clientes)'!A$6:D$747,4,0)," ")</f>
        <v>A-V</v>
      </c>
      <c r="D191" s="92" t="s">
        <v>361</v>
      </c>
      <c r="E191" s="92" t="s">
        <v>1446</v>
      </c>
      <c r="F191" s="92" t="s">
        <v>876</v>
      </c>
      <c r="G191" s="92" t="s">
        <v>853</v>
      </c>
      <c r="H191" s="92" t="s">
        <v>860</v>
      </c>
      <c r="I191" s="92" t="s">
        <v>1689</v>
      </c>
      <c r="J191" s="92" t="s">
        <v>48</v>
      </c>
      <c r="K191" s="92"/>
      <c r="L191" s="92"/>
      <c r="M191" s="92" t="s">
        <v>1845</v>
      </c>
      <c r="N191" s="92" t="s">
        <v>1831</v>
      </c>
      <c r="O191" s="93"/>
      <c r="P191" s="93"/>
      <c r="Q191" s="93"/>
    </row>
    <row r="192" spans="1:17" ht="70.5">
      <c r="A192" s="54" t="str">
        <f>IFERROR(VLOOKUP(D192,'Master sheet (Clientes)'!A$6:D$747,2,0)," ")</f>
        <v>NJ</v>
      </c>
      <c r="B192" s="54" t="str">
        <f>IFERROR(VLOOKUP(D192,'Master sheet (Clientes)'!A$6:D$747,3,0)," ")</f>
        <v xml:space="preserve">Sparrow </v>
      </c>
      <c r="C192" s="54" t="str">
        <f>IFERROR(VLOOKUP(D192,'Master sheet (Clientes)'!A$6:D$747,4,0)," ")</f>
        <v>A-V</v>
      </c>
      <c r="D192" s="54" t="s">
        <v>739</v>
      </c>
      <c r="E192" s="54">
        <v>518</v>
      </c>
      <c r="F192" s="54" t="s">
        <v>45</v>
      </c>
      <c r="G192" s="54" t="s">
        <v>853</v>
      </c>
      <c r="H192" s="54" t="s">
        <v>1717</v>
      </c>
      <c r="I192" s="54" t="s">
        <v>1287</v>
      </c>
      <c r="J192" s="54" t="s">
        <v>48</v>
      </c>
      <c r="K192" s="54"/>
      <c r="L192" s="54"/>
      <c r="M192" s="54"/>
      <c r="N192" s="54" t="s">
        <v>1747</v>
      </c>
    </row>
    <row r="193" spans="1:14">
      <c r="A193" s="1"/>
      <c r="B193" s="1"/>
      <c r="C193" s="1"/>
      <c r="D193" s="1"/>
      <c r="E193" s="1"/>
      <c r="F193" s="1"/>
      <c r="G193" s="1"/>
      <c r="H193" s="1"/>
      <c r="I193" s="1"/>
      <c r="J193" s="1"/>
      <c r="K193" s="1"/>
      <c r="L193" s="1"/>
      <c r="M193" s="1"/>
      <c r="N193" s="1"/>
    </row>
    <row r="194" spans="1:14" s="1" customFormat="1" ht="47">
      <c r="A194" s="4" t="s">
        <v>8</v>
      </c>
      <c r="B194" s="4" t="s">
        <v>9</v>
      </c>
      <c r="C194" s="4" t="s">
        <v>10</v>
      </c>
      <c r="D194" s="4" t="s">
        <v>11</v>
      </c>
      <c r="E194" s="4" t="s">
        <v>12</v>
      </c>
      <c r="F194" s="4" t="s">
        <v>13</v>
      </c>
      <c r="G194" s="38" t="s">
        <v>14</v>
      </c>
      <c r="H194" s="4" t="s">
        <v>15</v>
      </c>
      <c r="I194" s="38" t="s">
        <v>16</v>
      </c>
      <c r="J194" s="38" t="s">
        <v>17</v>
      </c>
      <c r="K194" s="38" t="s">
        <v>18</v>
      </c>
      <c r="L194" s="38" t="s">
        <v>19</v>
      </c>
      <c r="M194" s="38" t="s">
        <v>20</v>
      </c>
      <c r="N194" s="38" t="s">
        <v>21</v>
      </c>
    </row>
    <row r="195" spans="1:14" ht="70.5">
      <c r="A195" s="54" t="str">
        <f>IFERROR(VLOOKUP(D195,'Master sheet (Clientes)'!A$6:D$747,2,0)," ")</f>
        <v>NJ</v>
      </c>
      <c r="B195" s="54" t="str">
        <f>IFERROR(VLOOKUP(D195,'Master sheet (Clientes)'!A$6:D$747,3,0)," ")</f>
        <v xml:space="preserve">KRE Group Management </v>
      </c>
      <c r="C195" s="54" t="str">
        <f>IFERROR(VLOOKUP(D195,'Master sheet (Clientes)'!A$6:D$747,4,0)," ")</f>
        <v>A-V</v>
      </c>
      <c r="D195" s="54" t="s">
        <v>380</v>
      </c>
      <c r="E195" s="54"/>
      <c r="F195" s="54"/>
      <c r="G195" s="54"/>
      <c r="H195" s="54" t="s">
        <v>1015</v>
      </c>
      <c r="I195" s="54" t="s">
        <v>1016</v>
      </c>
      <c r="J195" s="54" t="s">
        <v>48</v>
      </c>
      <c r="K195" s="54"/>
      <c r="L195" s="54"/>
      <c r="M195" s="54" t="s">
        <v>1135</v>
      </c>
      <c r="N195" s="54" t="s">
        <v>1266</v>
      </c>
    </row>
    <row r="196" spans="1:14" ht="47">
      <c r="A196" s="54" t="str">
        <f>IFERROR(VLOOKUP(D196,'Master sheet (Clientes)'!A$6:D$747,2,0)," ")</f>
        <v>NJ</v>
      </c>
      <c r="B196" s="54" t="str">
        <f>IFERROR(VLOOKUP(D196,'Master sheet (Clientes)'!A$6:D$747,3,0)," ")</f>
        <v>Bozzuto</v>
      </c>
      <c r="C196" s="54" t="str">
        <f>IFERROR(VLOOKUP(D196,'Master sheet (Clientes)'!A$6:D$747,4,0)," ")</f>
        <v>N-O</v>
      </c>
      <c r="D196" s="54" t="s">
        <v>179</v>
      </c>
      <c r="E196" s="54"/>
      <c r="F196" s="54"/>
      <c r="G196" s="54"/>
      <c r="H196" s="54" t="s">
        <v>1136</v>
      </c>
      <c r="I196" s="54" t="s">
        <v>1056</v>
      </c>
      <c r="J196" s="54" t="s">
        <v>48</v>
      </c>
      <c r="K196" s="54"/>
      <c r="L196" s="54"/>
      <c r="M196" s="54" t="s">
        <v>1135</v>
      </c>
      <c r="N196" s="54" t="s">
        <v>1266</v>
      </c>
    </row>
    <row r="197" spans="1:14">
      <c r="A197" s="3"/>
      <c r="B197" s="3"/>
      <c r="C197" s="3"/>
      <c r="D197" s="3"/>
      <c r="E197" s="3"/>
      <c r="F197" s="3"/>
      <c r="G197" s="3"/>
      <c r="H197" s="3"/>
      <c r="I197" s="3"/>
      <c r="K197" s="1"/>
      <c r="L197" s="1"/>
      <c r="M197" s="1"/>
      <c r="N197" s="1"/>
    </row>
    <row r="198" spans="1:14" s="1" customFormat="1" ht="47">
      <c r="A198" s="4" t="s">
        <v>8</v>
      </c>
      <c r="B198" s="4" t="s">
        <v>9</v>
      </c>
      <c r="C198" s="4" t="s">
        <v>10</v>
      </c>
      <c r="D198" s="4" t="s">
        <v>11</v>
      </c>
      <c r="E198" s="4" t="s">
        <v>12</v>
      </c>
      <c r="F198" s="4" t="s">
        <v>13</v>
      </c>
      <c r="G198" s="38" t="s">
        <v>14</v>
      </c>
      <c r="H198" s="4" t="s">
        <v>15</v>
      </c>
      <c r="I198" s="38" t="s">
        <v>16</v>
      </c>
      <c r="J198" s="38" t="s">
        <v>17</v>
      </c>
      <c r="K198" s="38" t="s">
        <v>18</v>
      </c>
      <c r="L198" s="38" t="s">
        <v>19</v>
      </c>
      <c r="M198" s="38" t="s">
        <v>20</v>
      </c>
      <c r="N198" s="38" t="s">
        <v>21</v>
      </c>
    </row>
    <row r="199" spans="1:14" ht="94">
      <c r="A199" s="54" t="str">
        <f>IFERROR(VLOOKUP(D199,'Master sheet (Clientes)'!A$6:D$747,2,0)," ")</f>
        <v>NJ</v>
      </c>
      <c r="B199" s="54" t="str">
        <f>IFERROR(VLOOKUP(D199,'Master sheet (Clientes)'!A$6:D$747,3,0)," ")</f>
        <v>Vivmark Residential</v>
      </c>
      <c r="C199" s="54" t="str">
        <f>IFERROR(VLOOKUP(D199,'Master sheet (Clientes)'!A$6:D$747,4,0)," ")</f>
        <v>N-O</v>
      </c>
      <c r="D199" s="54" t="s">
        <v>87</v>
      </c>
      <c r="E199" s="54" t="s">
        <v>979</v>
      </c>
      <c r="F199" s="54"/>
      <c r="G199" s="54"/>
      <c r="H199" s="54" t="s">
        <v>1131</v>
      </c>
      <c r="I199" s="54" t="s">
        <v>1537</v>
      </c>
      <c r="J199" s="54" t="s">
        <v>48</v>
      </c>
      <c r="K199" s="54"/>
      <c r="L199" s="54"/>
      <c r="M199" s="54"/>
      <c r="N199" s="54" t="s">
        <v>1266</v>
      </c>
    </row>
    <row r="200" spans="1:14">
      <c r="A200" s="1"/>
      <c r="B200" s="1"/>
      <c r="C200" s="1"/>
      <c r="D200" s="1"/>
      <c r="E200" s="1"/>
      <c r="F200" s="1"/>
      <c r="G200" s="1"/>
      <c r="H200" s="1"/>
      <c r="I200" s="1"/>
      <c r="J200" s="1"/>
      <c r="K200" s="1"/>
      <c r="L200" s="1"/>
      <c r="M200" s="1"/>
      <c r="N200" s="1"/>
    </row>
    <row r="201" spans="1:14" s="1" customFormat="1" ht="47">
      <c r="A201" s="4" t="s">
        <v>8</v>
      </c>
      <c r="B201" s="4" t="s">
        <v>9</v>
      </c>
      <c r="C201" s="4" t="s">
        <v>10</v>
      </c>
      <c r="D201" s="4" t="s">
        <v>11</v>
      </c>
      <c r="E201" s="4" t="s">
        <v>12</v>
      </c>
      <c r="F201" s="4" t="s">
        <v>13</v>
      </c>
      <c r="G201" s="38" t="s">
        <v>14</v>
      </c>
      <c r="H201" s="4" t="s">
        <v>15</v>
      </c>
      <c r="I201" s="38" t="s">
        <v>16</v>
      </c>
      <c r="J201" s="38" t="s">
        <v>17</v>
      </c>
      <c r="K201" s="38" t="s">
        <v>18</v>
      </c>
      <c r="L201" s="38" t="s">
        <v>19</v>
      </c>
      <c r="M201" s="38" t="s">
        <v>20</v>
      </c>
      <c r="N201" s="38" t="s">
        <v>21</v>
      </c>
    </row>
    <row r="202" spans="1:14" ht="70.5">
      <c r="A202" s="54" t="str">
        <f>IFERROR(VLOOKUP(D202,'Master sheet (Clientes)'!A$6:D$747,2,0)," ")</f>
        <v>NJ</v>
      </c>
      <c r="B202" s="54" t="str">
        <f>IFERROR(VLOOKUP(D202,'Master sheet (Clientes)'!A$6:D$747,3,0)," ")</f>
        <v>Paramount Assets</v>
      </c>
      <c r="C202" s="54" t="str">
        <f>IFERROR(VLOOKUP(D202,'Master sheet (Clientes)'!A$6:D$747,4,0)," ")</f>
        <v>A-V</v>
      </c>
      <c r="D202" s="54" t="s">
        <v>613</v>
      </c>
      <c r="E202" s="54">
        <v>201</v>
      </c>
      <c r="F202" s="54" t="s">
        <v>45</v>
      </c>
      <c r="G202" s="54" t="s">
        <v>853</v>
      </c>
      <c r="H202" s="54" t="s">
        <v>857</v>
      </c>
      <c r="I202" s="54" t="s">
        <v>1137</v>
      </c>
      <c r="J202" s="54" t="s">
        <v>48</v>
      </c>
      <c r="K202" s="54"/>
      <c r="L202" s="54"/>
      <c r="M202" s="54"/>
      <c r="N202" s="54"/>
    </row>
    <row r="203" spans="1:14" ht="70.5">
      <c r="A203" s="54" t="str">
        <f>IFERROR(VLOOKUP(D203,'Master sheet (Clientes)'!A$6:D$747,2,0)," ")</f>
        <v>NJ</v>
      </c>
      <c r="B203" s="54" t="str">
        <f>IFERROR(VLOOKUP(D203,'Master sheet (Clientes)'!A$6:D$747,3,0)," ")</f>
        <v>Paramount Assets</v>
      </c>
      <c r="C203" s="54" t="str">
        <f>IFERROR(VLOOKUP(D203,'Master sheet (Clientes)'!A$6:D$747,4,0)," ")</f>
        <v>A-V</v>
      </c>
      <c r="D203" s="54" t="s">
        <v>604</v>
      </c>
      <c r="E203" s="54">
        <v>205</v>
      </c>
      <c r="F203" s="54" t="s">
        <v>45</v>
      </c>
      <c r="G203" s="54" t="s">
        <v>853</v>
      </c>
      <c r="H203" s="54" t="s">
        <v>857</v>
      </c>
      <c r="I203" s="54" t="s">
        <v>1137</v>
      </c>
      <c r="J203" s="54" t="s">
        <v>48</v>
      </c>
      <c r="K203" s="54"/>
      <c r="L203" s="54"/>
      <c r="M203" s="54"/>
      <c r="N203" s="54"/>
    </row>
    <row r="204" spans="1:14" ht="70.5">
      <c r="A204" s="54" t="str">
        <f>IFERROR(VLOOKUP(D204,'Master sheet (Clientes)'!A$6:D$747,2,0)," ")</f>
        <v>NJ</v>
      </c>
      <c r="B204" s="54" t="str">
        <f>IFERROR(VLOOKUP(D204,'Master sheet (Clientes)'!A$6:D$747,3,0)," ")</f>
        <v>Vivmark Residential</v>
      </c>
      <c r="C204" s="54" t="str">
        <f>IFERROR(VLOOKUP(D204,'Master sheet (Clientes)'!A$6:D$747,4,0)," ")</f>
        <v>A-V</v>
      </c>
      <c r="D204" s="54" t="s">
        <v>287</v>
      </c>
      <c r="E204" s="54">
        <v>626</v>
      </c>
      <c r="F204" s="54" t="s">
        <v>45</v>
      </c>
      <c r="G204" s="54" t="s">
        <v>853</v>
      </c>
      <c r="H204" s="54" t="s">
        <v>857</v>
      </c>
      <c r="I204" s="54" t="s">
        <v>1137</v>
      </c>
      <c r="J204" s="54" t="s">
        <v>981</v>
      </c>
      <c r="K204" s="54"/>
      <c r="L204" s="54"/>
      <c r="M204" s="54"/>
      <c r="N204" s="54"/>
    </row>
    <row r="205" spans="1:14" ht="47">
      <c r="A205" s="54" t="str">
        <f>IFERROR(VLOOKUP(D205,'Master sheet (Clientes)'!A$6:D$747,2,0)," ")</f>
        <v>NJ</v>
      </c>
      <c r="B205" s="54" t="str">
        <f>IFERROR(VLOOKUP(D205,'Master sheet (Clientes)'!A$6:D$747,3,0)," ")</f>
        <v xml:space="preserve">KRE Group Management </v>
      </c>
      <c r="C205" s="54" t="str">
        <f>IFERROR(VLOOKUP(D205,'Master sheet (Clientes)'!A$6:D$747,4,0)," ")</f>
        <v>A-V</v>
      </c>
      <c r="D205" s="54" t="s">
        <v>384</v>
      </c>
      <c r="E205" s="54" t="s">
        <v>1573</v>
      </c>
      <c r="F205" s="54" t="s">
        <v>45</v>
      </c>
      <c r="G205" s="54" t="s">
        <v>853</v>
      </c>
      <c r="H205" s="54" t="s">
        <v>857</v>
      </c>
      <c r="I205" s="54" t="s">
        <v>1137</v>
      </c>
      <c r="J205" s="54" t="s">
        <v>48</v>
      </c>
      <c r="K205" s="54"/>
      <c r="L205" s="54"/>
      <c r="M205" s="54"/>
      <c r="N205" s="54"/>
    </row>
    <row r="206" spans="1:14" ht="47">
      <c r="A206" s="54" t="str">
        <f>IFERROR(VLOOKUP(D206,'Master sheet (Clientes)'!A$6:D$747,2,0)," ")</f>
        <v>NJ</v>
      </c>
      <c r="B206" s="54" t="str">
        <f>IFERROR(VLOOKUP(D206,'Master sheet (Clientes)'!A$6:D$747,3,0)," ")</f>
        <v>Bozzuto</v>
      </c>
      <c r="C206" s="54" t="str">
        <f>IFERROR(VLOOKUP(D206,'Master sheet (Clientes)'!A$6:D$747,4,0)," ")</f>
        <v>N-O</v>
      </c>
      <c r="D206" s="54" t="s">
        <v>182</v>
      </c>
      <c r="E206" s="54">
        <v>533</v>
      </c>
      <c r="F206" s="54" t="s">
        <v>854</v>
      </c>
      <c r="G206" s="54" t="s">
        <v>853</v>
      </c>
      <c r="H206" s="54" t="s">
        <v>857</v>
      </c>
      <c r="I206" s="54" t="s">
        <v>1137</v>
      </c>
      <c r="J206" s="54" t="s">
        <v>48</v>
      </c>
      <c r="K206" s="54"/>
      <c r="L206" s="54"/>
      <c r="M206" s="54"/>
      <c r="N206" s="54"/>
    </row>
    <row r="207" spans="1:14" ht="47">
      <c r="A207" s="54" t="str">
        <f>IFERROR(VLOOKUP(D207,'Master sheet (Clientes)'!A$6:D$747,2,0)," ")</f>
        <v>NJ</v>
      </c>
      <c r="B207" s="54" t="str">
        <f>IFERROR(VLOOKUP(D207,'Master sheet (Clientes)'!A$6:D$747,3,0)," ")</f>
        <v>Greystar</v>
      </c>
      <c r="C207" s="54" t="str">
        <f>IFERROR(VLOOKUP(D207,'Master sheet (Clientes)'!A$6:D$747,4,0)," ")</f>
        <v>A-V</v>
      </c>
      <c r="D207" s="54" t="s">
        <v>310</v>
      </c>
      <c r="E207" s="54">
        <v>452</v>
      </c>
      <c r="F207" s="54" t="s">
        <v>854</v>
      </c>
      <c r="G207" s="54" t="s">
        <v>853</v>
      </c>
      <c r="H207" s="54" t="s">
        <v>857</v>
      </c>
      <c r="I207" s="54" t="s">
        <v>1137</v>
      </c>
      <c r="J207" s="54" t="s">
        <v>48</v>
      </c>
      <c r="K207" s="54"/>
      <c r="L207" s="54"/>
      <c r="M207" s="54"/>
      <c r="N207" s="54"/>
    </row>
    <row r="208" spans="1:14" ht="47">
      <c r="A208" s="54" t="str">
        <f>IFERROR(VLOOKUP(D208,'Master sheet (Clientes)'!A$6:D$747,2,0)," ")</f>
        <v>NJ</v>
      </c>
      <c r="B208" s="54" t="str">
        <f>IFERROR(VLOOKUP(D208,'Master sheet (Clientes)'!A$6:D$747,3,0)," ")</f>
        <v>Greystar</v>
      </c>
      <c r="C208" s="54" t="str">
        <f>IFERROR(VLOOKUP(D208,'Master sheet (Clientes)'!A$6:D$747,4,0)," ")</f>
        <v>A-V</v>
      </c>
      <c r="D208" s="54" t="s">
        <v>310</v>
      </c>
      <c r="E208" s="54">
        <v>147</v>
      </c>
      <c r="F208" s="54" t="s">
        <v>854</v>
      </c>
      <c r="G208" s="54" t="s">
        <v>853</v>
      </c>
      <c r="H208" s="54" t="s">
        <v>857</v>
      </c>
      <c r="I208" s="54" t="s">
        <v>1137</v>
      </c>
      <c r="J208" s="54" t="s">
        <v>48</v>
      </c>
      <c r="K208" s="54"/>
      <c r="L208" s="54"/>
      <c r="M208" s="54"/>
      <c r="N208" s="54"/>
    </row>
    <row r="209" spans="1:17" ht="70.5">
      <c r="A209" s="54" t="str">
        <f>IFERROR(VLOOKUP(D209,'Master sheet (Clientes)'!A$6:D$747,2,0)," ")</f>
        <v>NJ</v>
      </c>
      <c r="B209" s="54" t="str">
        <f>IFERROR(VLOOKUP(D209,'Master sheet (Clientes)'!A$6:D$747,3,0)," ")</f>
        <v>Vivmark Residential</v>
      </c>
      <c r="C209" s="54" t="str">
        <f>IFERROR(VLOOKUP(D209,'Master sheet (Clientes)'!A$6:D$747,4,0)," ")</f>
        <v>N-O</v>
      </c>
      <c r="D209" s="54" t="s">
        <v>90</v>
      </c>
      <c r="E209" s="54">
        <v>6100</v>
      </c>
      <c r="F209" s="54" t="s">
        <v>946</v>
      </c>
      <c r="G209" s="54" t="s">
        <v>853</v>
      </c>
      <c r="H209" s="54" t="s">
        <v>865</v>
      </c>
      <c r="I209" s="54" t="s">
        <v>1137</v>
      </c>
      <c r="J209" s="54" t="s">
        <v>1425</v>
      </c>
      <c r="K209" s="54"/>
      <c r="L209" s="54"/>
      <c r="M209" s="54"/>
      <c r="N209" s="54"/>
    </row>
    <row r="210" spans="1:17">
      <c r="A210" s="1"/>
      <c r="B210" s="1"/>
      <c r="C210" s="1"/>
      <c r="D210" s="1"/>
      <c r="E210" s="1"/>
      <c r="F210" s="1"/>
      <c r="G210" s="1"/>
      <c r="H210" s="1"/>
      <c r="I210" s="1"/>
      <c r="J210" s="1"/>
      <c r="K210" s="1"/>
      <c r="L210" s="1"/>
      <c r="M210" s="1"/>
      <c r="N210" s="1"/>
    </row>
    <row r="211" spans="1:17" s="1" customFormat="1" ht="47">
      <c r="A211" s="4" t="s">
        <v>8</v>
      </c>
      <c r="B211" s="4" t="s">
        <v>9</v>
      </c>
      <c r="C211" s="4" t="s">
        <v>10</v>
      </c>
      <c r="D211" s="4" t="s">
        <v>11</v>
      </c>
      <c r="E211" s="4" t="s">
        <v>12</v>
      </c>
      <c r="F211" s="4" t="s">
        <v>13</v>
      </c>
      <c r="G211" s="38" t="s">
        <v>14</v>
      </c>
      <c r="H211" s="4" t="s">
        <v>15</v>
      </c>
      <c r="I211" s="38" t="s">
        <v>16</v>
      </c>
      <c r="J211" s="38" t="s">
        <v>17</v>
      </c>
      <c r="K211" s="38" t="s">
        <v>18</v>
      </c>
      <c r="L211" s="38" t="s">
        <v>19</v>
      </c>
      <c r="M211" s="38" t="s">
        <v>20</v>
      </c>
      <c r="N211" s="38" t="s">
        <v>21</v>
      </c>
    </row>
    <row r="212" spans="1:17" ht="70.5">
      <c r="A212" s="54" t="str">
        <f>IFERROR(VLOOKUP(D212,'Master sheet (Clientes)'!A$6:D$747,2,0)," ")</f>
        <v>NJ</v>
      </c>
      <c r="B212" s="54" t="str">
        <f>IFERROR(VLOOKUP(D212,'Master sheet (Clientes)'!A$6:D$747,3,0)," ")</f>
        <v>Vivmark Residential</v>
      </c>
      <c r="C212" s="54" t="str">
        <f>IFERROR(VLOOKUP(D212,'Master sheet (Clientes)'!A$6:D$747,4,0)," ")</f>
        <v>N-O</v>
      </c>
      <c r="D212" s="54" t="s">
        <v>95</v>
      </c>
      <c r="E212" s="54">
        <v>4308</v>
      </c>
      <c r="F212" s="54"/>
      <c r="G212" s="54" t="s">
        <v>917</v>
      </c>
      <c r="H212" s="54" t="s">
        <v>1718</v>
      </c>
      <c r="I212" s="54" t="s">
        <v>883</v>
      </c>
      <c r="J212" s="54" t="s">
        <v>48</v>
      </c>
      <c r="K212" s="54"/>
      <c r="L212" s="54"/>
      <c r="M212" s="54"/>
      <c r="N212" s="54"/>
    </row>
    <row r="213" spans="1:17" ht="70.5">
      <c r="A213" s="54" t="str">
        <f>IFERROR(VLOOKUP(D213,'Master sheet (Clientes)'!A$6:D$747,2,0)," ")</f>
        <v>NJ</v>
      </c>
      <c r="B213" s="54" t="str">
        <f>IFERROR(VLOOKUP(D213,'Master sheet (Clientes)'!A$6:D$747,3,0)," ")</f>
        <v>Vivmark Residential</v>
      </c>
      <c r="C213" s="54" t="str">
        <f>IFERROR(VLOOKUP(D213,'Master sheet (Clientes)'!A$6:D$747,4,0)," ")</f>
        <v>N-O</v>
      </c>
      <c r="D213" s="54" t="s">
        <v>87</v>
      </c>
      <c r="E213" s="54">
        <v>201</v>
      </c>
      <c r="F213" s="54" t="s">
        <v>854</v>
      </c>
      <c r="G213" s="54" t="s">
        <v>853</v>
      </c>
      <c r="H213" s="54" t="s">
        <v>1719</v>
      </c>
      <c r="I213" s="54" t="s">
        <v>883</v>
      </c>
      <c r="J213" s="54" t="s">
        <v>48</v>
      </c>
      <c r="K213" s="54"/>
      <c r="L213" s="54"/>
      <c r="M213" s="54" t="s">
        <v>1632</v>
      </c>
      <c r="N213" s="54"/>
    </row>
    <row r="214" spans="1:17" ht="70.5">
      <c r="A214" s="54" t="str">
        <f>IFERROR(VLOOKUP(D214,'Master sheet (Clientes)'!A$6:D$747,2,0)," ")</f>
        <v>NJ</v>
      </c>
      <c r="B214" s="54" t="str">
        <f>IFERROR(VLOOKUP(D214,'Master sheet (Clientes)'!A$6:D$747,3,0)," ")</f>
        <v>Vivmark Residential</v>
      </c>
      <c r="C214" s="54" t="str">
        <f>IFERROR(VLOOKUP(D214,'Master sheet (Clientes)'!A$6:D$747,4,0)," ")</f>
        <v>N-O</v>
      </c>
      <c r="D214" s="54" t="s">
        <v>87</v>
      </c>
      <c r="E214" s="54">
        <v>347</v>
      </c>
      <c r="F214" s="54" t="s">
        <v>45</v>
      </c>
      <c r="G214" s="54" t="s">
        <v>853</v>
      </c>
      <c r="H214" s="54" t="s">
        <v>1720</v>
      </c>
      <c r="I214" s="54" t="s">
        <v>883</v>
      </c>
      <c r="J214" s="54" t="s">
        <v>48</v>
      </c>
      <c r="K214" s="54"/>
      <c r="L214" s="54"/>
      <c r="M214" s="54" t="s">
        <v>1436</v>
      </c>
      <c r="N214" s="54"/>
    </row>
    <row r="215" spans="1:17" ht="70.5">
      <c r="A215" s="54" t="str">
        <f>IFERROR(VLOOKUP(D215,'Master sheet (Clientes)'!A$6:D$747,2,0)," ")</f>
        <v>NJ</v>
      </c>
      <c r="B215" s="54" t="str">
        <f>IFERROR(VLOOKUP(D215,'Master sheet (Clientes)'!A$6:D$747,3,0)," ")</f>
        <v>Vivmark Residential</v>
      </c>
      <c r="C215" s="54" t="str">
        <f>IFERROR(VLOOKUP(D215,'Master sheet (Clientes)'!A$6:D$747,4,0)," ")</f>
        <v>A-V</v>
      </c>
      <c r="D215" s="54" t="s">
        <v>287</v>
      </c>
      <c r="E215" s="54">
        <v>117</v>
      </c>
      <c r="F215" s="54"/>
      <c r="G215" s="54" t="s">
        <v>853</v>
      </c>
      <c r="H215" s="54" t="s">
        <v>1626</v>
      </c>
      <c r="I215" s="54" t="s">
        <v>883</v>
      </c>
      <c r="J215" s="54" t="s">
        <v>48</v>
      </c>
      <c r="K215" s="54"/>
      <c r="L215" s="54"/>
      <c r="M215" s="54"/>
      <c r="N215" s="54"/>
    </row>
    <row r="216" spans="1:17">
      <c r="A216" s="1"/>
      <c r="B216" s="1"/>
      <c r="C216" s="1"/>
      <c r="D216" s="1"/>
      <c r="E216" s="1"/>
      <c r="F216" s="1"/>
      <c r="G216" s="1"/>
      <c r="H216" s="1"/>
      <c r="I216" s="1"/>
      <c r="J216" s="1"/>
      <c r="K216" s="1"/>
      <c r="L216" s="1"/>
      <c r="M216" s="1"/>
      <c r="N216" s="1"/>
    </row>
    <row r="217" spans="1:17" s="1" customFormat="1" ht="47">
      <c r="A217" s="4" t="s">
        <v>8</v>
      </c>
      <c r="B217" s="4" t="s">
        <v>9</v>
      </c>
      <c r="C217" s="4" t="s">
        <v>10</v>
      </c>
      <c r="D217" s="4" t="s">
        <v>11</v>
      </c>
      <c r="E217" s="4" t="s">
        <v>12</v>
      </c>
      <c r="F217" s="4" t="s">
        <v>13</v>
      </c>
      <c r="G217" s="38" t="s">
        <v>14</v>
      </c>
      <c r="H217" s="4" t="s">
        <v>15</v>
      </c>
      <c r="I217" s="38" t="s">
        <v>16</v>
      </c>
      <c r="J217" s="38" t="s">
        <v>17</v>
      </c>
      <c r="K217" s="38" t="s">
        <v>18</v>
      </c>
      <c r="L217" s="38" t="s">
        <v>19</v>
      </c>
      <c r="M217" s="38" t="s">
        <v>20</v>
      </c>
      <c r="N217" s="38" t="s">
        <v>21</v>
      </c>
    </row>
    <row r="218" spans="1:17" ht="70.5">
      <c r="A218" s="54" t="str">
        <f>IFERROR(VLOOKUP(D218,'Master sheet (Clientes)'!A$6:D$747,2,0)," ")</f>
        <v>NJ</v>
      </c>
      <c r="B218" s="54" t="str">
        <f>IFERROR(VLOOKUP(D218,'Master sheet (Clientes)'!A$6:D$747,3,0)," ")</f>
        <v>Vivmark Residential</v>
      </c>
      <c r="C218" s="54" t="str">
        <f>IFERROR(VLOOKUP(D218,'Master sheet (Clientes)'!A$6:D$747,4,0)," ")</f>
        <v>N-O</v>
      </c>
      <c r="D218" s="54" t="s">
        <v>95</v>
      </c>
      <c r="E218" s="54">
        <v>4308</v>
      </c>
      <c r="F218" s="54"/>
      <c r="G218" s="54" t="s">
        <v>917</v>
      </c>
      <c r="H218" s="54" t="s">
        <v>1721</v>
      </c>
      <c r="I218" s="54" t="s">
        <v>909</v>
      </c>
      <c r="J218" s="54" t="s">
        <v>48</v>
      </c>
      <c r="K218" s="54"/>
      <c r="L218" s="54"/>
      <c r="M218" s="54"/>
      <c r="N218" s="54"/>
    </row>
    <row r="219" spans="1:17">
      <c r="A219" s="1"/>
      <c r="B219" s="1"/>
      <c r="C219" s="1"/>
      <c r="D219" s="1"/>
      <c r="E219" s="1"/>
      <c r="F219" s="1"/>
      <c r="G219" s="1"/>
      <c r="H219" s="1"/>
      <c r="I219" s="1"/>
      <c r="K219" s="1"/>
      <c r="L219" s="1"/>
      <c r="M219" s="1"/>
      <c r="N219" s="1"/>
    </row>
    <row r="220" spans="1:17" s="1" customFormat="1" ht="36">
      <c r="A220" s="45"/>
      <c r="B220" s="45"/>
      <c r="C220" s="45"/>
      <c r="D220" s="131" t="str">
        <f>A1</f>
        <v>BuildCare SCHEDULE THURSDAY, SEPTEMBER 03 / 2026</v>
      </c>
      <c r="E220" s="131"/>
      <c r="F220" s="131"/>
      <c r="G220" s="131"/>
      <c r="H220" s="131"/>
      <c r="I220" s="131"/>
      <c r="J220" s="131"/>
      <c r="K220" s="131"/>
      <c r="L220" s="131"/>
      <c r="M220" s="45"/>
      <c r="N220" s="32"/>
    </row>
    <row r="221" spans="1:17">
      <c r="A221" s="1"/>
      <c r="B221" s="1"/>
      <c r="C221" s="1"/>
      <c r="D221" s="1"/>
      <c r="E221" s="1"/>
      <c r="F221" s="1"/>
      <c r="G221" s="1"/>
      <c r="H221" s="1"/>
      <c r="I221" s="1"/>
      <c r="K221" s="1"/>
      <c r="L221" s="1"/>
      <c r="M221" s="1"/>
      <c r="N221" s="1"/>
    </row>
    <row r="222" spans="1:17" ht="28.5">
      <c r="A222" s="34"/>
      <c r="B222" s="34"/>
      <c r="C222" s="34"/>
      <c r="D222" s="126" t="s">
        <v>32</v>
      </c>
      <c r="E222" s="126"/>
      <c r="F222" s="126"/>
      <c r="G222" s="126"/>
      <c r="H222" s="126"/>
      <c r="I222" s="126"/>
      <c r="J222" s="126"/>
      <c r="K222" s="126"/>
      <c r="L222" s="126"/>
      <c r="M222" s="18"/>
      <c r="N222" s="18"/>
    </row>
    <row r="223" spans="1:17" s="5" customFormat="1">
      <c r="A223" s="3"/>
      <c r="B223" s="3"/>
      <c r="C223" s="3"/>
      <c r="D223" s="3"/>
      <c r="E223" s="3"/>
      <c r="F223" s="3"/>
      <c r="G223" s="3"/>
      <c r="H223" s="3"/>
      <c r="I223" s="3"/>
      <c r="J223" s="3"/>
      <c r="K223" s="1"/>
      <c r="L223" s="1"/>
      <c r="M223" s="1"/>
      <c r="N223" s="1"/>
      <c r="O223" s="35"/>
      <c r="P223" s="35"/>
      <c r="Q223" s="35"/>
    </row>
    <row r="224" spans="1:17" s="5" customFormat="1" ht="26">
      <c r="A224" s="33"/>
      <c r="B224" s="33"/>
      <c r="C224" s="33"/>
      <c r="D224" s="127" t="s">
        <v>33</v>
      </c>
      <c r="E224" s="127"/>
      <c r="F224" s="127"/>
      <c r="G224" s="127"/>
      <c r="H224" s="127"/>
      <c r="I224" s="127"/>
      <c r="J224" s="127"/>
      <c r="K224" s="127"/>
      <c r="L224" s="127"/>
      <c r="M224" s="16"/>
      <c r="N224" s="16"/>
      <c r="O224" s="35"/>
      <c r="P224" s="35"/>
      <c r="Q224" s="35"/>
    </row>
    <row r="225" spans="1:20" s="5" customFormat="1" ht="26">
      <c r="A225" s="43"/>
      <c r="B225" s="43"/>
      <c r="C225" s="43"/>
      <c r="D225" s="128" t="s">
        <v>34</v>
      </c>
      <c r="E225" s="128"/>
      <c r="F225" s="128"/>
      <c r="G225" s="128"/>
      <c r="H225" s="128"/>
      <c r="I225" s="128"/>
      <c r="J225" s="128"/>
      <c r="K225" s="128"/>
      <c r="L225" s="128"/>
      <c r="M225" s="44"/>
      <c r="N225" s="44"/>
      <c r="O225" s="35"/>
      <c r="P225" s="35"/>
      <c r="Q225" s="35"/>
    </row>
    <row r="226" spans="1:20" s="1" customFormat="1"/>
    <row r="227" spans="1:20" s="1" customFormat="1" ht="26">
      <c r="A227" s="17"/>
      <c r="B227" s="17"/>
      <c r="C227" s="17"/>
      <c r="D227" s="125" t="s">
        <v>35</v>
      </c>
      <c r="E227" s="125"/>
      <c r="F227" s="125"/>
      <c r="G227" s="125"/>
      <c r="H227" s="125"/>
      <c r="I227" s="125"/>
      <c r="J227" s="125"/>
      <c r="K227" s="125"/>
      <c r="L227" s="125"/>
      <c r="M227" s="15"/>
      <c r="N227" s="15"/>
    </row>
    <row r="228" spans="1:20" s="1" customFormat="1" ht="26">
      <c r="A228" s="46"/>
      <c r="B228" s="46"/>
      <c r="C228" s="46"/>
      <c r="D228" s="125" t="s">
        <v>36</v>
      </c>
      <c r="E228" s="125"/>
      <c r="F228" s="125"/>
      <c r="G228" s="125"/>
      <c r="H228" s="125"/>
      <c r="I228" s="125"/>
      <c r="J228" s="17"/>
      <c r="K228" s="17"/>
      <c r="L228" s="17"/>
      <c r="M228" s="15"/>
      <c r="N228" s="15"/>
    </row>
    <row r="229" spans="1:20" s="1" customFormat="1" ht="26">
      <c r="A229" s="17"/>
      <c r="B229" s="17"/>
      <c r="C229" s="17"/>
      <c r="D229" s="125" t="s">
        <v>4</v>
      </c>
      <c r="E229" s="125"/>
      <c r="F229" s="125"/>
      <c r="G229" s="125"/>
      <c r="H229" s="125"/>
      <c r="I229" s="125"/>
      <c r="J229" s="17"/>
      <c r="K229" s="17"/>
      <c r="L229" s="17"/>
      <c r="M229" s="15"/>
      <c r="N229" s="15"/>
    </row>
    <row r="230" spans="1:20" s="1" customFormat="1">
      <c r="A230" s="3"/>
      <c r="B230" s="3"/>
      <c r="C230" s="3"/>
      <c r="D230" s="3"/>
      <c r="E230" s="3"/>
      <c r="F230" s="3"/>
      <c r="G230" s="3"/>
      <c r="H230" s="3"/>
      <c r="I230" s="3"/>
      <c r="J230" s="3"/>
    </row>
    <row r="231" spans="1:20" s="1" customFormat="1" ht="47">
      <c r="A231" s="4" t="s">
        <v>8</v>
      </c>
      <c r="B231" s="4" t="s">
        <v>9</v>
      </c>
      <c r="C231" s="4" t="s">
        <v>10</v>
      </c>
      <c r="D231" s="4" t="s">
        <v>11</v>
      </c>
      <c r="E231" s="4" t="s">
        <v>12</v>
      </c>
      <c r="F231" s="4" t="s">
        <v>13</v>
      </c>
      <c r="G231" s="38" t="s">
        <v>14</v>
      </c>
      <c r="H231" s="4" t="s">
        <v>15</v>
      </c>
      <c r="I231" s="38" t="s">
        <v>16</v>
      </c>
      <c r="J231" s="38" t="s">
        <v>17</v>
      </c>
      <c r="K231" s="38" t="s">
        <v>18</v>
      </c>
      <c r="L231" s="38" t="s">
        <v>19</v>
      </c>
      <c r="M231" s="38" t="s">
        <v>20</v>
      </c>
      <c r="N231" s="38" t="s">
        <v>21</v>
      </c>
    </row>
    <row r="232" spans="1:20" s="12" customFormat="1" ht="70.5">
      <c r="A232" s="54" t="str">
        <f>IFERROR(VLOOKUP(D232,'Master sheet (Clientes)'!A$6:D$747,2,0)," ")</f>
        <v>PA</v>
      </c>
      <c r="B232" s="54" t="str">
        <f>IFERROR(VLOOKUP(D232,'Master sheet (Clientes)'!A$6:D$747,3,0)," ")</f>
        <v>Post Brothers</v>
      </c>
      <c r="C232" s="54" t="str">
        <f>IFERROR(VLOOKUP(D232,'Master sheet (Clientes)'!A$6:D$747,4,0)," ")</f>
        <v>A-V</v>
      </c>
      <c r="D232" s="54" t="s">
        <v>623</v>
      </c>
      <c r="E232" s="54"/>
      <c r="F232" s="54"/>
      <c r="G232" s="54"/>
      <c r="H232" s="54" t="s">
        <v>1021</v>
      </c>
      <c r="I232" s="54" t="s">
        <v>1022</v>
      </c>
      <c r="J232" s="54" t="s">
        <v>48</v>
      </c>
      <c r="K232" s="54"/>
      <c r="L232" s="54"/>
      <c r="M232" s="54" t="s">
        <v>1023</v>
      </c>
      <c r="N232" s="54" t="s">
        <v>1266</v>
      </c>
      <c r="O232" s="1"/>
      <c r="P232" s="1"/>
      <c r="Q232" s="1"/>
      <c r="R232" s="11"/>
      <c r="S232" s="11"/>
      <c r="T232" s="11"/>
    </row>
    <row r="233" spans="1:20" s="12" customFormat="1" ht="70.5">
      <c r="A233" s="54" t="str">
        <f>IFERROR(VLOOKUP(D233,'Master sheet (Clientes)'!A$6:D$747,2,0)," ")</f>
        <v>PA</v>
      </c>
      <c r="B233" s="54" t="str">
        <f>IFERROR(VLOOKUP(D233,'Master sheet (Clientes)'!A$6:D$747,3,0)," ")</f>
        <v>Post Brothers</v>
      </c>
      <c r="C233" s="54" t="str">
        <f>IFERROR(VLOOKUP(D233,'Master sheet (Clientes)'!A$6:D$747,4,0)," ")</f>
        <v>A-V</v>
      </c>
      <c r="D233" s="54" t="s">
        <v>622</v>
      </c>
      <c r="E233" s="54"/>
      <c r="F233" s="54"/>
      <c r="G233" s="54"/>
      <c r="H233" s="54" t="s">
        <v>1326</v>
      </c>
      <c r="I233" s="54" t="s">
        <v>1496</v>
      </c>
      <c r="J233" s="54" t="s">
        <v>48</v>
      </c>
      <c r="K233" s="54"/>
      <c r="L233" s="54"/>
      <c r="M233" s="54" t="s">
        <v>1023</v>
      </c>
      <c r="N233" s="54" t="s">
        <v>1266</v>
      </c>
      <c r="O233" s="1"/>
      <c r="P233" s="1"/>
      <c r="Q233" s="1"/>
      <c r="R233" s="11"/>
      <c r="S233" s="11"/>
      <c r="T233" s="11"/>
    </row>
    <row r="234" spans="1:20" s="12" customFormat="1" ht="141">
      <c r="A234" s="54" t="str">
        <f>IFERROR(VLOOKUP(D234,'Master sheet (Clientes)'!A$6:D$747,2,0)," ")</f>
        <v>PA</v>
      </c>
      <c r="B234" s="54" t="str">
        <f>IFERROR(VLOOKUP(D234,'Master sheet (Clientes)'!A$6:D$747,3,0)," ")</f>
        <v>Greystar</v>
      </c>
      <c r="C234" s="54" t="str">
        <f>IFERROR(VLOOKUP(D234,'Master sheet (Clientes)'!A$6:D$747,4,0)," ")</f>
        <v>A-V</v>
      </c>
      <c r="D234" s="54" t="s">
        <v>335</v>
      </c>
      <c r="E234" s="54">
        <v>115</v>
      </c>
      <c r="F234" s="54"/>
      <c r="G234" s="54"/>
      <c r="H234" s="83" t="s">
        <v>1742</v>
      </c>
      <c r="I234" s="54" t="s">
        <v>1497</v>
      </c>
      <c r="J234" s="54" t="s">
        <v>48</v>
      </c>
      <c r="K234" s="54" t="s">
        <v>841</v>
      </c>
      <c r="L234" s="54" t="s">
        <v>1658</v>
      </c>
      <c r="M234" s="54" t="s">
        <v>842</v>
      </c>
      <c r="N234" s="54" t="s">
        <v>1268</v>
      </c>
      <c r="O234" s="1"/>
      <c r="P234" s="1"/>
      <c r="Q234" s="1"/>
      <c r="R234" s="11"/>
      <c r="S234" s="11"/>
      <c r="T234" s="11"/>
    </row>
    <row r="235" spans="1:20" s="12" customFormat="1" ht="70.5">
      <c r="A235" s="54" t="str">
        <f>IFERROR(VLOOKUP(D235,'Master sheet (Clientes)'!A$6:D$747,2,0)," ")</f>
        <v>PA</v>
      </c>
      <c r="B235" s="54" t="str">
        <f>IFERROR(VLOOKUP(D235,'Master sheet (Clientes)'!A$6:D$747,3,0)," ")</f>
        <v>Post Brothers</v>
      </c>
      <c r="C235" s="54" t="str">
        <f>IFERROR(VLOOKUP(D235,'Master sheet (Clientes)'!A$6:D$747,4,0)," ")</f>
        <v>A-V</v>
      </c>
      <c r="D235" s="54" t="s">
        <v>618</v>
      </c>
      <c r="E235" s="54">
        <v>732</v>
      </c>
      <c r="F235" s="54" t="s">
        <v>874</v>
      </c>
      <c r="G235" s="54" t="s">
        <v>853</v>
      </c>
      <c r="H235" s="54" t="s">
        <v>1645</v>
      </c>
      <c r="I235" s="54" t="s">
        <v>1580</v>
      </c>
      <c r="J235" s="54" t="s">
        <v>48</v>
      </c>
      <c r="K235" s="54"/>
      <c r="L235" s="54"/>
      <c r="M235" s="54"/>
      <c r="N235" s="54" t="s">
        <v>1268</v>
      </c>
      <c r="O235" s="1"/>
      <c r="P235" s="1"/>
      <c r="Q235" s="1"/>
      <c r="R235" s="11"/>
      <c r="S235" s="11"/>
      <c r="T235" s="11"/>
    </row>
    <row r="236" spans="1:20" s="12" customFormat="1" ht="70.5">
      <c r="A236" s="54" t="str">
        <f>IFERROR(VLOOKUP(D236,'Master sheet (Clientes)'!A$6:D$747,2,0)," ")</f>
        <v>PA</v>
      </c>
      <c r="B236" s="54" t="str">
        <f>IFERROR(VLOOKUP(D236,'Master sheet (Clientes)'!A$6:D$747,3,0)," ")</f>
        <v>Post Brothers</v>
      </c>
      <c r="C236" s="54" t="str">
        <f>IFERROR(VLOOKUP(D236,'Master sheet (Clientes)'!A$6:D$747,4,0)," ")</f>
        <v>A-V</v>
      </c>
      <c r="D236" s="54" t="s">
        <v>618</v>
      </c>
      <c r="E236" s="54">
        <v>1273</v>
      </c>
      <c r="F236" s="54" t="s">
        <v>45</v>
      </c>
      <c r="G236" s="54" t="s">
        <v>853</v>
      </c>
      <c r="H236" s="54" t="s">
        <v>1645</v>
      </c>
      <c r="I236" s="54" t="s">
        <v>1580</v>
      </c>
      <c r="J236" s="54" t="s">
        <v>48</v>
      </c>
      <c r="K236" s="54"/>
      <c r="L236" s="54"/>
      <c r="M236" s="54"/>
      <c r="N236" s="54" t="s">
        <v>1268</v>
      </c>
      <c r="O236" s="1"/>
      <c r="P236" s="1"/>
      <c r="Q236" s="1"/>
      <c r="R236" s="11"/>
      <c r="S236" s="11"/>
      <c r="T236" s="11"/>
    </row>
    <row r="237" spans="1:20">
      <c r="A237" s="1"/>
      <c r="B237" s="1"/>
      <c r="C237" s="1"/>
      <c r="D237" s="1"/>
      <c r="E237" s="1"/>
      <c r="F237" s="1"/>
      <c r="G237" s="1"/>
      <c r="H237" s="1"/>
      <c r="I237" s="1"/>
      <c r="J237" s="1"/>
      <c r="K237" s="1"/>
      <c r="L237" s="1"/>
      <c r="M237" s="1"/>
      <c r="N237" s="1"/>
    </row>
    <row r="238" spans="1:20" s="1" customFormat="1" ht="47">
      <c r="A238" s="4" t="s">
        <v>8</v>
      </c>
      <c r="B238" s="4" t="s">
        <v>9</v>
      </c>
      <c r="C238" s="4" t="s">
        <v>10</v>
      </c>
      <c r="D238" s="4" t="s">
        <v>11</v>
      </c>
      <c r="E238" s="4" t="s">
        <v>12</v>
      </c>
      <c r="F238" s="4" t="s">
        <v>13</v>
      </c>
      <c r="G238" s="38" t="s">
        <v>14</v>
      </c>
      <c r="H238" s="4" t="s">
        <v>15</v>
      </c>
      <c r="I238" s="38" t="s">
        <v>16</v>
      </c>
      <c r="J238" s="38" t="s">
        <v>17</v>
      </c>
      <c r="K238" s="38" t="s">
        <v>18</v>
      </c>
      <c r="L238" s="38" t="s">
        <v>19</v>
      </c>
      <c r="M238" s="38" t="s">
        <v>20</v>
      </c>
      <c r="N238" s="38" t="s">
        <v>21</v>
      </c>
    </row>
    <row r="239" spans="1:20" s="12" customFormat="1" ht="70.5">
      <c r="A239" s="54" t="str">
        <f>IFERROR(VLOOKUP(D239,'Master sheet (Clientes)'!A$6:D$747,2,0)," ")</f>
        <v>PA</v>
      </c>
      <c r="B239" s="54" t="str">
        <f>IFERROR(VLOOKUP(D239,'Master sheet (Clientes)'!A$6:D$747,3,0)," ")</f>
        <v>Post Brothers</v>
      </c>
      <c r="C239" s="54" t="str">
        <f>IFERROR(VLOOKUP(D239,'Master sheet (Clientes)'!A$6:D$747,4,0)," ")</f>
        <v>A-V</v>
      </c>
      <c r="D239" s="54" t="s">
        <v>619</v>
      </c>
      <c r="E239" s="54"/>
      <c r="F239" s="54"/>
      <c r="G239" s="54"/>
      <c r="H239" s="54" t="s">
        <v>986</v>
      </c>
      <c r="I239" s="54" t="s">
        <v>982</v>
      </c>
      <c r="J239" s="54" t="s">
        <v>48</v>
      </c>
      <c r="K239" s="54"/>
      <c r="L239" s="54"/>
      <c r="M239" s="54" t="s">
        <v>900</v>
      </c>
      <c r="N239" s="88" t="s">
        <v>1266</v>
      </c>
      <c r="O239" s="1"/>
      <c r="P239" s="1"/>
      <c r="Q239" s="1"/>
      <c r="R239" s="11"/>
      <c r="S239" s="11"/>
      <c r="T239" s="11"/>
    </row>
    <row r="240" spans="1:20" s="12" customFormat="1" ht="70.5">
      <c r="A240" s="54" t="str">
        <f>IFERROR(VLOOKUP(D240,'Master sheet (Clientes)'!A$6:D$747,2,0)," ")</f>
        <v>PA</v>
      </c>
      <c r="B240" s="54" t="str">
        <f>IFERROR(VLOOKUP(D240,'Master sheet (Clientes)'!A$6:D$747,3,0)," ")</f>
        <v>Post Brothers</v>
      </c>
      <c r="C240" s="54" t="str">
        <f>IFERROR(VLOOKUP(D240,'Master sheet (Clientes)'!A$6:D$747,4,0)," ")</f>
        <v>A-V</v>
      </c>
      <c r="D240" s="54" t="s">
        <v>622</v>
      </c>
      <c r="E240" s="54"/>
      <c r="F240" s="54"/>
      <c r="G240" s="54"/>
      <c r="H240" s="54" t="s">
        <v>983</v>
      </c>
      <c r="I240" s="54" t="s">
        <v>984</v>
      </c>
      <c r="J240" s="54" t="s">
        <v>48</v>
      </c>
      <c r="K240" s="54"/>
      <c r="L240" s="54"/>
      <c r="M240" s="54" t="s">
        <v>985</v>
      </c>
      <c r="N240" s="88" t="s">
        <v>1266</v>
      </c>
      <c r="O240" s="1"/>
      <c r="P240" s="1"/>
      <c r="Q240" s="1"/>
      <c r="R240" s="11"/>
      <c r="S240" s="11"/>
      <c r="T240" s="11"/>
    </row>
    <row r="241" spans="1:20">
      <c r="A241" s="1"/>
      <c r="B241" s="1"/>
      <c r="C241" s="1"/>
      <c r="D241" s="1"/>
      <c r="E241" s="1"/>
      <c r="F241" s="1"/>
      <c r="G241" s="1"/>
      <c r="H241" s="1"/>
      <c r="I241" s="1"/>
      <c r="J241" s="1"/>
      <c r="K241" s="1"/>
      <c r="L241" s="1"/>
      <c r="M241" s="1"/>
      <c r="N241" s="1"/>
    </row>
    <row r="242" spans="1:20" s="1" customFormat="1" ht="47">
      <c r="A242" s="4" t="s">
        <v>8</v>
      </c>
      <c r="B242" s="4" t="s">
        <v>9</v>
      </c>
      <c r="C242" s="4" t="s">
        <v>10</v>
      </c>
      <c r="D242" s="4" t="s">
        <v>11</v>
      </c>
      <c r="E242" s="4" t="s">
        <v>12</v>
      </c>
      <c r="F242" s="4" t="s">
        <v>13</v>
      </c>
      <c r="G242" s="38" t="s">
        <v>14</v>
      </c>
      <c r="H242" s="4" t="s">
        <v>15</v>
      </c>
      <c r="I242" s="38" t="s">
        <v>16</v>
      </c>
      <c r="J242" s="38" t="s">
        <v>17</v>
      </c>
      <c r="K242" s="38" t="s">
        <v>18</v>
      </c>
      <c r="L242" s="38" t="s">
        <v>19</v>
      </c>
      <c r="M242" s="38" t="s">
        <v>20</v>
      </c>
      <c r="N242" s="38" t="s">
        <v>21</v>
      </c>
    </row>
    <row r="243" spans="1:20" s="12" customFormat="1" ht="117.5">
      <c r="A243" s="54" t="str">
        <f>IFERROR(VLOOKUP(D243,'Master sheet (Clientes)'!A$6:D$747,2,0)," ")</f>
        <v>PA</v>
      </c>
      <c r="B243" s="54" t="str">
        <f>IFERROR(VLOOKUP(D243,'Master sheet (Clientes)'!A$6:D$747,3,0)," ")</f>
        <v xml:space="preserve">KRE Group Management </v>
      </c>
      <c r="C243" s="54" t="str">
        <f>IFERROR(VLOOKUP(D243,'Master sheet (Clientes)'!A$6:D$747,4,0)," ")</f>
        <v>A-V</v>
      </c>
      <c r="D243" s="54" t="s">
        <v>389</v>
      </c>
      <c r="E243" s="54"/>
      <c r="F243" s="54"/>
      <c r="G243" s="54"/>
      <c r="H243" s="54" t="s">
        <v>1024</v>
      </c>
      <c r="I243" s="54" t="s">
        <v>1025</v>
      </c>
      <c r="J243" s="54" t="s">
        <v>48</v>
      </c>
      <c r="K243" s="54"/>
      <c r="L243" s="54"/>
      <c r="M243" s="54" t="s">
        <v>1026</v>
      </c>
      <c r="N243" s="88" t="s">
        <v>1266</v>
      </c>
      <c r="O243" s="1"/>
      <c r="P243" s="1"/>
      <c r="Q243" s="1"/>
      <c r="R243" s="11"/>
      <c r="S243" s="11"/>
      <c r="T243" s="11"/>
    </row>
    <row r="244" spans="1:20" s="12" customFormat="1" ht="117.5">
      <c r="A244" s="54" t="str">
        <f>IFERROR(VLOOKUP(D244,'Master sheet (Clientes)'!A$6:D$747,2,0)," ")</f>
        <v>PA</v>
      </c>
      <c r="B244" s="54" t="str">
        <f>IFERROR(VLOOKUP(D244,'Master sheet (Clientes)'!A$6:D$747,3,0)," ")</f>
        <v xml:space="preserve">KRE Group Management </v>
      </c>
      <c r="C244" s="54" t="str">
        <f>IFERROR(VLOOKUP(D244,'Master sheet (Clientes)'!A$6:D$747,4,0)," ")</f>
        <v>A-V</v>
      </c>
      <c r="D244" s="54" t="s">
        <v>388</v>
      </c>
      <c r="E244" s="54"/>
      <c r="F244" s="54"/>
      <c r="G244" s="54"/>
      <c r="H244" s="54" t="s">
        <v>1027</v>
      </c>
      <c r="I244" s="54" t="s">
        <v>1028</v>
      </c>
      <c r="J244" s="54" t="s">
        <v>48</v>
      </c>
      <c r="K244" s="54"/>
      <c r="L244" s="54"/>
      <c r="M244" s="54" t="s">
        <v>1029</v>
      </c>
      <c r="N244" s="88" t="s">
        <v>1266</v>
      </c>
      <c r="O244" s="1"/>
      <c r="P244" s="1"/>
      <c r="Q244" s="1"/>
      <c r="R244" s="11"/>
      <c r="S244" s="11"/>
      <c r="T244" s="11"/>
    </row>
    <row r="245" spans="1:20" s="1" customFormat="1">
      <c r="A245" s="3"/>
      <c r="B245" s="3"/>
      <c r="C245" s="3"/>
      <c r="D245" s="3"/>
      <c r="E245" s="3"/>
      <c r="F245" s="3"/>
      <c r="G245" s="3"/>
      <c r="H245" s="3"/>
      <c r="I245" s="3"/>
      <c r="J245" s="3"/>
    </row>
    <row r="246" spans="1:20" s="1" customFormat="1" ht="47">
      <c r="A246" s="4" t="s">
        <v>8</v>
      </c>
      <c r="B246" s="4" t="s">
        <v>9</v>
      </c>
      <c r="C246" s="4" t="s">
        <v>10</v>
      </c>
      <c r="D246" s="4" t="s">
        <v>11</v>
      </c>
      <c r="E246" s="4" t="s">
        <v>12</v>
      </c>
      <c r="F246" s="4" t="s">
        <v>13</v>
      </c>
      <c r="G246" s="38" t="s">
        <v>14</v>
      </c>
      <c r="H246" s="4" t="s">
        <v>15</v>
      </c>
      <c r="I246" s="38" t="s">
        <v>16</v>
      </c>
      <c r="J246" s="38" t="s">
        <v>17</v>
      </c>
      <c r="K246" s="38" t="s">
        <v>18</v>
      </c>
      <c r="L246" s="38" t="s">
        <v>19</v>
      </c>
      <c r="M246" s="38" t="s">
        <v>20</v>
      </c>
      <c r="N246" s="38" t="s">
        <v>21</v>
      </c>
    </row>
    <row r="247" spans="1:20" s="12" customFormat="1" ht="70.5">
      <c r="A247" s="54" t="str">
        <f>IFERROR(VLOOKUP(D247,'Master sheet (Clientes)'!A$6:D$747,2,0)," ")</f>
        <v>PA</v>
      </c>
      <c r="B247" s="54" t="str">
        <f>IFERROR(VLOOKUP(D247,'Master sheet (Clientes)'!A$6:D$747,3,0)," ")</f>
        <v>Post Brothers</v>
      </c>
      <c r="C247" s="54" t="str">
        <f>IFERROR(VLOOKUP(D247,'Master sheet (Clientes)'!A$6:D$747,4,0)," ")</f>
        <v>A-V</v>
      </c>
      <c r="D247" s="54" t="s">
        <v>618</v>
      </c>
      <c r="E247" s="54">
        <v>1272</v>
      </c>
      <c r="F247" s="54" t="s">
        <v>45</v>
      </c>
      <c r="G247" s="54" t="s">
        <v>853</v>
      </c>
      <c r="H247" s="54" t="s">
        <v>1645</v>
      </c>
      <c r="I247" s="54" t="s">
        <v>1741</v>
      </c>
      <c r="J247" s="54" t="s">
        <v>48</v>
      </c>
      <c r="K247" s="54"/>
      <c r="L247" s="54"/>
      <c r="M247" s="54"/>
      <c r="N247" s="54"/>
      <c r="O247" s="1"/>
      <c r="P247" s="1"/>
      <c r="Q247" s="1"/>
      <c r="R247" s="11"/>
      <c r="S247" s="11"/>
      <c r="T247" s="11"/>
    </row>
    <row r="248" spans="1:20">
      <c r="A248" s="1"/>
      <c r="B248" s="1"/>
      <c r="C248" s="1"/>
      <c r="D248" s="1"/>
      <c r="E248" s="1"/>
      <c r="F248" s="1"/>
      <c r="G248" s="1"/>
      <c r="H248" s="1"/>
      <c r="I248" s="1"/>
      <c r="J248" s="1"/>
      <c r="K248" s="1"/>
      <c r="L248" s="1"/>
      <c r="M248" s="1"/>
      <c r="N248" s="1"/>
    </row>
    <row r="249" spans="1:20" s="1" customFormat="1" ht="47">
      <c r="A249" s="4" t="s">
        <v>8</v>
      </c>
      <c r="B249" s="4" t="s">
        <v>9</v>
      </c>
      <c r="C249" s="4" t="s">
        <v>10</v>
      </c>
      <c r="D249" s="4" t="s">
        <v>11</v>
      </c>
      <c r="E249" s="4" t="s">
        <v>12</v>
      </c>
      <c r="F249" s="4" t="s">
        <v>13</v>
      </c>
      <c r="G249" s="38" t="s">
        <v>14</v>
      </c>
      <c r="H249" s="4" t="s">
        <v>15</v>
      </c>
      <c r="I249" s="38" t="s">
        <v>16</v>
      </c>
      <c r="J249" s="38" t="s">
        <v>17</v>
      </c>
      <c r="K249" s="38" t="s">
        <v>18</v>
      </c>
      <c r="L249" s="38" t="s">
        <v>19</v>
      </c>
      <c r="M249" s="38" t="s">
        <v>20</v>
      </c>
      <c r="N249" s="38" t="s">
        <v>21</v>
      </c>
    </row>
    <row r="250" spans="1:20" s="12" customFormat="1" ht="70.5">
      <c r="A250" s="54" t="str">
        <f>IFERROR(VLOOKUP(D250,'Master sheet (Clientes)'!A$6:D$747,2,0)," ")</f>
        <v>PA</v>
      </c>
      <c r="B250" s="54" t="str">
        <f>IFERROR(VLOOKUP(D250,'Master sheet (Clientes)'!A$6:D$747,3,0)," ")</f>
        <v>Post Brothers</v>
      </c>
      <c r="C250" s="54" t="str">
        <f>IFERROR(VLOOKUP(D250,'Master sheet (Clientes)'!A$6:D$747,4,0)," ")</f>
        <v>A-V</v>
      </c>
      <c r="D250" s="54" t="s">
        <v>622</v>
      </c>
      <c r="E250" s="54"/>
      <c r="F250" s="54"/>
      <c r="G250" s="54"/>
      <c r="H250" s="54" t="s">
        <v>1326</v>
      </c>
      <c r="I250" s="54" t="s">
        <v>1327</v>
      </c>
      <c r="J250" s="54" t="s">
        <v>48</v>
      </c>
      <c r="K250" s="54"/>
      <c r="L250" s="54"/>
      <c r="M250" s="54" t="s">
        <v>1600</v>
      </c>
      <c r="N250" s="88" t="s">
        <v>1266</v>
      </c>
      <c r="O250" s="1"/>
      <c r="P250" s="1"/>
      <c r="Q250" s="1"/>
      <c r="R250" s="11"/>
      <c r="S250" s="11"/>
      <c r="T250" s="11"/>
    </row>
    <row r="251" spans="1:20" s="12" customFormat="1" ht="70.5">
      <c r="A251" s="54" t="str">
        <f>IFERROR(VLOOKUP(D251,'Master sheet (Clientes)'!A$6:D$747,2,0)," ")</f>
        <v>PA</v>
      </c>
      <c r="B251" s="54" t="str">
        <f>IFERROR(VLOOKUP(D251,'Master sheet (Clientes)'!A$6:D$747,3,0)," ")</f>
        <v>Bozzuto</v>
      </c>
      <c r="C251" s="54" t="str">
        <f>IFERROR(VLOOKUP(D251,'Master sheet (Clientes)'!A$6:D$747,4,0)," ")</f>
        <v>N-O</v>
      </c>
      <c r="D251" s="54" t="s">
        <v>166</v>
      </c>
      <c r="E251" s="54" t="s">
        <v>1726</v>
      </c>
      <c r="F251" s="54"/>
      <c r="G251" s="54" t="s">
        <v>837</v>
      </c>
      <c r="H251" s="54" t="s">
        <v>1728</v>
      </c>
      <c r="I251" s="54" t="s">
        <v>1727</v>
      </c>
      <c r="J251" s="54" t="s">
        <v>48</v>
      </c>
      <c r="K251" s="54"/>
      <c r="L251" s="54"/>
      <c r="M251" s="54"/>
      <c r="N251" s="54"/>
      <c r="O251" s="1"/>
      <c r="P251" s="1"/>
      <c r="Q251" s="1"/>
      <c r="R251" s="11"/>
      <c r="S251" s="11"/>
      <c r="T251" s="11"/>
    </row>
    <row r="252" spans="1:20">
      <c r="A252" s="1"/>
      <c r="B252" s="1"/>
      <c r="C252" s="1"/>
      <c r="D252" s="1"/>
      <c r="E252" s="1"/>
      <c r="F252" s="1"/>
      <c r="G252" s="1"/>
      <c r="H252" s="1"/>
      <c r="I252" s="1"/>
      <c r="J252" s="1"/>
      <c r="K252" s="1"/>
      <c r="L252" s="1"/>
      <c r="M252" s="1"/>
      <c r="N252" s="1"/>
    </row>
    <row r="253" spans="1:20" s="1" customFormat="1" ht="47">
      <c r="A253" s="4" t="s">
        <v>8</v>
      </c>
      <c r="B253" s="4" t="s">
        <v>9</v>
      </c>
      <c r="C253" s="4" t="s">
        <v>10</v>
      </c>
      <c r="D253" s="4" t="s">
        <v>11</v>
      </c>
      <c r="E253" s="4" t="s">
        <v>12</v>
      </c>
      <c r="F253" s="4" t="s">
        <v>13</v>
      </c>
      <c r="G253" s="38" t="s">
        <v>14</v>
      </c>
      <c r="H253" s="4" t="s">
        <v>15</v>
      </c>
      <c r="I253" s="38" t="s">
        <v>16</v>
      </c>
      <c r="J253" s="38" t="s">
        <v>17</v>
      </c>
      <c r="K253" s="38" t="s">
        <v>18</v>
      </c>
      <c r="L253" s="38" t="s">
        <v>19</v>
      </c>
      <c r="M253" s="38" t="s">
        <v>20</v>
      </c>
      <c r="N253" s="38" t="s">
        <v>21</v>
      </c>
    </row>
    <row r="254" spans="1:20" s="12" customFormat="1" ht="70.5">
      <c r="A254" s="54" t="str">
        <f>IFERROR(VLOOKUP(D254,'Master sheet (Clientes)'!A$6:D$747,2,0)," ")</f>
        <v>PA</v>
      </c>
      <c r="B254" s="54" t="str">
        <f>IFERROR(VLOOKUP(D254,'Master sheet (Clientes)'!A$6:D$747,3,0)," ")</f>
        <v>Post Brothers</v>
      </c>
      <c r="C254" s="54" t="str">
        <f>IFERROR(VLOOKUP(D254,'Master sheet (Clientes)'!A$6:D$747,4,0)," ")</f>
        <v>A-V</v>
      </c>
      <c r="D254" s="54" t="s">
        <v>618</v>
      </c>
      <c r="E254" s="54">
        <v>812</v>
      </c>
      <c r="F254" s="54" t="s">
        <v>45</v>
      </c>
      <c r="G254" s="54" t="s">
        <v>853</v>
      </c>
      <c r="H254" s="54" t="s">
        <v>1646</v>
      </c>
      <c r="I254" s="54" t="s">
        <v>960</v>
      </c>
      <c r="J254" s="54" t="s">
        <v>48</v>
      </c>
      <c r="K254" s="54"/>
      <c r="L254" s="54"/>
      <c r="M254" s="54"/>
      <c r="N254" s="54" t="s">
        <v>1268</v>
      </c>
      <c r="O254" s="1"/>
      <c r="P254" s="1"/>
      <c r="Q254" s="1"/>
      <c r="R254" s="11"/>
      <c r="S254" s="11"/>
      <c r="T254" s="11"/>
    </row>
    <row r="255" spans="1:20" s="12" customFormat="1" ht="70.5">
      <c r="A255" s="54" t="str">
        <f>IFERROR(VLOOKUP(D255,'Master sheet (Clientes)'!A$6:D$747,2,0)," ")</f>
        <v>PA</v>
      </c>
      <c r="B255" s="54" t="str">
        <f>IFERROR(VLOOKUP(D255,'Master sheet (Clientes)'!A$6:D$747,3,0)," ")</f>
        <v>Post Brothers</v>
      </c>
      <c r="C255" s="54" t="str">
        <f>IFERROR(VLOOKUP(D255,'Master sheet (Clientes)'!A$6:D$747,4,0)," ")</f>
        <v>A-V</v>
      </c>
      <c r="D255" s="54" t="s">
        <v>618</v>
      </c>
      <c r="E255" s="54">
        <v>710</v>
      </c>
      <c r="F255" s="54" t="s">
        <v>45</v>
      </c>
      <c r="G255" s="54" t="s">
        <v>853</v>
      </c>
      <c r="H255" s="54" t="s">
        <v>1647</v>
      </c>
      <c r="I255" s="54" t="s">
        <v>960</v>
      </c>
      <c r="J255" s="54" t="s">
        <v>48</v>
      </c>
      <c r="K255" s="54"/>
      <c r="L255" s="54"/>
      <c r="M255" s="54"/>
      <c r="N255" s="54" t="s">
        <v>1268</v>
      </c>
      <c r="O255" s="1"/>
      <c r="P255" s="1"/>
      <c r="Q255" s="1"/>
      <c r="R255" s="11"/>
      <c r="S255" s="11"/>
      <c r="T255" s="11"/>
    </row>
    <row r="256" spans="1:20">
      <c r="A256" s="1"/>
      <c r="B256" s="1"/>
      <c r="C256" s="1"/>
      <c r="D256" s="1"/>
      <c r="E256" s="1"/>
      <c r="F256" s="1"/>
      <c r="G256" s="1"/>
      <c r="H256" s="1"/>
      <c r="I256" s="1"/>
      <c r="K256" s="1"/>
      <c r="L256" s="1"/>
      <c r="M256" s="1"/>
      <c r="N256" s="1"/>
    </row>
    <row r="257" spans="1:17" s="5" customFormat="1">
      <c r="A257" s="135"/>
      <c r="B257" s="135"/>
      <c r="C257" s="135"/>
      <c r="D257" s="30" t="s">
        <v>37</v>
      </c>
      <c r="E257" s="30"/>
      <c r="F257" s="30"/>
      <c r="G257" s="30"/>
      <c r="H257" s="2"/>
      <c r="I257" s="3"/>
      <c r="J257" s="3"/>
      <c r="K257" s="2"/>
      <c r="L257" s="2"/>
      <c r="M257" s="3"/>
      <c r="N257" s="7"/>
      <c r="O257" s="35"/>
      <c r="P257" s="35"/>
      <c r="Q257" s="35"/>
    </row>
    <row r="258" spans="1:17" s="5" customFormat="1">
      <c r="A258" s="136"/>
      <c r="B258" s="136"/>
      <c r="C258" s="136"/>
      <c r="D258" s="137" t="s">
        <v>38</v>
      </c>
      <c r="E258" s="137"/>
      <c r="F258" s="137"/>
      <c r="G258" s="2"/>
      <c r="H258" s="2"/>
      <c r="I258" s="3"/>
      <c r="J258" s="3"/>
      <c r="K258" s="2"/>
      <c r="L258" s="2"/>
      <c r="M258" s="3"/>
      <c r="N258" s="7"/>
      <c r="O258" s="35"/>
      <c r="P258" s="35"/>
      <c r="Q258" s="35"/>
    </row>
    <row r="259" spans="1:17" s="5" customFormat="1">
      <c r="A259" s="138"/>
      <c r="B259" s="138"/>
      <c r="C259" s="138"/>
      <c r="D259" s="139" t="s">
        <v>39</v>
      </c>
      <c r="E259" s="139"/>
      <c r="F259" s="139"/>
      <c r="G259" s="2"/>
      <c r="H259" s="2"/>
      <c r="I259" s="3"/>
      <c r="J259" s="3"/>
      <c r="K259" s="2"/>
      <c r="L259" s="2"/>
      <c r="M259" s="3"/>
      <c r="N259" s="7"/>
      <c r="O259" s="35"/>
      <c r="P259" s="35"/>
      <c r="Q259" s="35"/>
    </row>
    <row r="260" spans="1:17" s="5" customFormat="1">
      <c r="A260" s="132"/>
      <c r="B260" s="132"/>
      <c r="C260" s="132"/>
      <c r="D260" s="133" t="s">
        <v>40</v>
      </c>
      <c r="E260" s="133"/>
      <c r="F260" s="133"/>
      <c r="G260" s="2"/>
      <c r="H260" s="2"/>
      <c r="I260" s="3"/>
      <c r="J260" s="3"/>
      <c r="K260" s="2"/>
      <c r="L260" s="2"/>
      <c r="M260" s="3"/>
      <c r="N260" s="7"/>
      <c r="O260" s="35"/>
      <c r="P260" s="35"/>
      <c r="Q260" s="35"/>
    </row>
    <row r="261" spans="1:17" s="5" customFormat="1">
      <c r="A261" s="134"/>
      <c r="B261" s="134"/>
      <c r="C261" s="134"/>
      <c r="D261" s="28" t="s">
        <v>41</v>
      </c>
      <c r="E261" s="29"/>
      <c r="F261" s="29"/>
      <c r="G261" s="30"/>
      <c r="H261" s="2"/>
      <c r="I261" s="3"/>
      <c r="J261" s="3"/>
      <c r="K261" s="2"/>
      <c r="L261" s="2"/>
      <c r="M261" s="3"/>
      <c r="N261" s="7"/>
      <c r="O261" s="35"/>
      <c r="P261" s="35"/>
      <c r="Q261" s="35"/>
    </row>
    <row r="262" spans="1:17">
      <c r="C262" s="30"/>
      <c r="D262" s="30"/>
      <c r="E262" s="30"/>
      <c r="F262" s="30"/>
      <c r="G262" s="30"/>
      <c r="H262" s="30"/>
    </row>
    <row r="263" spans="1:17">
      <c r="C263" s="28"/>
      <c r="E263" s="28"/>
      <c r="F263" s="29"/>
      <c r="G263" s="29"/>
      <c r="H263" s="30"/>
    </row>
  </sheetData>
  <mergeCells count="32">
    <mergeCell ref="A260:C260"/>
    <mergeCell ref="D260:F260"/>
    <mergeCell ref="A261:C261"/>
    <mergeCell ref="A257:C257"/>
    <mergeCell ref="A258:C258"/>
    <mergeCell ref="D258:F258"/>
    <mergeCell ref="A259:C259"/>
    <mergeCell ref="D259:F259"/>
    <mergeCell ref="D147:L147"/>
    <mergeCell ref="D148:L148"/>
    <mergeCell ref="D182:L182"/>
    <mergeCell ref="D183:L183"/>
    <mergeCell ref="D220:L220"/>
    <mergeCell ref="D49:L49"/>
    <mergeCell ref="D101:L101"/>
    <mergeCell ref="D102:L102"/>
    <mergeCell ref="A1:M1"/>
    <mergeCell ref="A3:L3"/>
    <mergeCell ref="A4:L4"/>
    <mergeCell ref="A5:L5"/>
    <mergeCell ref="A6:L6"/>
    <mergeCell ref="D48:L48"/>
    <mergeCell ref="A8:L8"/>
    <mergeCell ref="D9:L9"/>
    <mergeCell ref="D11:L11"/>
    <mergeCell ref="D12:L12"/>
    <mergeCell ref="D229:I229"/>
    <mergeCell ref="D222:L222"/>
    <mergeCell ref="D224:L224"/>
    <mergeCell ref="D225:L225"/>
    <mergeCell ref="D227:L227"/>
    <mergeCell ref="D228:I228"/>
  </mergeCells>
  <phoneticPr fontId="12" type="noConversion"/>
  <pageMargins left="0.25" right="0.25" top="0.75" bottom="0.75" header="0.3" footer="0.3"/>
  <pageSetup scale="26" fitToHeight="0" orientation="landscape" r:id="rId1"/>
  <rowBreaks count="11" manualBreakCount="11">
    <brk id="35" max="16383" man="1"/>
    <brk id="46" max="16383" man="1"/>
    <brk id="78" max="16383" man="1"/>
    <brk id="99" max="16383" man="1"/>
    <brk id="124" max="16383" man="1"/>
    <brk id="145" max="16383" man="1"/>
    <brk id="168" max="16383" man="1"/>
    <brk id="180" max="16383" man="1"/>
    <brk id="209" max="16383" man="1"/>
    <brk id="218" max="16383" man="1"/>
    <brk id="251"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42A021BC-D059-4142-8004-28758E8C2B79}">
          <x14:formula1>
            <xm:f>'Master sheet (Clientes)'!$A$6:$A$654</xm:f>
          </x14:formula1>
          <xm:sqref>D202:D218 D88:D93 D74:D78 D40 D57:D62 D65 D254:D255 D145 D43 D138:D142 D188:D192 D168 D68 D250:D251 D31 D176:D177 D172:D173 D233:D236 D244 D180 D195:D196 D127:D130 D161 D71 D85 D53:D54 D247 D116:D119 D114 D105 D112 D107:D110 D15:D28 D96 D46 D151:D158 D81:D82 D133:D135 D34:D35 D122:D124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F0059-0C78-804E-9DEF-F769B87DA3B7}">
  <sheetPr>
    <pageSetUpPr fitToPage="1"/>
  </sheetPr>
  <dimension ref="A1:T283"/>
  <sheetViews>
    <sheetView topLeftCell="A22" zoomScale="59" zoomScaleNormal="60" workbookViewId="0">
      <selection activeCell="A23" sqref="A23:XFD24"/>
    </sheetView>
  </sheetViews>
  <sheetFormatPr baseColWidth="10" defaultColWidth="10.83203125" defaultRowHeight="23.5"/>
  <cols>
    <col min="1" max="1" width="8" style="2" customWidth="1"/>
    <col min="2" max="2" width="27.33203125" style="2" customWidth="1"/>
    <col min="3" max="3" width="9.5" style="2" customWidth="1"/>
    <col min="4" max="4" width="43.83203125" style="2" customWidth="1"/>
    <col min="5" max="7" width="18.83203125" style="2" customWidth="1"/>
    <col min="8" max="8" width="153.33203125" style="2" customWidth="1"/>
    <col min="9" max="9" width="40.83203125" style="2" customWidth="1"/>
    <col min="10" max="10" width="24.5" style="3" bestFit="1" customWidth="1"/>
    <col min="11" max="12" width="23.1640625" style="3" customWidth="1"/>
    <col min="13" max="13" width="40.83203125" style="2" customWidth="1"/>
    <col min="14" max="14" width="22.83203125" style="3" customWidth="1"/>
    <col min="15" max="17" width="27.1640625" style="1" customWidth="1"/>
    <col min="18" max="16384" width="10.83203125" style="2"/>
  </cols>
  <sheetData>
    <row r="1" spans="1:20" s="1" customFormat="1" ht="36">
      <c r="A1" s="129" t="s">
        <v>50</v>
      </c>
      <c r="B1" s="129"/>
      <c r="C1" s="129"/>
      <c r="D1" s="129"/>
      <c r="E1" s="129"/>
      <c r="F1" s="129"/>
      <c r="G1" s="129"/>
      <c r="H1" s="129"/>
      <c r="I1" s="129"/>
      <c r="J1" s="129"/>
      <c r="K1" s="129"/>
      <c r="L1" s="129"/>
      <c r="M1" s="129"/>
      <c r="N1" s="32"/>
    </row>
    <row r="2" spans="1:20" s="1" customFormat="1"/>
    <row r="3" spans="1:20" s="1" customFormat="1" ht="26">
      <c r="A3" s="125" t="s">
        <v>1</v>
      </c>
      <c r="B3" s="125"/>
      <c r="C3" s="125"/>
      <c r="D3" s="125"/>
      <c r="E3" s="125"/>
      <c r="F3" s="125"/>
      <c r="G3" s="125"/>
      <c r="H3" s="125"/>
      <c r="I3" s="125"/>
      <c r="J3" s="125"/>
      <c r="K3" s="125"/>
      <c r="L3" s="125"/>
      <c r="M3" s="15"/>
      <c r="N3" s="15"/>
    </row>
    <row r="4" spans="1:20" s="1" customFormat="1" ht="26" customHeight="1">
      <c r="A4" s="130" t="s">
        <v>2</v>
      </c>
      <c r="B4" s="130"/>
      <c r="C4" s="130"/>
      <c r="D4" s="125"/>
      <c r="E4" s="125"/>
      <c r="F4" s="125"/>
      <c r="G4" s="125"/>
      <c r="H4" s="125"/>
      <c r="I4" s="125"/>
      <c r="J4" s="125"/>
      <c r="K4" s="125"/>
      <c r="L4" s="125"/>
      <c r="M4" s="15"/>
      <c r="N4" s="15"/>
    </row>
    <row r="5" spans="1:20" s="1" customFormat="1" ht="26" customHeight="1">
      <c r="A5" s="130" t="s">
        <v>3</v>
      </c>
      <c r="B5" s="130"/>
      <c r="C5" s="130"/>
      <c r="D5" s="125"/>
      <c r="E5" s="125"/>
      <c r="F5" s="125"/>
      <c r="G5" s="125"/>
      <c r="H5" s="125"/>
      <c r="I5" s="125"/>
      <c r="J5" s="125"/>
      <c r="K5" s="125"/>
      <c r="L5" s="125"/>
      <c r="M5" s="15"/>
      <c r="N5" s="15"/>
    </row>
    <row r="6" spans="1:20" s="1" customFormat="1" ht="26">
      <c r="A6" s="125" t="s">
        <v>1429</v>
      </c>
      <c r="B6" s="125"/>
      <c r="C6" s="125"/>
      <c r="D6" s="125"/>
      <c r="E6" s="125"/>
      <c r="F6" s="125"/>
      <c r="G6" s="125"/>
      <c r="H6" s="125"/>
      <c r="I6" s="125"/>
      <c r="J6" s="125"/>
      <c r="K6" s="125"/>
      <c r="L6" s="125"/>
      <c r="M6" s="15"/>
      <c r="N6" s="15"/>
    </row>
    <row r="7" spans="1:20" s="1" customFormat="1" ht="26">
      <c r="A7" s="125" t="s">
        <v>1671</v>
      </c>
      <c r="B7" s="125"/>
      <c r="C7" s="125"/>
      <c r="D7" s="125"/>
      <c r="E7" s="125"/>
      <c r="F7" s="125"/>
      <c r="G7" s="125"/>
      <c r="H7" s="125"/>
      <c r="I7" s="125"/>
      <c r="J7" s="125"/>
      <c r="K7" s="125"/>
      <c r="L7" s="125"/>
      <c r="M7" s="15"/>
      <c r="N7" s="15"/>
    </row>
    <row r="8" spans="1:20" s="1" customFormat="1" ht="26">
      <c r="A8" s="19"/>
      <c r="B8" s="19"/>
      <c r="C8" s="17"/>
      <c r="D8" s="17"/>
      <c r="E8" s="17"/>
      <c r="F8" s="17"/>
      <c r="G8" s="17"/>
      <c r="H8" s="17"/>
      <c r="I8" s="17"/>
      <c r="J8" s="17"/>
      <c r="K8" s="17"/>
      <c r="L8" s="17"/>
      <c r="M8" s="15"/>
      <c r="N8" s="15"/>
    </row>
    <row r="9" spans="1:20" s="1" customFormat="1" ht="26">
      <c r="A9" s="125"/>
      <c r="B9" s="125"/>
      <c r="C9" s="125"/>
      <c r="D9" s="125"/>
      <c r="E9" s="125"/>
      <c r="F9" s="125"/>
      <c r="G9" s="125"/>
      <c r="H9" s="125"/>
      <c r="I9" s="125"/>
      <c r="J9" s="125"/>
      <c r="K9" s="125"/>
      <c r="L9" s="125"/>
      <c r="M9" s="15"/>
      <c r="N9" s="15"/>
    </row>
    <row r="10" spans="1:20" ht="28.5">
      <c r="A10" s="34"/>
      <c r="B10" s="34"/>
      <c r="C10" s="34"/>
      <c r="D10" s="126" t="s">
        <v>5</v>
      </c>
      <c r="E10" s="126"/>
      <c r="F10" s="126"/>
      <c r="G10" s="126"/>
      <c r="H10" s="126"/>
      <c r="I10" s="126"/>
      <c r="J10" s="126"/>
      <c r="K10" s="126"/>
      <c r="L10" s="126"/>
      <c r="M10" s="18"/>
      <c r="N10" s="18"/>
    </row>
    <row r="11" spans="1:20" s="5" customFormat="1">
      <c r="A11" s="3"/>
      <c r="B11" s="3"/>
      <c r="C11" s="3"/>
      <c r="D11" s="3"/>
      <c r="E11" s="3"/>
      <c r="F11" s="3"/>
      <c r="G11" s="3"/>
      <c r="H11" s="3"/>
      <c r="I11" s="3"/>
      <c r="J11" s="3"/>
      <c r="K11" s="1"/>
      <c r="L11" s="1"/>
      <c r="M11" s="1"/>
      <c r="N11" s="1"/>
      <c r="O11" s="35"/>
      <c r="P11" s="35"/>
      <c r="Q11" s="35"/>
    </row>
    <row r="12" spans="1:20" s="5" customFormat="1" ht="26">
      <c r="A12" s="33"/>
      <c r="B12" s="33"/>
      <c r="C12" s="33"/>
      <c r="D12" s="127" t="s">
        <v>6</v>
      </c>
      <c r="E12" s="127"/>
      <c r="F12" s="127"/>
      <c r="G12" s="127"/>
      <c r="H12" s="127"/>
      <c r="I12" s="127"/>
      <c r="J12" s="127"/>
      <c r="K12" s="127"/>
      <c r="L12" s="127"/>
      <c r="M12" s="16"/>
      <c r="N12" s="16"/>
      <c r="O12" s="35"/>
      <c r="P12" s="35"/>
      <c r="Q12" s="35"/>
    </row>
    <row r="13" spans="1:20" s="5" customFormat="1" ht="26">
      <c r="A13" s="43"/>
      <c r="B13" s="43"/>
      <c r="C13" s="43"/>
      <c r="D13" s="128" t="s">
        <v>7</v>
      </c>
      <c r="E13" s="128"/>
      <c r="F13" s="128"/>
      <c r="G13" s="128"/>
      <c r="H13" s="128"/>
      <c r="I13" s="128"/>
      <c r="J13" s="128"/>
      <c r="K13" s="128"/>
      <c r="L13" s="128"/>
      <c r="M13" s="44"/>
      <c r="N13" s="44"/>
      <c r="O13" s="35"/>
      <c r="P13" s="35"/>
      <c r="Q13" s="35"/>
    </row>
    <row r="14" spans="1:20" s="1" customFormat="1">
      <c r="A14" s="3"/>
      <c r="B14" s="3"/>
      <c r="C14" s="3"/>
      <c r="D14" s="3"/>
      <c r="E14" s="3"/>
      <c r="F14" s="3"/>
      <c r="G14" s="3"/>
      <c r="H14" s="3"/>
      <c r="I14" s="3"/>
      <c r="J14" s="3"/>
    </row>
    <row r="15" spans="1:20" s="1" customFormat="1" ht="47">
      <c r="A15" s="4" t="s">
        <v>8</v>
      </c>
      <c r="B15" s="4" t="s">
        <v>9</v>
      </c>
      <c r="C15" s="4" t="s">
        <v>10</v>
      </c>
      <c r="D15" s="4" t="s">
        <v>11</v>
      </c>
      <c r="E15" s="4" t="s">
        <v>12</v>
      </c>
      <c r="F15" s="4" t="s">
        <v>13</v>
      </c>
      <c r="G15" s="38" t="s">
        <v>14</v>
      </c>
      <c r="H15" s="4" t="s">
        <v>15</v>
      </c>
      <c r="I15" s="38" t="s">
        <v>16</v>
      </c>
      <c r="J15" s="38" t="s">
        <v>17</v>
      </c>
      <c r="K15" s="38" t="s">
        <v>18</v>
      </c>
      <c r="L15" s="38" t="s">
        <v>19</v>
      </c>
      <c r="M15" s="38" t="s">
        <v>20</v>
      </c>
      <c r="N15" s="38" t="s">
        <v>21</v>
      </c>
    </row>
    <row r="16" spans="1:20" s="52" customFormat="1" ht="164.5">
      <c r="A16" s="6" t="str">
        <f>IFERROR(VLOOKUP(D16,'Master sheet (Clientes)'!A$6:D$747,2,0)," ")</f>
        <v>NJ</v>
      </c>
      <c r="B16" s="6" t="str">
        <f>IFERROR(VLOOKUP(D16,'Master sheet (Clientes)'!A$6:D$747,3,0)," ")</f>
        <v>Vivmark Residential</v>
      </c>
      <c r="C16" s="6" t="str">
        <f>IFERROR(VLOOKUP(D16,'Master sheet (Clientes)'!A$6:D$747,4,0)," ")</f>
        <v>N-O</v>
      </c>
      <c r="D16" s="6" t="s">
        <v>72</v>
      </c>
      <c r="E16" s="6">
        <v>426</v>
      </c>
      <c r="F16" s="6"/>
      <c r="G16" s="6" t="s">
        <v>837</v>
      </c>
      <c r="H16" s="6" t="s">
        <v>1842</v>
      </c>
      <c r="I16" s="6" t="s">
        <v>1409</v>
      </c>
      <c r="J16" s="6" t="s">
        <v>48</v>
      </c>
      <c r="K16" s="6"/>
      <c r="L16" s="6"/>
      <c r="M16" s="6"/>
      <c r="N16" s="6"/>
      <c r="O16" s="13"/>
      <c r="P16" s="13"/>
      <c r="Q16" s="13"/>
      <c r="R16" s="51"/>
      <c r="S16" s="51"/>
      <c r="T16" s="51"/>
    </row>
    <row r="17" spans="1:20" s="52" customFormat="1" ht="70.5">
      <c r="A17" s="6" t="str">
        <f>IFERROR(VLOOKUP(D17,'Master sheet (Clientes)'!A$6:D$747,2,0)," ")</f>
        <v>NJ</v>
      </c>
      <c r="B17" s="6" t="str">
        <f>IFERROR(VLOOKUP(D17,'Master sheet (Clientes)'!A$6:D$747,3,0)," ")</f>
        <v>Vivmark Residential</v>
      </c>
      <c r="C17" s="6" t="str">
        <f>IFERROR(VLOOKUP(D17,'Master sheet (Clientes)'!A$6:D$747,4,0)," ")</f>
        <v>N-O</v>
      </c>
      <c r="D17" s="6" t="s">
        <v>78</v>
      </c>
      <c r="E17" s="6">
        <v>151</v>
      </c>
      <c r="F17" s="6"/>
      <c r="G17" s="6" t="s">
        <v>837</v>
      </c>
      <c r="H17" s="6" t="s">
        <v>1896</v>
      </c>
      <c r="I17" s="6" t="s">
        <v>1760</v>
      </c>
      <c r="J17" s="6" t="s">
        <v>48</v>
      </c>
      <c r="K17" s="6"/>
      <c r="L17" s="6"/>
      <c r="M17" s="6"/>
      <c r="N17" s="6"/>
      <c r="O17" s="13"/>
      <c r="P17" s="13"/>
      <c r="Q17" s="13"/>
      <c r="R17" s="51"/>
      <c r="S17" s="51"/>
      <c r="T17" s="51"/>
    </row>
    <row r="18" spans="1:20" s="12" customFormat="1" ht="70.5">
      <c r="A18" s="6" t="str">
        <f>IFERROR(VLOOKUP(D18,'Master sheet (Clientes)'!A$6:D$747,2,0)," ")</f>
        <v>NJ</v>
      </c>
      <c r="B18" s="6" t="str">
        <f>IFERROR(VLOOKUP(D18,'Master sheet (Clientes)'!A$6:D$747,3,0)," ")</f>
        <v>Skylight</v>
      </c>
      <c r="C18" s="6" t="str">
        <f>IFERROR(VLOOKUP(D18,'Master sheet (Clientes)'!A$6:D$747,4,0)," ")</f>
        <v>N-O</v>
      </c>
      <c r="D18" s="6" t="s">
        <v>730</v>
      </c>
      <c r="E18" s="6" t="s">
        <v>1659</v>
      </c>
      <c r="F18" s="6"/>
      <c r="G18" s="6" t="s">
        <v>917</v>
      </c>
      <c r="H18" s="6" t="s">
        <v>1668</v>
      </c>
      <c r="I18" s="10" t="s">
        <v>1788</v>
      </c>
      <c r="J18" s="10" t="s">
        <v>48</v>
      </c>
      <c r="K18" s="6"/>
      <c r="L18" s="6"/>
      <c r="M18" s="6"/>
      <c r="N18" s="6"/>
      <c r="O18" s="1"/>
      <c r="P18" s="1"/>
      <c r="Q18" s="1"/>
      <c r="R18" s="11"/>
      <c r="S18" s="11"/>
      <c r="T18" s="11"/>
    </row>
    <row r="19" spans="1:20" s="52" customFormat="1" ht="70.5">
      <c r="A19" s="6" t="str">
        <f>IFERROR(VLOOKUP(D19,'Master sheet (Clientes)'!A$6:D$747,2,0)," ")</f>
        <v>NJ</v>
      </c>
      <c r="B19" s="6" t="str">
        <f>IFERROR(VLOOKUP(D19,'Master sheet (Clientes)'!A$6:D$747,3,0)," ")</f>
        <v>Vivmark Residential</v>
      </c>
      <c r="C19" s="6" t="str">
        <f>IFERROR(VLOOKUP(D19,'Master sheet (Clientes)'!A$6:D$747,4,0)," ")</f>
        <v>N-O</v>
      </c>
      <c r="D19" s="6" t="s">
        <v>86</v>
      </c>
      <c r="E19" s="6">
        <v>420</v>
      </c>
      <c r="F19" s="6"/>
      <c r="G19" s="6" t="s">
        <v>837</v>
      </c>
      <c r="H19" s="6" t="s">
        <v>1898</v>
      </c>
      <c r="I19" s="6" t="s">
        <v>1145</v>
      </c>
      <c r="J19" s="10" t="s">
        <v>48</v>
      </c>
      <c r="K19" s="6"/>
      <c r="L19" s="6"/>
      <c r="M19" s="6"/>
      <c r="N19" s="6"/>
      <c r="O19" s="13"/>
      <c r="P19" s="13"/>
      <c r="Q19" s="13"/>
      <c r="R19" s="51"/>
      <c r="S19" s="51"/>
      <c r="T19" s="51"/>
    </row>
    <row r="20" spans="1:20" s="1" customFormat="1">
      <c r="A20" s="3"/>
      <c r="B20" s="3"/>
      <c r="C20" s="3"/>
      <c r="D20" s="3"/>
      <c r="E20" s="3"/>
      <c r="F20" s="3"/>
      <c r="G20" s="3"/>
      <c r="H20" s="3"/>
      <c r="I20" s="3"/>
      <c r="J20" s="3"/>
    </row>
    <row r="21" spans="1:20" s="1" customFormat="1" ht="47">
      <c r="A21" s="4" t="s">
        <v>8</v>
      </c>
      <c r="B21" s="4" t="s">
        <v>9</v>
      </c>
      <c r="C21" s="4" t="s">
        <v>10</v>
      </c>
      <c r="D21" s="4" t="s">
        <v>11</v>
      </c>
      <c r="E21" s="4" t="s">
        <v>12</v>
      </c>
      <c r="F21" s="4" t="s">
        <v>13</v>
      </c>
      <c r="G21" s="38" t="s">
        <v>14</v>
      </c>
      <c r="H21" s="4" t="s">
        <v>15</v>
      </c>
      <c r="I21" s="38" t="s">
        <v>16</v>
      </c>
      <c r="J21" s="38" t="s">
        <v>17</v>
      </c>
      <c r="K21" s="38" t="s">
        <v>18</v>
      </c>
      <c r="L21" s="38" t="s">
        <v>19</v>
      </c>
      <c r="M21" s="38" t="s">
        <v>20</v>
      </c>
      <c r="N21" s="38" t="s">
        <v>21</v>
      </c>
    </row>
    <row r="22" spans="1:20" s="12" customFormat="1" ht="70.5">
      <c r="A22" s="6" t="str">
        <f>IFERROR(VLOOKUP(D22,'Master sheet (Clientes)'!A$6:D$747,2,0)," ")</f>
        <v>NJ</v>
      </c>
      <c r="B22" s="6" t="str">
        <f>IFERROR(VLOOKUP(D22,'Master sheet (Clientes)'!A$6:D$747,3,0)," ")</f>
        <v>Greystar</v>
      </c>
      <c r="C22" s="6" t="str">
        <f>IFERROR(VLOOKUP(D22,'Master sheet (Clientes)'!A$6:D$747,4,0)," ")</f>
        <v>A-V</v>
      </c>
      <c r="D22" s="6" t="s">
        <v>786</v>
      </c>
      <c r="E22" s="6" t="s">
        <v>1899</v>
      </c>
      <c r="F22" s="6" t="s">
        <v>1455</v>
      </c>
      <c r="G22" s="6" t="s">
        <v>853</v>
      </c>
      <c r="H22" s="6" t="s">
        <v>1473</v>
      </c>
      <c r="I22" s="10" t="s">
        <v>1523</v>
      </c>
      <c r="J22" s="6" t="s">
        <v>48</v>
      </c>
      <c r="K22" s="6"/>
      <c r="L22" s="6"/>
      <c r="M22" s="6" t="s">
        <v>1449</v>
      </c>
      <c r="N22" s="6"/>
      <c r="O22" s="1"/>
      <c r="P22" s="1"/>
      <c r="Q22" s="1"/>
      <c r="R22" s="11"/>
      <c r="S22" s="11"/>
      <c r="T22" s="11"/>
    </row>
    <row r="23" spans="1:20" s="12" customFormat="1" ht="407" customHeight="1">
      <c r="A23" s="6" t="str">
        <f>IFERROR(VLOOKUP(D23,'Master sheet (Clientes)'!A$6:D$747,2,0)," ")</f>
        <v>NJ</v>
      </c>
      <c r="B23" s="6" t="str">
        <f>IFERROR(VLOOKUP(D23,'Master sheet (Clientes)'!A$6:D$747,3,0)," ")</f>
        <v>Vivmark Residential</v>
      </c>
      <c r="C23" s="6" t="str">
        <f>IFERROR(VLOOKUP(D23,'Master sheet (Clientes)'!A$6:D$747,4,0)," ")</f>
        <v>A-V</v>
      </c>
      <c r="D23" s="6" t="s">
        <v>293</v>
      </c>
      <c r="E23" s="6" t="s">
        <v>1648</v>
      </c>
      <c r="F23" s="6"/>
      <c r="G23" s="6"/>
      <c r="H23" s="122" t="s">
        <v>1836</v>
      </c>
      <c r="I23" s="10" t="s">
        <v>1670</v>
      </c>
      <c r="J23" s="6" t="s">
        <v>48</v>
      </c>
      <c r="K23" s="6" t="s">
        <v>1649</v>
      </c>
      <c r="L23" s="6"/>
      <c r="M23" s="6" t="s">
        <v>1650</v>
      </c>
      <c r="N23" s="6"/>
      <c r="O23" s="1"/>
      <c r="P23" s="1"/>
      <c r="Q23" s="1"/>
      <c r="R23" s="11"/>
      <c r="S23" s="11"/>
      <c r="T23" s="11"/>
    </row>
    <row r="24" spans="1:20" s="1" customFormat="1">
      <c r="A24" s="3"/>
      <c r="B24" s="3"/>
      <c r="C24" s="3"/>
      <c r="D24" s="3"/>
      <c r="E24" s="3"/>
      <c r="F24" s="3"/>
      <c r="G24" s="3"/>
      <c r="H24" s="3"/>
      <c r="I24" s="3"/>
      <c r="J24" s="3"/>
    </row>
    <row r="25" spans="1:20" s="1" customFormat="1" ht="47">
      <c r="A25" s="4" t="s">
        <v>8</v>
      </c>
      <c r="B25" s="4" t="s">
        <v>9</v>
      </c>
      <c r="C25" s="4" t="s">
        <v>10</v>
      </c>
      <c r="D25" s="4" t="s">
        <v>11</v>
      </c>
      <c r="E25" s="4" t="s">
        <v>12</v>
      </c>
      <c r="F25" s="4" t="s">
        <v>13</v>
      </c>
      <c r="G25" s="38" t="s">
        <v>14</v>
      </c>
      <c r="H25" s="4" t="s">
        <v>15</v>
      </c>
      <c r="I25" s="38" t="s">
        <v>16</v>
      </c>
      <c r="J25" s="38" t="s">
        <v>17</v>
      </c>
      <c r="K25" s="38" t="s">
        <v>18</v>
      </c>
      <c r="L25" s="38" t="s">
        <v>19</v>
      </c>
      <c r="M25" s="38" t="s">
        <v>20</v>
      </c>
      <c r="N25" s="38" t="s">
        <v>21</v>
      </c>
    </row>
    <row r="26" spans="1:20" s="120" customFormat="1" ht="47">
      <c r="A26" s="10" t="str">
        <f>IFERROR(VLOOKUP(D26,'Master sheet (Clientes)'!A$6:D$747,2,0)," ")</f>
        <v>NJ</v>
      </c>
      <c r="B26" s="10" t="str">
        <f>IFERROR(VLOOKUP(D26,'Master sheet (Clientes)'!A$6:D$747,3,0)," ")</f>
        <v>No Charge / Courtesy Job</v>
      </c>
      <c r="C26" s="10" t="str">
        <f>IFERROR(VLOOKUP(D26,'Master sheet (Clientes)'!A$6:D$747,4,0)," ")</f>
        <v>N/A</v>
      </c>
      <c r="D26" s="10" t="s">
        <v>465</v>
      </c>
      <c r="E26" s="10"/>
      <c r="F26" s="10"/>
      <c r="G26" s="10"/>
      <c r="H26" s="121" t="s">
        <v>1738</v>
      </c>
      <c r="I26" s="10" t="s">
        <v>1654</v>
      </c>
      <c r="J26" s="10" t="s">
        <v>48</v>
      </c>
      <c r="K26" s="10"/>
      <c r="L26" s="10"/>
      <c r="M26" s="10" t="s">
        <v>1282</v>
      </c>
      <c r="N26" s="10"/>
      <c r="O26" s="118"/>
      <c r="P26" s="118"/>
      <c r="Q26" s="118"/>
      <c r="R26" s="119"/>
      <c r="S26" s="119"/>
      <c r="T26" s="119"/>
    </row>
    <row r="27" spans="1:20" s="1" customFormat="1">
      <c r="A27" s="3"/>
      <c r="B27" s="3"/>
      <c r="C27" s="3"/>
      <c r="D27" s="3"/>
      <c r="E27" s="3"/>
      <c r="F27" s="3"/>
      <c r="G27" s="3"/>
      <c r="H27" s="3"/>
      <c r="I27" s="3"/>
      <c r="J27" s="3"/>
    </row>
    <row r="28" spans="1:20" s="1" customFormat="1" ht="47">
      <c r="A28" s="4" t="s">
        <v>8</v>
      </c>
      <c r="B28" s="4" t="s">
        <v>9</v>
      </c>
      <c r="C28" s="4" t="s">
        <v>10</v>
      </c>
      <c r="D28" s="4" t="s">
        <v>11</v>
      </c>
      <c r="E28" s="4" t="s">
        <v>12</v>
      </c>
      <c r="F28" s="4" t="s">
        <v>13</v>
      </c>
      <c r="G28" s="38" t="s">
        <v>14</v>
      </c>
      <c r="H28" s="4" t="s">
        <v>15</v>
      </c>
      <c r="I28" s="38" t="s">
        <v>16</v>
      </c>
      <c r="J28" s="38" t="s">
        <v>17</v>
      </c>
      <c r="K28" s="38" t="s">
        <v>18</v>
      </c>
      <c r="L28" s="38" t="s">
        <v>19</v>
      </c>
      <c r="M28" s="38" t="s">
        <v>20</v>
      </c>
      <c r="N28" s="38" t="s">
        <v>21</v>
      </c>
    </row>
    <row r="29" spans="1:20" s="12" customFormat="1" ht="70.5">
      <c r="A29" s="6" t="str">
        <f>IFERROR(VLOOKUP(D29,'Master sheet (Clientes)'!A$6:D$747,2,0)," ")</f>
        <v>NJ</v>
      </c>
      <c r="B29" s="6" t="str">
        <f>IFERROR(VLOOKUP(D29,'Master sheet (Clientes)'!A$6:D$747,3,0)," ")</f>
        <v>Vivmark Residential</v>
      </c>
      <c r="C29" s="6" t="str">
        <f>IFERROR(VLOOKUP(D29,'Master sheet (Clientes)'!A$6:D$747,4,0)," ")</f>
        <v>N-O</v>
      </c>
      <c r="D29" s="6" t="s">
        <v>89</v>
      </c>
      <c r="E29" s="6">
        <v>443</v>
      </c>
      <c r="F29" s="6" t="s">
        <v>854</v>
      </c>
      <c r="G29" s="6" t="s">
        <v>853</v>
      </c>
      <c r="H29" s="6" t="s">
        <v>1769</v>
      </c>
      <c r="I29" s="10" t="s">
        <v>1547</v>
      </c>
      <c r="J29" s="10" t="s">
        <v>48</v>
      </c>
      <c r="K29" s="6"/>
      <c r="L29" s="6"/>
      <c r="M29" s="6"/>
      <c r="N29" s="6"/>
      <c r="O29" s="1"/>
      <c r="P29" s="1"/>
      <c r="Q29" s="1"/>
      <c r="R29" s="11"/>
      <c r="S29" s="11"/>
      <c r="T29" s="11"/>
    </row>
    <row r="30" spans="1:20" s="12" customFormat="1">
      <c r="A30" s="6" t="str">
        <f>IFERROR(VLOOKUP(D30,'Master sheet (Clientes)'!A$6:D$747,2,0)," ")</f>
        <v xml:space="preserve"> </v>
      </c>
      <c r="B30" s="6" t="str">
        <f>IFERROR(VLOOKUP(D30,'Master sheet (Clientes)'!A$6:D$747,3,0)," ")</f>
        <v xml:space="preserve"> </v>
      </c>
      <c r="C30" s="6" t="str">
        <f>IFERROR(VLOOKUP(D30,'Master sheet (Clientes)'!A$6:D$747,4,0)," ")</f>
        <v xml:space="preserve"> </v>
      </c>
      <c r="D30" s="6"/>
      <c r="E30" s="6"/>
      <c r="F30" s="6"/>
      <c r="G30" s="6"/>
      <c r="H30" s="6"/>
      <c r="I30" s="6"/>
      <c r="J30" s="6"/>
      <c r="K30" s="6"/>
      <c r="L30" s="6"/>
      <c r="M30" s="6"/>
      <c r="N30" s="6"/>
      <c r="O30" s="1"/>
      <c r="P30" s="1"/>
      <c r="Q30" s="1"/>
      <c r="R30" s="11"/>
      <c r="S30" s="11"/>
      <c r="T30" s="11"/>
    </row>
    <row r="31" spans="1:20" s="12" customFormat="1">
      <c r="A31" s="6" t="str">
        <f>IFERROR(VLOOKUP(D31,'Master sheet (Clientes)'!A$6:D$747,2,0)," ")</f>
        <v xml:space="preserve"> </v>
      </c>
      <c r="B31" s="6" t="str">
        <f>IFERROR(VLOOKUP(D31,'Master sheet (Clientes)'!A$6:D$747,3,0)," ")</f>
        <v xml:space="preserve"> </v>
      </c>
      <c r="C31" s="6" t="str">
        <f>IFERROR(VLOOKUP(D31,'Master sheet (Clientes)'!A$6:D$747,4,0)," ")</f>
        <v xml:space="preserve"> </v>
      </c>
      <c r="D31" s="6"/>
      <c r="E31" s="6"/>
      <c r="F31" s="6"/>
      <c r="G31" s="6"/>
      <c r="H31" s="6"/>
      <c r="I31" s="6"/>
      <c r="J31" s="6"/>
      <c r="K31" s="6"/>
      <c r="L31" s="6"/>
      <c r="M31" s="6"/>
      <c r="N31" s="6"/>
      <c r="O31" s="1"/>
      <c r="P31" s="1"/>
      <c r="Q31" s="1"/>
      <c r="R31" s="11"/>
      <c r="S31" s="11"/>
      <c r="T31" s="11"/>
    </row>
    <row r="32" spans="1:20" s="9" customFormat="1">
      <c r="A32" s="1"/>
      <c r="B32" s="1"/>
      <c r="C32" s="1"/>
      <c r="D32" s="1"/>
      <c r="E32" s="1"/>
      <c r="F32" s="1"/>
      <c r="G32" s="1"/>
      <c r="H32" s="1"/>
      <c r="I32" s="1"/>
      <c r="J32" s="1"/>
      <c r="K32" s="1"/>
      <c r="L32" s="1"/>
      <c r="M32" s="1"/>
      <c r="N32" s="1"/>
      <c r="O32" s="13"/>
      <c r="P32" s="13"/>
      <c r="Q32" s="13"/>
    </row>
    <row r="33" spans="1:20" s="1" customFormat="1" ht="47">
      <c r="A33" s="4" t="s">
        <v>8</v>
      </c>
      <c r="B33" s="4" t="s">
        <v>9</v>
      </c>
      <c r="C33" s="4" t="s">
        <v>10</v>
      </c>
      <c r="D33" s="4" t="s">
        <v>11</v>
      </c>
      <c r="E33" s="4" t="s">
        <v>12</v>
      </c>
      <c r="F33" s="4" t="s">
        <v>13</v>
      </c>
      <c r="G33" s="38" t="s">
        <v>14</v>
      </c>
      <c r="H33" s="4" t="s">
        <v>15</v>
      </c>
      <c r="I33" s="38" t="s">
        <v>16</v>
      </c>
      <c r="J33" s="38" t="s">
        <v>17</v>
      </c>
      <c r="K33" s="38" t="s">
        <v>18</v>
      </c>
      <c r="L33" s="38" t="s">
        <v>19</v>
      </c>
      <c r="M33" s="38" t="s">
        <v>20</v>
      </c>
      <c r="N33" s="38" t="s">
        <v>21</v>
      </c>
    </row>
    <row r="34" spans="1:20" s="12" customFormat="1">
      <c r="A34" s="6" t="str">
        <f>IFERROR(VLOOKUP(D34,'Master sheet (Clientes)'!A$6:D$747,2,0)," ")</f>
        <v xml:space="preserve"> </v>
      </c>
      <c r="B34" s="6" t="str">
        <f>IFERROR(VLOOKUP(D34,'Master sheet (Clientes)'!A$6:D$747,3,0)," ")</f>
        <v xml:space="preserve"> </v>
      </c>
      <c r="C34" s="6" t="str">
        <f>IFERROR(VLOOKUP(D34,'Master sheet (Clientes)'!A$6:D$747,4,0)," ")</f>
        <v xml:space="preserve"> </v>
      </c>
      <c r="D34" s="6"/>
      <c r="E34" s="6"/>
      <c r="F34" s="6"/>
      <c r="G34" s="6"/>
      <c r="H34" s="6"/>
      <c r="I34" s="6"/>
      <c r="J34" s="6"/>
      <c r="K34" s="6"/>
      <c r="L34" s="6"/>
      <c r="M34" s="6"/>
      <c r="N34" s="6"/>
      <c r="O34" s="1"/>
      <c r="P34" s="1"/>
      <c r="Q34" s="1"/>
      <c r="R34" s="11"/>
      <c r="S34" s="11"/>
      <c r="T34" s="11"/>
    </row>
    <row r="35" spans="1:20" s="12" customFormat="1">
      <c r="A35" s="6" t="str">
        <f>IFERROR(VLOOKUP(D35,'Master sheet (Clientes)'!A$6:D$747,2,0)," ")</f>
        <v xml:space="preserve"> </v>
      </c>
      <c r="B35" s="6" t="str">
        <f>IFERROR(VLOOKUP(D35,'Master sheet (Clientes)'!A$6:D$747,3,0)," ")</f>
        <v xml:space="preserve"> </v>
      </c>
      <c r="C35" s="6" t="str">
        <f>IFERROR(VLOOKUP(D35,'Master sheet (Clientes)'!A$6:D$747,4,0)," ")</f>
        <v xml:space="preserve"> </v>
      </c>
      <c r="D35" s="6"/>
      <c r="E35" s="6"/>
      <c r="F35" s="6"/>
      <c r="G35" s="6"/>
      <c r="H35" s="6"/>
      <c r="I35" s="6"/>
      <c r="J35" s="6"/>
      <c r="K35" s="6"/>
      <c r="L35" s="6"/>
      <c r="M35" s="6"/>
      <c r="N35" s="6"/>
      <c r="O35" s="1"/>
      <c r="P35" s="1"/>
      <c r="Q35" s="1"/>
      <c r="R35" s="11"/>
      <c r="S35" s="11"/>
      <c r="T35" s="11"/>
    </row>
    <row r="36" spans="1:20">
      <c r="A36" s="1"/>
      <c r="B36" s="1"/>
      <c r="C36" s="1"/>
      <c r="D36" s="1"/>
      <c r="E36" s="1"/>
      <c r="F36" s="1"/>
      <c r="G36" s="1"/>
      <c r="H36" s="1"/>
      <c r="I36" s="1"/>
      <c r="J36" s="1"/>
      <c r="K36" s="1"/>
      <c r="L36" s="1"/>
      <c r="M36" s="1"/>
      <c r="N36" s="1"/>
    </row>
    <row r="37" spans="1:20" s="1" customFormat="1" ht="47">
      <c r="A37" s="4" t="s">
        <v>8</v>
      </c>
      <c r="B37" s="4" t="s">
        <v>9</v>
      </c>
      <c r="C37" s="4" t="s">
        <v>10</v>
      </c>
      <c r="D37" s="4" t="s">
        <v>11</v>
      </c>
      <c r="E37" s="4" t="s">
        <v>12</v>
      </c>
      <c r="F37" s="4" t="s">
        <v>13</v>
      </c>
      <c r="G37" s="38" t="s">
        <v>14</v>
      </c>
      <c r="H37" s="4" t="s">
        <v>15</v>
      </c>
      <c r="I37" s="38" t="s">
        <v>16</v>
      </c>
      <c r="J37" s="38" t="s">
        <v>17</v>
      </c>
      <c r="K37" s="38" t="s">
        <v>18</v>
      </c>
      <c r="L37" s="38" t="s">
        <v>19</v>
      </c>
      <c r="M37" s="38" t="s">
        <v>20</v>
      </c>
      <c r="N37" s="38" t="s">
        <v>21</v>
      </c>
    </row>
    <row r="38" spans="1:20" s="12" customFormat="1" ht="70.5">
      <c r="A38" s="6" t="str">
        <f>IFERROR(VLOOKUP(D38,'Master sheet (Clientes)'!A$6:D$747,2,0)," ")</f>
        <v>NJ</v>
      </c>
      <c r="B38" s="6" t="str">
        <f>IFERROR(VLOOKUP(D38,'Master sheet (Clientes)'!A$6:D$747,3,0)," ")</f>
        <v>Skylight</v>
      </c>
      <c r="C38" s="6" t="str">
        <f>IFERROR(VLOOKUP(D38,'Master sheet (Clientes)'!A$6:D$747,4,0)," ")</f>
        <v>N-O</v>
      </c>
      <c r="D38" s="6" t="s">
        <v>727</v>
      </c>
      <c r="E38" s="6">
        <v>523</v>
      </c>
      <c r="F38" s="6" t="s">
        <v>45</v>
      </c>
      <c r="G38" s="6" t="s">
        <v>853</v>
      </c>
      <c r="H38" s="6" t="s">
        <v>1745</v>
      </c>
      <c r="I38" s="6" t="s">
        <v>950</v>
      </c>
      <c r="J38" s="6" t="s">
        <v>48</v>
      </c>
      <c r="K38" s="6"/>
      <c r="L38" s="6"/>
      <c r="M38" s="6"/>
      <c r="N38" s="6"/>
      <c r="O38" s="1"/>
      <c r="P38" s="1"/>
      <c r="Q38" s="1"/>
      <c r="R38" s="11"/>
      <c r="S38" s="11"/>
      <c r="T38" s="11"/>
    </row>
    <row r="39" spans="1:20" s="52" customFormat="1" ht="70.5">
      <c r="A39" s="6" t="str">
        <f>IFERROR(VLOOKUP(D39,'Master sheet (Clientes)'!A$6:D$747,2,0)," ")</f>
        <v>NJ</v>
      </c>
      <c r="B39" s="6" t="str">
        <f>IFERROR(VLOOKUP(D39,'Master sheet (Clientes)'!A$6:D$747,3,0)," ")</f>
        <v>Greystar</v>
      </c>
      <c r="C39" s="6" t="str">
        <f>IFERROR(VLOOKUP(D39,'Master sheet (Clientes)'!A$6:D$747,4,0)," ")</f>
        <v>A-V</v>
      </c>
      <c r="D39" s="6" t="s">
        <v>341</v>
      </c>
      <c r="E39" s="6">
        <v>411</v>
      </c>
      <c r="F39" s="6" t="s">
        <v>854</v>
      </c>
      <c r="G39" s="6" t="s">
        <v>853</v>
      </c>
      <c r="H39" s="6" t="s">
        <v>1802</v>
      </c>
      <c r="I39" s="6" t="s">
        <v>950</v>
      </c>
      <c r="J39" s="6" t="s">
        <v>48</v>
      </c>
      <c r="K39" s="6"/>
      <c r="L39" s="6"/>
      <c r="M39" s="6"/>
      <c r="N39" s="6"/>
      <c r="O39" s="13"/>
      <c r="P39" s="13"/>
      <c r="Q39" s="13"/>
      <c r="R39" s="51"/>
      <c r="S39" s="51"/>
      <c r="T39" s="51"/>
    </row>
    <row r="40" spans="1:20" s="12" customFormat="1">
      <c r="A40" s="6" t="str">
        <f>IFERROR(VLOOKUP(D40,'Master sheet (Clientes)'!A$6:D$747,2,0)," ")</f>
        <v xml:space="preserve"> </v>
      </c>
      <c r="B40" s="6" t="str">
        <f>IFERROR(VLOOKUP(D40,'Master sheet (Clientes)'!A$6:D$747,3,0)," ")</f>
        <v xml:space="preserve"> </v>
      </c>
      <c r="C40" s="6" t="str">
        <f>IFERROR(VLOOKUP(D40,'Master sheet (Clientes)'!A$6:D$747,4,0)," ")</f>
        <v xml:space="preserve"> </v>
      </c>
      <c r="D40" s="6"/>
      <c r="E40" s="6"/>
      <c r="F40" s="6"/>
      <c r="G40" s="6"/>
      <c r="H40" s="6"/>
      <c r="I40" s="6"/>
      <c r="J40" s="6"/>
      <c r="K40" s="6"/>
      <c r="L40" s="6"/>
      <c r="M40" s="6"/>
      <c r="N40" s="6"/>
      <c r="O40" s="1"/>
      <c r="P40" s="1"/>
      <c r="Q40" s="1"/>
      <c r="R40" s="11"/>
      <c r="S40" s="11"/>
      <c r="T40" s="11"/>
    </row>
    <row r="41" spans="1:20" s="12" customFormat="1">
      <c r="A41" s="6" t="str">
        <f>IFERROR(VLOOKUP(D41,'Master sheet (Clientes)'!A$6:D$747,2,0)," ")</f>
        <v xml:space="preserve"> </v>
      </c>
      <c r="B41" s="6" t="str">
        <f>IFERROR(VLOOKUP(D41,'Master sheet (Clientes)'!A$6:D$747,3,0)," ")</f>
        <v xml:space="preserve"> </v>
      </c>
      <c r="C41" s="6" t="str">
        <f>IFERROR(VLOOKUP(D41,'Master sheet (Clientes)'!A$6:D$747,4,0)," ")</f>
        <v xml:space="preserve"> </v>
      </c>
      <c r="D41" s="6"/>
      <c r="E41" s="6"/>
      <c r="F41" s="6"/>
      <c r="G41" s="6"/>
      <c r="H41" s="6"/>
      <c r="I41" s="6"/>
      <c r="J41" s="6"/>
      <c r="K41" s="6"/>
      <c r="L41" s="6"/>
      <c r="M41" s="6"/>
      <c r="N41" s="6"/>
      <c r="O41" s="1"/>
      <c r="P41" s="1"/>
      <c r="Q41" s="1"/>
      <c r="R41" s="11"/>
      <c r="S41" s="11"/>
      <c r="T41" s="11"/>
    </row>
    <row r="42" spans="1:20">
      <c r="A42" s="1"/>
      <c r="B42" s="1"/>
      <c r="C42" s="1"/>
      <c r="D42" s="1"/>
      <c r="E42" s="1"/>
      <c r="F42" s="1"/>
      <c r="G42" s="1"/>
      <c r="H42" s="1"/>
      <c r="I42" s="1"/>
      <c r="J42" s="1"/>
      <c r="K42" s="1"/>
      <c r="L42" s="1"/>
      <c r="M42" s="1"/>
      <c r="N42" s="1"/>
    </row>
    <row r="43" spans="1:20" s="1" customFormat="1" ht="47">
      <c r="A43" s="4" t="s">
        <v>8</v>
      </c>
      <c r="B43" s="4" t="s">
        <v>9</v>
      </c>
      <c r="C43" s="4" t="s">
        <v>10</v>
      </c>
      <c r="D43" s="4" t="s">
        <v>11</v>
      </c>
      <c r="E43" s="4" t="s">
        <v>12</v>
      </c>
      <c r="F43" s="4" t="s">
        <v>13</v>
      </c>
      <c r="G43" s="38" t="s">
        <v>14</v>
      </c>
      <c r="H43" s="4" t="s">
        <v>15</v>
      </c>
      <c r="I43" s="38" t="s">
        <v>16</v>
      </c>
      <c r="J43" s="38" t="s">
        <v>17</v>
      </c>
      <c r="K43" s="38" t="s">
        <v>18</v>
      </c>
      <c r="L43" s="38" t="s">
        <v>19</v>
      </c>
      <c r="M43" s="38" t="s">
        <v>20</v>
      </c>
      <c r="N43" s="38" t="s">
        <v>21</v>
      </c>
    </row>
    <row r="44" spans="1:20" s="12" customFormat="1" ht="70.5">
      <c r="A44" s="6" t="str">
        <f>IFERROR(VLOOKUP(D44,'Master sheet (Clientes)'!A$6:D$747,2,0)," ")</f>
        <v>NJ</v>
      </c>
      <c r="B44" s="6" t="str">
        <f>IFERROR(VLOOKUP(D44,'Master sheet (Clientes)'!A$6:D$747,3,0)," ")</f>
        <v>Greystar</v>
      </c>
      <c r="C44" s="6" t="str">
        <f>IFERROR(VLOOKUP(D44,'Master sheet (Clientes)'!A$6:D$747,4,0)," ")</f>
        <v>A-V</v>
      </c>
      <c r="D44" s="6" t="s">
        <v>786</v>
      </c>
      <c r="E44" s="6">
        <v>520</v>
      </c>
      <c r="F44" s="6" t="s">
        <v>1605</v>
      </c>
      <c r="G44" s="6" t="s">
        <v>853</v>
      </c>
      <c r="H44" s="6" t="s">
        <v>1731</v>
      </c>
      <c r="I44" s="6" t="s">
        <v>883</v>
      </c>
      <c r="J44" s="6" t="s">
        <v>48</v>
      </c>
      <c r="K44" s="6"/>
      <c r="L44" s="6"/>
      <c r="M44" s="6"/>
      <c r="N44" s="6"/>
      <c r="O44" s="1"/>
      <c r="P44" s="1"/>
      <c r="Q44" s="1"/>
      <c r="R44" s="11"/>
      <c r="S44" s="11"/>
      <c r="T44" s="11"/>
    </row>
    <row r="45" spans="1:20" s="12" customFormat="1">
      <c r="A45" s="6" t="str">
        <f>IFERROR(VLOOKUP(D45,'Master sheet (Clientes)'!A$6:D$747,2,0)," ")</f>
        <v xml:space="preserve"> </v>
      </c>
      <c r="B45" s="6" t="str">
        <f>IFERROR(VLOOKUP(D45,'Master sheet (Clientes)'!A$6:D$747,3,0)," ")</f>
        <v xml:space="preserve"> </v>
      </c>
      <c r="C45" s="6" t="str">
        <f>IFERROR(VLOOKUP(D45,'Master sheet (Clientes)'!A$6:D$747,4,0)," ")</f>
        <v xml:space="preserve"> </v>
      </c>
      <c r="D45" s="6"/>
      <c r="E45" s="6"/>
      <c r="F45" s="6"/>
      <c r="G45" s="6"/>
      <c r="H45" s="6"/>
      <c r="I45" s="6"/>
      <c r="J45" s="6"/>
      <c r="K45" s="6"/>
      <c r="L45" s="6"/>
      <c r="M45" s="6"/>
      <c r="N45" s="6"/>
      <c r="O45" s="1"/>
      <c r="P45" s="1"/>
      <c r="Q45" s="1"/>
      <c r="R45" s="11"/>
      <c r="S45" s="11"/>
      <c r="T45" s="11"/>
    </row>
    <row r="46" spans="1:20">
      <c r="A46" s="1"/>
      <c r="B46" s="1"/>
      <c r="C46" s="1"/>
      <c r="D46" s="1"/>
      <c r="E46" s="1"/>
      <c r="F46" s="1"/>
      <c r="G46" s="1"/>
      <c r="H46" s="1"/>
      <c r="I46" s="1"/>
      <c r="J46" s="1"/>
      <c r="K46" s="1"/>
      <c r="L46" s="1"/>
      <c r="M46" s="1"/>
      <c r="N46" s="1"/>
    </row>
    <row r="47" spans="1:20" s="1" customFormat="1" ht="47">
      <c r="A47" s="4" t="s">
        <v>8</v>
      </c>
      <c r="B47" s="4" t="s">
        <v>9</v>
      </c>
      <c r="C47" s="4" t="s">
        <v>10</v>
      </c>
      <c r="D47" s="4" t="s">
        <v>11</v>
      </c>
      <c r="E47" s="4" t="s">
        <v>12</v>
      </c>
      <c r="F47" s="4" t="s">
        <v>13</v>
      </c>
      <c r="G47" s="38" t="s">
        <v>14</v>
      </c>
      <c r="H47" s="4" t="s">
        <v>15</v>
      </c>
      <c r="I47" s="38" t="s">
        <v>16</v>
      </c>
      <c r="J47" s="38" t="s">
        <v>17</v>
      </c>
      <c r="K47" s="38" t="s">
        <v>18</v>
      </c>
      <c r="L47" s="38" t="s">
        <v>19</v>
      </c>
      <c r="M47" s="38" t="s">
        <v>20</v>
      </c>
      <c r="N47" s="38" t="s">
        <v>21</v>
      </c>
    </row>
    <row r="48" spans="1:20" s="12" customFormat="1" ht="70.5">
      <c r="A48" s="6" t="str">
        <f>IFERROR(VLOOKUP(D48,'Master sheet (Clientes)'!A$6:D$747,2,0)," ")</f>
        <v>NJ</v>
      </c>
      <c r="B48" s="6" t="str">
        <f>IFERROR(VLOOKUP(D48,'Master sheet (Clientes)'!A$6:D$747,3,0)," ")</f>
        <v>Bozzuto</v>
      </c>
      <c r="C48" s="6" t="str">
        <f>IFERROR(VLOOKUP(D48,'Master sheet (Clientes)'!A$6:D$747,4,0)," ")</f>
        <v>N-O</v>
      </c>
      <c r="D48" s="6" t="s">
        <v>169</v>
      </c>
      <c r="E48" s="6" t="s">
        <v>1661</v>
      </c>
      <c r="F48" s="6"/>
      <c r="G48" s="6" t="s">
        <v>837</v>
      </c>
      <c r="H48" s="6" t="s">
        <v>1662</v>
      </c>
      <c r="I48" s="6" t="s">
        <v>1075</v>
      </c>
      <c r="J48" s="6" t="s">
        <v>48</v>
      </c>
      <c r="K48" s="6"/>
      <c r="L48" s="6"/>
      <c r="M48" s="6"/>
      <c r="N48" s="6"/>
      <c r="O48" s="1"/>
      <c r="P48" s="1"/>
      <c r="Q48" s="1"/>
      <c r="R48" s="11"/>
      <c r="S48" s="11"/>
      <c r="T48" s="11"/>
    </row>
    <row r="49" spans="1:20">
      <c r="A49" s="1"/>
      <c r="B49" s="1"/>
      <c r="C49" s="1"/>
      <c r="D49" s="1"/>
      <c r="E49" s="1"/>
      <c r="F49" s="1"/>
      <c r="G49" s="1"/>
      <c r="H49" s="1"/>
      <c r="I49" s="1"/>
      <c r="J49" s="1"/>
      <c r="K49" s="1"/>
      <c r="L49" s="1"/>
      <c r="M49" s="1"/>
      <c r="N49" s="1"/>
    </row>
    <row r="50" spans="1:20" s="1" customFormat="1" ht="47">
      <c r="A50" s="4" t="s">
        <v>8</v>
      </c>
      <c r="B50" s="4" t="s">
        <v>9</v>
      </c>
      <c r="C50" s="4" t="s">
        <v>10</v>
      </c>
      <c r="D50" s="4" t="s">
        <v>11</v>
      </c>
      <c r="E50" s="4" t="s">
        <v>12</v>
      </c>
      <c r="F50" s="4" t="s">
        <v>13</v>
      </c>
      <c r="G50" s="38" t="s">
        <v>14</v>
      </c>
      <c r="H50" s="4" t="s">
        <v>15</v>
      </c>
      <c r="I50" s="38" t="s">
        <v>16</v>
      </c>
      <c r="J50" s="38" t="s">
        <v>17</v>
      </c>
      <c r="K50" s="38" t="s">
        <v>18</v>
      </c>
      <c r="L50" s="38" t="s">
        <v>19</v>
      </c>
      <c r="M50" s="38" t="s">
        <v>20</v>
      </c>
      <c r="N50" s="38" t="s">
        <v>21</v>
      </c>
    </row>
    <row r="51" spans="1:20" s="52" customFormat="1" ht="47">
      <c r="A51" s="6" t="str">
        <f>IFERROR(VLOOKUP(D51,'Master sheet (Clientes)'!A$6:D$747,2,0)," ")</f>
        <v>NJ</v>
      </c>
      <c r="B51" s="6" t="str">
        <f>IFERROR(VLOOKUP(D51,'Master sheet (Clientes)'!A$6:D$747,3,0)," ")</f>
        <v>Skylight</v>
      </c>
      <c r="C51" s="6" t="str">
        <f>IFERROR(VLOOKUP(D51,'Master sheet (Clientes)'!A$6:D$747,4,0)," ")</f>
        <v>N-O</v>
      </c>
      <c r="D51" s="6" t="s">
        <v>725</v>
      </c>
      <c r="E51" s="6"/>
      <c r="F51" s="6"/>
      <c r="G51" s="6"/>
      <c r="H51" s="6" t="s">
        <v>1603</v>
      </c>
      <c r="I51" s="6" t="s">
        <v>990</v>
      </c>
      <c r="J51" s="8" t="s">
        <v>48</v>
      </c>
      <c r="K51" s="6" t="s">
        <v>1604</v>
      </c>
      <c r="L51" s="6"/>
      <c r="M51" s="6"/>
      <c r="N51" s="6"/>
      <c r="O51" s="13"/>
      <c r="P51" s="13"/>
      <c r="Q51" s="13"/>
      <c r="R51" s="51"/>
      <c r="S51" s="51"/>
      <c r="T51" s="51"/>
    </row>
    <row r="52" spans="1:20">
      <c r="A52" s="1"/>
      <c r="B52" s="1"/>
      <c r="C52" s="1"/>
      <c r="D52" s="1"/>
      <c r="E52" s="1"/>
      <c r="F52" s="1"/>
      <c r="G52" s="1"/>
      <c r="H52" s="1"/>
      <c r="I52" s="1"/>
      <c r="J52" s="1"/>
      <c r="K52" s="1"/>
      <c r="L52" s="1"/>
      <c r="M52" s="1"/>
      <c r="N52" s="1"/>
    </row>
    <row r="53" spans="1:20" s="1" customFormat="1" ht="47">
      <c r="A53" s="4" t="s">
        <v>8</v>
      </c>
      <c r="B53" s="4" t="s">
        <v>9</v>
      </c>
      <c r="C53" s="4" t="s">
        <v>10</v>
      </c>
      <c r="D53" s="4" t="s">
        <v>11</v>
      </c>
      <c r="E53" s="4" t="s">
        <v>12</v>
      </c>
      <c r="F53" s="4" t="s">
        <v>13</v>
      </c>
      <c r="G53" s="38" t="s">
        <v>14</v>
      </c>
      <c r="H53" s="4" t="s">
        <v>15</v>
      </c>
      <c r="I53" s="38" t="s">
        <v>16</v>
      </c>
      <c r="J53" s="38" t="s">
        <v>17</v>
      </c>
      <c r="K53" s="38" t="s">
        <v>18</v>
      </c>
      <c r="L53" s="38" t="s">
        <v>19</v>
      </c>
      <c r="M53" s="38" t="s">
        <v>20</v>
      </c>
      <c r="N53" s="38" t="s">
        <v>21</v>
      </c>
    </row>
    <row r="54" spans="1:20" s="52" customFormat="1" ht="70.5">
      <c r="A54" s="6" t="str">
        <f>IFERROR(VLOOKUP(D54,'Master sheet (Clientes)'!A$6:D$747,2,0)," ")</f>
        <v>NJ</v>
      </c>
      <c r="B54" s="6" t="str">
        <f>IFERROR(VLOOKUP(D54,'Master sheet (Clientes)'!A$6:D$747,3,0)," ")</f>
        <v>Skylight</v>
      </c>
      <c r="C54" s="6" t="str">
        <f>IFERROR(VLOOKUP(D54,'Master sheet (Clientes)'!A$6:D$747,4,0)," ")</f>
        <v>N-O</v>
      </c>
      <c r="D54" s="6" t="s">
        <v>727</v>
      </c>
      <c r="E54" s="6">
        <v>523</v>
      </c>
      <c r="F54" s="6" t="s">
        <v>45</v>
      </c>
      <c r="G54" s="6" t="s">
        <v>853</v>
      </c>
      <c r="H54" s="6" t="s">
        <v>1744</v>
      </c>
      <c r="I54" s="6" t="s">
        <v>1690</v>
      </c>
      <c r="J54" s="6" t="s">
        <v>48</v>
      </c>
      <c r="K54" s="6"/>
      <c r="L54" s="6"/>
      <c r="M54" s="6" t="s">
        <v>1743</v>
      </c>
      <c r="N54" s="6"/>
      <c r="O54" s="13"/>
      <c r="P54" s="13"/>
      <c r="Q54" s="13"/>
      <c r="R54" s="51"/>
      <c r="S54" s="51"/>
      <c r="T54" s="51"/>
    </row>
    <row r="55" spans="1:20">
      <c r="A55" s="13"/>
      <c r="B55" s="13"/>
      <c r="C55" s="13"/>
      <c r="D55" s="13"/>
      <c r="E55" s="13"/>
      <c r="F55" s="13"/>
      <c r="G55" s="13"/>
      <c r="H55" s="13"/>
      <c r="I55" s="13"/>
      <c r="J55" s="13"/>
      <c r="K55" s="1"/>
      <c r="L55" s="1"/>
      <c r="M55" s="1"/>
      <c r="N55" s="1"/>
    </row>
    <row r="56" spans="1:20" ht="26">
      <c r="A56" s="33"/>
      <c r="B56" s="33"/>
      <c r="C56" s="33"/>
      <c r="D56" s="127" t="s">
        <v>24</v>
      </c>
      <c r="E56" s="127"/>
      <c r="F56" s="127"/>
      <c r="G56" s="127"/>
      <c r="H56" s="127"/>
      <c r="I56" s="127"/>
      <c r="J56" s="127"/>
      <c r="K56" s="127"/>
      <c r="L56" s="127"/>
      <c r="M56" s="16"/>
      <c r="N56" s="16"/>
    </row>
    <row r="57" spans="1:20" s="5" customFormat="1" ht="26">
      <c r="A57" s="43"/>
      <c r="B57" s="43"/>
      <c r="C57" s="43"/>
      <c r="D57" s="128" t="s">
        <v>25</v>
      </c>
      <c r="E57" s="128"/>
      <c r="F57" s="128"/>
      <c r="G57" s="128"/>
      <c r="H57" s="128"/>
      <c r="I57" s="128"/>
      <c r="J57" s="128"/>
      <c r="K57" s="128"/>
      <c r="L57" s="128"/>
      <c r="M57" s="44"/>
      <c r="N57" s="44"/>
      <c r="O57" s="35"/>
      <c r="P57" s="35"/>
      <c r="Q57" s="35"/>
    </row>
    <row r="58" spans="1:20">
      <c r="A58" s="1"/>
      <c r="B58" s="1"/>
      <c r="C58" s="1"/>
      <c r="D58" s="1"/>
      <c r="E58" s="1"/>
      <c r="F58" s="1"/>
      <c r="G58" s="1"/>
      <c r="H58" s="1"/>
      <c r="I58" s="1"/>
      <c r="J58" s="1"/>
      <c r="K58" s="1"/>
      <c r="L58" s="1"/>
      <c r="M58" s="1"/>
      <c r="N58" s="1"/>
    </row>
    <row r="59" spans="1:20" s="1" customFormat="1" ht="47">
      <c r="A59" s="4" t="s">
        <v>8</v>
      </c>
      <c r="B59" s="4" t="s">
        <v>9</v>
      </c>
      <c r="C59" s="4" t="s">
        <v>10</v>
      </c>
      <c r="D59" s="4" t="s">
        <v>11</v>
      </c>
      <c r="E59" s="4" t="s">
        <v>12</v>
      </c>
      <c r="F59" s="4" t="s">
        <v>13</v>
      </c>
      <c r="G59" s="38" t="s">
        <v>14</v>
      </c>
      <c r="H59" s="4" t="s">
        <v>15</v>
      </c>
      <c r="I59" s="38" t="s">
        <v>16</v>
      </c>
      <c r="J59" s="38" t="s">
        <v>17</v>
      </c>
      <c r="K59" s="38" t="s">
        <v>18</v>
      </c>
      <c r="L59" s="38" t="s">
        <v>19</v>
      </c>
      <c r="M59" s="38" t="s">
        <v>20</v>
      </c>
      <c r="N59" s="38" t="s">
        <v>21</v>
      </c>
    </row>
    <row r="60" spans="1:20" s="9" customFormat="1" ht="70.5">
      <c r="A60" s="6" t="str">
        <f>IFERROR(VLOOKUP(D60,'Master sheet (Clientes)'!A$6:D$747,2,0)," ")</f>
        <v>NJ</v>
      </c>
      <c r="B60" s="6" t="str">
        <f>IFERROR(VLOOKUP(D60,'Master sheet (Clientes)'!A$6:D$747,3,0)," ")</f>
        <v>Skylight</v>
      </c>
      <c r="C60" s="6" t="str">
        <f>IFERROR(VLOOKUP(D60,'Master sheet (Clientes)'!A$6:D$747,4,0)," ")</f>
        <v>N-O</v>
      </c>
      <c r="D60" s="6" t="s">
        <v>726</v>
      </c>
      <c r="E60" s="6"/>
      <c r="F60" s="6"/>
      <c r="G60" s="6"/>
      <c r="H60" s="6" t="s">
        <v>994</v>
      </c>
      <c r="I60" s="6" t="s">
        <v>995</v>
      </c>
      <c r="J60" s="6" t="s">
        <v>48</v>
      </c>
      <c r="K60" s="6"/>
      <c r="L60" s="6"/>
      <c r="M60" s="6" t="s">
        <v>996</v>
      </c>
      <c r="N60" s="6"/>
      <c r="O60" s="13"/>
      <c r="P60" s="13"/>
      <c r="Q60" s="13"/>
    </row>
    <row r="61" spans="1:20" s="9" customFormat="1" ht="47">
      <c r="A61" s="6" t="str">
        <f>IFERROR(VLOOKUP(D61,'Master sheet (Clientes)'!A$6:D$747,2,0)," ")</f>
        <v>NJ</v>
      </c>
      <c r="B61" s="6" t="str">
        <f>IFERROR(VLOOKUP(D61,'Master sheet (Clientes)'!A$6:D$747,3,0)," ")</f>
        <v>Skylight</v>
      </c>
      <c r="C61" s="6" t="str">
        <f>IFERROR(VLOOKUP(D61,'Master sheet (Clientes)'!A$6:D$747,4,0)," ")</f>
        <v>N-O</v>
      </c>
      <c r="D61" s="6" t="s">
        <v>726</v>
      </c>
      <c r="E61" s="6"/>
      <c r="F61" s="6"/>
      <c r="G61" s="6"/>
      <c r="H61" s="6" t="s">
        <v>997</v>
      </c>
      <c r="I61" s="6" t="s">
        <v>998</v>
      </c>
      <c r="J61" s="6" t="s">
        <v>48</v>
      </c>
      <c r="K61" s="6"/>
      <c r="L61" s="6"/>
      <c r="M61" s="6" t="s">
        <v>996</v>
      </c>
      <c r="N61" s="6"/>
      <c r="O61" s="13"/>
      <c r="P61" s="13"/>
      <c r="Q61" s="13"/>
    </row>
    <row r="62" spans="1:20" s="9" customFormat="1" ht="70.5">
      <c r="A62" s="6" t="str">
        <f>IFERROR(VLOOKUP(D62,'Master sheet (Clientes)'!A$6:D$747,2,0)," ")</f>
        <v>NJ</v>
      </c>
      <c r="B62" s="6" t="str">
        <f>IFERROR(VLOOKUP(D62,'Master sheet (Clientes)'!A$6:D$747,3,0)," ")</f>
        <v>RHO</v>
      </c>
      <c r="C62" s="6" t="str">
        <f>IFERROR(VLOOKUP(D62,'Master sheet (Clientes)'!A$6:D$747,4,0)," ")</f>
        <v>A-V</v>
      </c>
      <c r="D62" s="6" t="s">
        <v>777</v>
      </c>
      <c r="E62" s="6"/>
      <c r="F62" s="6"/>
      <c r="G62" s="6"/>
      <c r="H62" s="6" t="s">
        <v>1803</v>
      </c>
      <c r="I62" s="6" t="s">
        <v>1046</v>
      </c>
      <c r="J62" s="6" t="s">
        <v>48</v>
      </c>
      <c r="K62" s="6"/>
      <c r="L62" s="6"/>
      <c r="M62" s="6" t="s">
        <v>1456</v>
      </c>
      <c r="N62" s="6"/>
      <c r="O62" s="13"/>
      <c r="P62" s="13"/>
      <c r="Q62" s="13"/>
    </row>
    <row r="63" spans="1:20" s="1" customFormat="1">
      <c r="A63" s="3"/>
      <c r="B63" s="3"/>
      <c r="C63" s="3"/>
      <c r="D63" s="3"/>
      <c r="E63" s="3"/>
      <c r="F63" s="3"/>
      <c r="G63" s="3"/>
      <c r="H63" s="3"/>
      <c r="I63" s="3"/>
      <c r="J63" s="3"/>
    </row>
    <row r="64" spans="1:20" s="1" customFormat="1" ht="47">
      <c r="A64" s="4" t="s">
        <v>8</v>
      </c>
      <c r="B64" s="4" t="s">
        <v>9</v>
      </c>
      <c r="C64" s="4" t="s">
        <v>10</v>
      </c>
      <c r="D64" s="4" t="s">
        <v>11</v>
      </c>
      <c r="E64" s="4" t="s">
        <v>12</v>
      </c>
      <c r="F64" s="4" t="s">
        <v>13</v>
      </c>
      <c r="G64" s="38" t="s">
        <v>14</v>
      </c>
      <c r="H64" s="4" t="s">
        <v>15</v>
      </c>
      <c r="I64" s="38" t="s">
        <v>16</v>
      </c>
      <c r="J64" s="38" t="s">
        <v>17</v>
      </c>
      <c r="K64" s="38" t="s">
        <v>18</v>
      </c>
      <c r="L64" s="38" t="s">
        <v>19</v>
      </c>
      <c r="M64" s="38" t="s">
        <v>20</v>
      </c>
      <c r="N64" s="38" t="s">
        <v>21</v>
      </c>
    </row>
    <row r="65" spans="1:17" s="9" customFormat="1" ht="70.5">
      <c r="A65" s="6" t="str">
        <f>IFERROR(VLOOKUP(D65,'Master sheet (Clientes)'!A$6:D$747,2,0)," ")</f>
        <v>NJ</v>
      </c>
      <c r="B65" s="6" t="str">
        <f>IFERROR(VLOOKUP(D65,'Master sheet (Clientes)'!A$6:D$747,3,0)," ")</f>
        <v>Rose Associates</v>
      </c>
      <c r="C65" s="6" t="str">
        <f>IFERROR(VLOOKUP(D65,'Master sheet (Clientes)'!A$6:D$747,4,0)," ")</f>
        <v>A-V</v>
      </c>
      <c r="D65" s="6" t="s">
        <v>1381</v>
      </c>
      <c r="E65" s="6"/>
      <c r="F65" s="6"/>
      <c r="G65" s="6"/>
      <c r="H65" s="6" t="s">
        <v>999</v>
      </c>
      <c r="I65" s="6" t="s">
        <v>1000</v>
      </c>
      <c r="J65" s="6" t="s">
        <v>48</v>
      </c>
      <c r="K65" s="6"/>
      <c r="L65" s="6"/>
      <c r="M65" s="6" t="s">
        <v>1001</v>
      </c>
      <c r="N65" s="6"/>
      <c r="O65" s="13"/>
      <c r="P65" s="13"/>
      <c r="Q65" s="13"/>
    </row>
    <row r="66" spans="1:17" ht="47">
      <c r="A66" s="6" t="str">
        <f>IFERROR(VLOOKUP(D66,'Master sheet (Clientes)'!A$6:D$747,2,0)," ")</f>
        <v>NJ</v>
      </c>
      <c r="B66" s="6" t="str">
        <f>IFERROR(VLOOKUP(D66,'Master sheet (Clientes)'!A$6:D$747,3,0)," ")</f>
        <v>Greystar</v>
      </c>
      <c r="C66" s="6" t="str">
        <f>IFERROR(VLOOKUP(D66,'Master sheet (Clientes)'!A$6:D$747,4,0)," ")</f>
        <v>A-V</v>
      </c>
      <c r="D66" s="6" t="s">
        <v>321</v>
      </c>
      <c r="E66" s="6">
        <v>434</v>
      </c>
      <c r="F66" s="6" t="s">
        <v>45</v>
      </c>
      <c r="G66" s="6" t="s">
        <v>46</v>
      </c>
      <c r="H66" s="6" t="s">
        <v>926</v>
      </c>
      <c r="I66" s="6" t="s">
        <v>1848</v>
      </c>
      <c r="J66" s="6" t="s">
        <v>855</v>
      </c>
      <c r="K66" s="6"/>
      <c r="L66" s="6"/>
      <c r="M66" s="6"/>
      <c r="N66" s="6"/>
    </row>
    <row r="67" spans="1:17" ht="70.5">
      <c r="A67" s="6" t="str">
        <f>IFERROR(VLOOKUP(D67,'Master sheet (Clientes)'!A$6:D$747,2,0)," ")</f>
        <v>NJ</v>
      </c>
      <c r="B67" s="6" t="str">
        <f>IFERROR(VLOOKUP(D67,'Master sheet (Clientes)'!A$6:D$747,3,0)," ")</f>
        <v>Vivmark Residential</v>
      </c>
      <c r="C67" s="6" t="str">
        <f>IFERROR(VLOOKUP(D67,'Master sheet (Clientes)'!A$6:D$747,4,0)," ")</f>
        <v>A-V</v>
      </c>
      <c r="D67" s="6" t="s">
        <v>290</v>
      </c>
      <c r="E67" s="6" t="s">
        <v>1431</v>
      </c>
      <c r="F67" s="6" t="s">
        <v>45</v>
      </c>
      <c r="G67" s="6" t="s">
        <v>853</v>
      </c>
      <c r="H67" s="6" t="s">
        <v>860</v>
      </c>
      <c r="I67" s="6" t="s">
        <v>1090</v>
      </c>
      <c r="J67" s="6" t="s">
        <v>861</v>
      </c>
      <c r="K67" s="6"/>
      <c r="L67" s="6"/>
      <c r="M67" s="6" t="s">
        <v>1433</v>
      </c>
      <c r="N67" s="6"/>
    </row>
    <row r="68" spans="1:17" ht="70.5">
      <c r="A68" s="6" t="str">
        <f>IFERROR(VLOOKUP(D68,'Master sheet (Clientes)'!A$6:D$747,2,0)," ")</f>
        <v>NJ</v>
      </c>
      <c r="B68" s="6" t="str">
        <f>IFERROR(VLOOKUP(D68,'Master sheet (Clientes)'!A$6:D$747,3,0)," ")</f>
        <v>Vivmark Residential</v>
      </c>
      <c r="C68" s="6" t="str">
        <f>IFERROR(VLOOKUP(D68,'Master sheet (Clientes)'!A$6:D$747,4,0)," ")</f>
        <v>A-V</v>
      </c>
      <c r="D68" s="6" t="s">
        <v>286</v>
      </c>
      <c r="E68" s="6">
        <v>14010</v>
      </c>
      <c r="F68" s="6" t="s">
        <v>45</v>
      </c>
      <c r="G68" s="6" t="s">
        <v>853</v>
      </c>
      <c r="H68" s="6" t="s">
        <v>860</v>
      </c>
      <c r="I68" s="6" t="s">
        <v>1790</v>
      </c>
      <c r="J68" s="6" t="s">
        <v>1453</v>
      </c>
      <c r="K68" s="6"/>
      <c r="L68" s="6"/>
      <c r="M68" s="6"/>
      <c r="N68" s="6"/>
    </row>
    <row r="69" spans="1:17" s="1" customFormat="1">
      <c r="A69" s="3"/>
      <c r="B69" s="3"/>
      <c r="C69" s="3"/>
      <c r="D69" s="3"/>
      <c r="E69" s="3"/>
      <c r="F69" s="3"/>
      <c r="G69" s="3"/>
      <c r="H69" s="3"/>
      <c r="I69" s="3"/>
      <c r="J69" s="3"/>
    </row>
    <row r="70" spans="1:17" s="1" customFormat="1" ht="47">
      <c r="A70" s="4" t="s">
        <v>8</v>
      </c>
      <c r="B70" s="4" t="s">
        <v>9</v>
      </c>
      <c r="C70" s="4" t="s">
        <v>10</v>
      </c>
      <c r="D70" s="4" t="s">
        <v>11</v>
      </c>
      <c r="E70" s="4" t="s">
        <v>12</v>
      </c>
      <c r="F70" s="4" t="s">
        <v>13</v>
      </c>
      <c r="G70" s="38" t="s">
        <v>14</v>
      </c>
      <c r="H70" s="4" t="s">
        <v>15</v>
      </c>
      <c r="I70" s="38" t="s">
        <v>16</v>
      </c>
      <c r="J70" s="38" t="s">
        <v>17</v>
      </c>
      <c r="K70" s="38" t="s">
        <v>18</v>
      </c>
      <c r="L70" s="38" t="s">
        <v>19</v>
      </c>
      <c r="M70" s="38" t="s">
        <v>20</v>
      </c>
      <c r="N70" s="38" t="s">
        <v>21</v>
      </c>
    </row>
    <row r="71" spans="1:17" ht="47">
      <c r="A71" s="6" t="str">
        <f>IFERROR(VLOOKUP(D71,'Master sheet (Clientes)'!A$6:D$747,2,0)," ")</f>
        <v>NJ</v>
      </c>
      <c r="B71" s="6" t="str">
        <f>IFERROR(VLOOKUP(D71,'Master sheet (Clientes)'!A$6:D$747,3,0)," ")</f>
        <v>Skylight</v>
      </c>
      <c r="C71" s="6" t="str">
        <f>IFERROR(VLOOKUP(D71,'Master sheet (Clientes)'!A$6:D$747,4,0)," ")</f>
        <v>N-O</v>
      </c>
      <c r="D71" s="6" t="s">
        <v>726</v>
      </c>
      <c r="E71" s="6">
        <v>202</v>
      </c>
      <c r="F71" s="6" t="s">
        <v>1441</v>
      </c>
      <c r="G71" s="6" t="s">
        <v>853</v>
      </c>
      <c r="H71" s="6" t="s">
        <v>1454</v>
      </c>
      <c r="I71" s="6" t="s">
        <v>1789</v>
      </c>
      <c r="J71" s="6" t="s">
        <v>855</v>
      </c>
      <c r="K71" s="6"/>
      <c r="L71" s="6"/>
      <c r="M71" s="6"/>
      <c r="N71" s="6"/>
    </row>
    <row r="72" spans="1:17" ht="47">
      <c r="A72" s="6" t="str">
        <f>IFERROR(VLOOKUP(D72,'Master sheet (Clientes)'!A$6:D$747,2,0)," ")</f>
        <v>NJ</v>
      </c>
      <c r="B72" s="6" t="str">
        <f>IFERROR(VLOOKUP(D72,'Master sheet (Clientes)'!A$6:D$747,3,0)," ")</f>
        <v>Skylight</v>
      </c>
      <c r="C72" s="6" t="str">
        <f>IFERROR(VLOOKUP(D72,'Master sheet (Clientes)'!A$6:D$747,4,0)," ")</f>
        <v>N-O</v>
      </c>
      <c r="D72" s="6" t="s">
        <v>726</v>
      </c>
      <c r="E72" s="6">
        <v>410</v>
      </c>
      <c r="F72" s="6" t="s">
        <v>874</v>
      </c>
      <c r="G72" s="6" t="s">
        <v>853</v>
      </c>
      <c r="H72" s="6" t="s">
        <v>1454</v>
      </c>
      <c r="I72" s="6" t="s">
        <v>1789</v>
      </c>
      <c r="J72" s="6" t="s">
        <v>855</v>
      </c>
      <c r="K72" s="6"/>
      <c r="L72" s="6"/>
      <c r="M72" s="6"/>
      <c r="N72" s="6"/>
    </row>
    <row r="73" spans="1:17" s="1" customFormat="1">
      <c r="A73" s="3"/>
      <c r="B73" s="3"/>
      <c r="C73" s="3"/>
      <c r="D73" s="3"/>
      <c r="E73" s="3"/>
      <c r="F73" s="3"/>
      <c r="G73" s="3"/>
      <c r="H73" s="3"/>
      <c r="I73" s="3"/>
      <c r="J73" s="3"/>
    </row>
    <row r="74" spans="1:17" s="1" customFormat="1" ht="47">
      <c r="A74" s="4" t="s">
        <v>8</v>
      </c>
      <c r="B74" s="4" t="s">
        <v>9</v>
      </c>
      <c r="C74" s="4" t="s">
        <v>10</v>
      </c>
      <c r="D74" s="4" t="s">
        <v>11</v>
      </c>
      <c r="E74" s="4" t="s">
        <v>12</v>
      </c>
      <c r="F74" s="4" t="s">
        <v>13</v>
      </c>
      <c r="G74" s="38" t="s">
        <v>14</v>
      </c>
      <c r="H74" s="4" t="s">
        <v>15</v>
      </c>
      <c r="I74" s="38" t="s">
        <v>16</v>
      </c>
      <c r="J74" s="38" t="s">
        <v>17</v>
      </c>
      <c r="K74" s="38" t="s">
        <v>18</v>
      </c>
      <c r="L74" s="38" t="s">
        <v>19</v>
      </c>
      <c r="M74" s="38" t="s">
        <v>20</v>
      </c>
      <c r="N74" s="38" t="s">
        <v>21</v>
      </c>
    </row>
    <row r="75" spans="1:17" s="9" customFormat="1" ht="70.5">
      <c r="A75" s="6" t="str">
        <f>IFERROR(VLOOKUP(D75,'Master sheet (Clientes)'!A$6:D$747,2,0)," ")</f>
        <v>NJ</v>
      </c>
      <c r="B75" s="6" t="str">
        <f>IFERROR(VLOOKUP(D75,'Master sheet (Clientes)'!A$6:D$747,3,0)," ")</f>
        <v>Vivmark Residential</v>
      </c>
      <c r="C75" s="6" t="str">
        <f>IFERROR(VLOOKUP(D75,'Master sheet (Clientes)'!A$6:D$747,4,0)," ")</f>
        <v>N-O</v>
      </c>
      <c r="D75" s="6" t="s">
        <v>83</v>
      </c>
      <c r="E75" s="6">
        <v>5335</v>
      </c>
      <c r="F75" s="6"/>
      <c r="G75" s="6" t="s">
        <v>917</v>
      </c>
      <c r="H75" s="6" t="s">
        <v>1586</v>
      </c>
      <c r="I75" s="6" t="s">
        <v>1849</v>
      </c>
      <c r="J75" s="6" t="s">
        <v>855</v>
      </c>
      <c r="K75" s="6"/>
      <c r="L75" s="6"/>
      <c r="M75" s="6"/>
      <c r="N75" s="6"/>
      <c r="O75" s="13"/>
      <c r="P75" s="13"/>
      <c r="Q75" s="13"/>
    </row>
    <row r="76" spans="1:17" s="9" customFormat="1" ht="70.5">
      <c r="A76" s="6" t="str">
        <f>IFERROR(VLOOKUP(D76,'Master sheet (Clientes)'!A$6:D$747,2,0)," ")</f>
        <v>NJ</v>
      </c>
      <c r="B76" s="6" t="str">
        <f>IFERROR(VLOOKUP(D76,'Master sheet (Clientes)'!A$6:D$747,3,0)," ")</f>
        <v>Vivmark Residential</v>
      </c>
      <c r="C76" s="6" t="str">
        <f>IFERROR(VLOOKUP(D76,'Master sheet (Clientes)'!A$6:D$747,4,0)," ")</f>
        <v>N-O</v>
      </c>
      <c r="D76" s="6" t="s">
        <v>83</v>
      </c>
      <c r="E76" s="6">
        <v>5235</v>
      </c>
      <c r="F76" s="6"/>
      <c r="G76" s="6" t="s">
        <v>917</v>
      </c>
      <c r="H76" s="6" t="s">
        <v>1586</v>
      </c>
      <c r="I76" s="6" t="s">
        <v>1849</v>
      </c>
      <c r="J76" s="6" t="s">
        <v>855</v>
      </c>
      <c r="K76" s="6"/>
      <c r="L76" s="6"/>
      <c r="M76" s="6"/>
      <c r="N76" s="6"/>
      <c r="O76" s="13"/>
      <c r="P76" s="13"/>
      <c r="Q76" s="13"/>
    </row>
    <row r="77" spans="1:17">
      <c r="A77" s="1"/>
      <c r="B77" s="1"/>
      <c r="C77" s="1"/>
      <c r="D77" s="1"/>
      <c r="E77" s="1"/>
      <c r="F77" s="1"/>
      <c r="G77" s="1"/>
      <c r="H77" s="1"/>
      <c r="I77" s="1"/>
      <c r="J77" s="1"/>
      <c r="K77" s="1"/>
      <c r="L77" s="1"/>
      <c r="M77" s="1"/>
      <c r="N77" s="1"/>
    </row>
    <row r="78" spans="1:17" s="1" customFormat="1" ht="47">
      <c r="A78" s="4" t="s">
        <v>8</v>
      </c>
      <c r="B78" s="4" t="s">
        <v>9</v>
      </c>
      <c r="C78" s="4" t="s">
        <v>10</v>
      </c>
      <c r="D78" s="4" t="s">
        <v>11</v>
      </c>
      <c r="E78" s="4" t="s">
        <v>12</v>
      </c>
      <c r="F78" s="4" t="s">
        <v>13</v>
      </c>
      <c r="G78" s="38" t="s">
        <v>14</v>
      </c>
      <c r="H78" s="4" t="s">
        <v>15</v>
      </c>
      <c r="I78" s="38" t="s">
        <v>16</v>
      </c>
      <c r="J78" s="38" t="s">
        <v>17</v>
      </c>
      <c r="K78" s="38" t="s">
        <v>18</v>
      </c>
      <c r="L78" s="38" t="s">
        <v>19</v>
      </c>
      <c r="M78" s="38" t="s">
        <v>20</v>
      </c>
      <c r="N78" s="38" t="s">
        <v>21</v>
      </c>
    </row>
    <row r="79" spans="1:17" ht="70.5">
      <c r="A79" s="6" t="str">
        <f>IFERROR(VLOOKUP(D79,'Master sheet (Clientes)'!A$6:D$747,2,0)," ")</f>
        <v>NJ</v>
      </c>
      <c r="B79" s="6" t="str">
        <f>IFERROR(VLOOKUP(D79,'Master sheet (Clientes)'!A$6:D$747,3,0)," ")</f>
        <v>Bozzuto</v>
      </c>
      <c r="C79" s="6" t="str">
        <f>IFERROR(VLOOKUP(D79,'Master sheet (Clientes)'!A$6:D$747,4,0)," ")</f>
        <v>N-O</v>
      </c>
      <c r="D79" s="6" t="s">
        <v>187</v>
      </c>
      <c r="E79" s="6">
        <v>501</v>
      </c>
      <c r="F79" s="6"/>
      <c r="G79" s="6" t="s">
        <v>853</v>
      </c>
      <c r="H79" s="6" t="s">
        <v>1751</v>
      </c>
      <c r="I79" s="6" t="s">
        <v>960</v>
      </c>
      <c r="J79" s="6" t="s">
        <v>48</v>
      </c>
      <c r="K79" s="6"/>
      <c r="L79" s="6"/>
      <c r="M79" s="6"/>
      <c r="N79" s="6"/>
    </row>
    <row r="80" spans="1:17" ht="70.5">
      <c r="A80" s="6" t="str">
        <f>IFERROR(VLOOKUP(D80,'Master sheet (Clientes)'!A$6:D$747,2,0)," ")</f>
        <v>NJ</v>
      </c>
      <c r="B80" s="6" t="str">
        <f>IFERROR(VLOOKUP(D80,'Master sheet (Clientes)'!A$6:D$747,3,0)," ")</f>
        <v>Bozzuto</v>
      </c>
      <c r="C80" s="6" t="str">
        <f>IFERROR(VLOOKUP(D80,'Master sheet (Clientes)'!A$6:D$747,4,0)," ")</f>
        <v>N-O</v>
      </c>
      <c r="D80" s="6" t="s">
        <v>186</v>
      </c>
      <c r="E80" s="6" t="s">
        <v>936</v>
      </c>
      <c r="F80" s="6"/>
      <c r="G80" s="6" t="s">
        <v>853</v>
      </c>
      <c r="H80" s="6" t="s">
        <v>1751</v>
      </c>
      <c r="I80" s="6" t="s">
        <v>960</v>
      </c>
      <c r="J80" s="6" t="s">
        <v>48</v>
      </c>
      <c r="K80" s="6"/>
      <c r="L80" s="6"/>
      <c r="M80" s="6"/>
      <c r="N80" s="6"/>
    </row>
    <row r="81" spans="1:20">
      <c r="A81" s="1"/>
      <c r="B81" s="1"/>
      <c r="C81" s="1"/>
      <c r="D81" s="1"/>
      <c r="E81" s="1"/>
      <c r="F81" s="1"/>
      <c r="G81" s="1"/>
      <c r="H81" s="1"/>
      <c r="I81" s="1"/>
      <c r="J81" s="1"/>
      <c r="K81" s="1"/>
      <c r="L81" s="1"/>
      <c r="M81" s="1"/>
      <c r="N81" s="1"/>
    </row>
    <row r="82" spans="1:20" s="1" customFormat="1" ht="47">
      <c r="A82" s="4" t="s">
        <v>8</v>
      </c>
      <c r="B82" s="4" t="s">
        <v>9</v>
      </c>
      <c r="C82" s="4" t="s">
        <v>10</v>
      </c>
      <c r="D82" s="4" t="s">
        <v>11</v>
      </c>
      <c r="E82" s="4" t="s">
        <v>12</v>
      </c>
      <c r="F82" s="4" t="s">
        <v>13</v>
      </c>
      <c r="G82" s="38" t="s">
        <v>14</v>
      </c>
      <c r="H82" s="4" t="s">
        <v>15</v>
      </c>
      <c r="I82" s="38" t="s">
        <v>16</v>
      </c>
      <c r="J82" s="38" t="s">
        <v>17</v>
      </c>
      <c r="K82" s="38" t="s">
        <v>18</v>
      </c>
      <c r="L82" s="38" t="s">
        <v>19</v>
      </c>
      <c r="M82" s="38" t="s">
        <v>20</v>
      </c>
      <c r="N82" s="38" t="s">
        <v>21</v>
      </c>
    </row>
    <row r="83" spans="1:20" ht="47">
      <c r="A83" s="6" t="str">
        <f>IFERROR(VLOOKUP(D83,'Master sheet (Clientes)'!A$6:D$747,2,0)," ")</f>
        <v>NJ</v>
      </c>
      <c r="B83" s="6" t="str">
        <f>IFERROR(VLOOKUP(D83,'Master sheet (Clientes)'!A$6:D$747,3,0)," ")</f>
        <v>Bozzuto</v>
      </c>
      <c r="C83" s="6" t="str">
        <f>IFERROR(VLOOKUP(D83,'Master sheet (Clientes)'!A$6:D$747,4,0)," ")</f>
        <v>N-O</v>
      </c>
      <c r="D83" s="6" t="s">
        <v>44</v>
      </c>
      <c r="E83" s="6">
        <v>564</v>
      </c>
      <c r="F83" s="6" t="s">
        <v>874</v>
      </c>
      <c r="G83" s="6" t="s">
        <v>853</v>
      </c>
      <c r="H83" s="6" t="s">
        <v>857</v>
      </c>
      <c r="I83" s="6" t="s">
        <v>1843</v>
      </c>
      <c r="J83" s="6" t="s">
        <v>855</v>
      </c>
      <c r="K83" s="6"/>
      <c r="L83" s="6"/>
      <c r="M83" s="6"/>
      <c r="N83" s="6"/>
    </row>
    <row r="84" spans="1:20" ht="47">
      <c r="A84" s="6" t="str">
        <f>IFERROR(VLOOKUP(D84,'Master sheet (Clientes)'!A$6:D$747,2,0)," ")</f>
        <v>NJ</v>
      </c>
      <c r="B84" s="6" t="str">
        <f>IFERROR(VLOOKUP(D84,'Master sheet (Clientes)'!A$6:D$747,3,0)," ")</f>
        <v>Bozzuto</v>
      </c>
      <c r="C84" s="6" t="str">
        <f>IFERROR(VLOOKUP(D84,'Master sheet (Clientes)'!A$6:D$747,4,0)," ")</f>
        <v>N-O</v>
      </c>
      <c r="D84" s="6" t="s">
        <v>44</v>
      </c>
      <c r="E84" s="6" t="s">
        <v>1507</v>
      </c>
      <c r="F84" s="6" t="s">
        <v>45</v>
      </c>
      <c r="G84" s="6" t="s">
        <v>853</v>
      </c>
      <c r="H84" s="6" t="s">
        <v>857</v>
      </c>
      <c r="I84" s="6" t="s">
        <v>1843</v>
      </c>
      <c r="J84" s="6" t="s">
        <v>855</v>
      </c>
      <c r="K84" s="6"/>
      <c r="L84" s="6"/>
      <c r="M84" s="6"/>
      <c r="N84" s="6"/>
    </row>
    <row r="85" spans="1:20" ht="47">
      <c r="A85" s="6" t="str">
        <f>IFERROR(VLOOKUP(D85,'Master sheet (Clientes)'!A$6:D$747,2,0)," ")</f>
        <v>NJ</v>
      </c>
      <c r="B85" s="6" t="str">
        <f>IFERROR(VLOOKUP(D85,'Master sheet (Clientes)'!A$6:D$747,3,0)," ")</f>
        <v>Bozzuto</v>
      </c>
      <c r="C85" s="6" t="str">
        <f>IFERROR(VLOOKUP(D85,'Master sheet (Clientes)'!A$6:D$747,4,0)," ")</f>
        <v>N-O</v>
      </c>
      <c r="D85" s="6" t="s">
        <v>44</v>
      </c>
      <c r="E85" s="6">
        <v>205</v>
      </c>
      <c r="F85" s="6" t="s">
        <v>874</v>
      </c>
      <c r="G85" s="6" t="s">
        <v>853</v>
      </c>
      <c r="H85" s="6" t="s">
        <v>857</v>
      </c>
      <c r="I85" s="6" t="s">
        <v>1843</v>
      </c>
      <c r="J85" s="6" t="s">
        <v>855</v>
      </c>
      <c r="K85" s="6"/>
      <c r="L85" s="6"/>
      <c r="M85" s="6"/>
      <c r="N85" s="6"/>
    </row>
    <row r="86" spans="1:20">
      <c r="A86" s="1"/>
      <c r="B86" s="1"/>
      <c r="C86" s="1"/>
      <c r="D86" s="1"/>
      <c r="E86" s="1"/>
      <c r="F86" s="1"/>
      <c r="G86" s="1"/>
      <c r="H86" s="1"/>
      <c r="I86" s="1"/>
      <c r="J86" s="1"/>
      <c r="K86" s="1"/>
      <c r="L86" s="1"/>
      <c r="M86" s="1"/>
      <c r="N86" s="1"/>
    </row>
    <row r="87" spans="1:20" s="1" customFormat="1" ht="47">
      <c r="A87" s="4" t="s">
        <v>8</v>
      </c>
      <c r="B87" s="4" t="s">
        <v>9</v>
      </c>
      <c r="C87" s="4" t="s">
        <v>10</v>
      </c>
      <c r="D87" s="4" t="s">
        <v>11</v>
      </c>
      <c r="E87" s="4" t="s">
        <v>12</v>
      </c>
      <c r="F87" s="4" t="s">
        <v>13</v>
      </c>
      <c r="G87" s="38" t="s">
        <v>14</v>
      </c>
      <c r="H87" s="4" t="s">
        <v>15</v>
      </c>
      <c r="I87" s="38" t="s">
        <v>16</v>
      </c>
      <c r="J87" s="38" t="s">
        <v>17</v>
      </c>
      <c r="K87" s="38" t="s">
        <v>18</v>
      </c>
      <c r="L87" s="38" t="s">
        <v>19</v>
      </c>
      <c r="M87" s="38" t="s">
        <v>20</v>
      </c>
      <c r="N87" s="38" t="s">
        <v>21</v>
      </c>
    </row>
    <row r="88" spans="1:20" s="9" customFormat="1" ht="70.5">
      <c r="A88" s="6" t="str">
        <f>IFERROR(VLOOKUP(D88,'Master sheet (Clientes)'!A$6:D$747,2,0)," ")</f>
        <v>NJ</v>
      </c>
      <c r="B88" s="6" t="str">
        <f>IFERROR(VLOOKUP(D88,'Master sheet (Clientes)'!A$6:D$747,3,0)," ")</f>
        <v>Vivmark Residential</v>
      </c>
      <c r="C88" s="6" t="str">
        <f>IFERROR(VLOOKUP(D88,'Master sheet (Clientes)'!A$6:D$747,4,0)," ")</f>
        <v>A-V</v>
      </c>
      <c r="D88" s="6" t="s">
        <v>286</v>
      </c>
      <c r="E88" s="6">
        <v>4104</v>
      </c>
      <c r="F88" s="6" t="s">
        <v>946</v>
      </c>
      <c r="G88" s="6" t="s">
        <v>853</v>
      </c>
      <c r="H88" s="6" t="s">
        <v>1857</v>
      </c>
      <c r="I88" s="6" t="s">
        <v>901</v>
      </c>
      <c r="J88" s="6" t="s">
        <v>1158</v>
      </c>
      <c r="K88" s="6"/>
      <c r="L88" s="6"/>
      <c r="M88" s="6"/>
      <c r="N88" s="6"/>
      <c r="O88" s="13"/>
      <c r="P88" s="13"/>
      <c r="Q88" s="13"/>
    </row>
    <row r="89" spans="1:20" ht="47">
      <c r="A89" s="6" t="str">
        <f>IFERROR(VLOOKUP(D89,'Master sheet (Clientes)'!A$6:D$747,2,0)," ")</f>
        <v>NJ</v>
      </c>
      <c r="B89" s="6" t="str">
        <f>IFERROR(VLOOKUP(D89,'Master sheet (Clientes)'!A$6:D$747,3,0)," ")</f>
        <v>Bozzuto</v>
      </c>
      <c r="C89" s="6" t="str">
        <f>IFERROR(VLOOKUP(D89,'Master sheet (Clientes)'!A$6:D$747,4,0)," ")</f>
        <v>N-O</v>
      </c>
      <c r="D89" s="6" t="s">
        <v>175</v>
      </c>
      <c r="E89" s="6">
        <v>1406</v>
      </c>
      <c r="F89" s="6" t="s">
        <v>854</v>
      </c>
      <c r="G89" s="6" t="s">
        <v>46</v>
      </c>
      <c r="H89" s="6" t="s">
        <v>1418</v>
      </c>
      <c r="I89" s="6" t="s">
        <v>901</v>
      </c>
      <c r="J89" s="6"/>
      <c r="K89" s="6"/>
      <c r="L89" s="6"/>
      <c r="M89" s="6"/>
      <c r="N89" s="6"/>
    </row>
    <row r="90" spans="1:20" ht="70.5">
      <c r="A90" s="6" t="str">
        <f>IFERROR(VLOOKUP(D90,'Master sheet (Clientes)'!A$6:D$747,2,0)," ")</f>
        <v>NJ</v>
      </c>
      <c r="B90" s="6" t="str">
        <f>IFERROR(VLOOKUP(D90,'Master sheet (Clientes)'!A$6:D$747,3,0)," ")</f>
        <v>Vivmark Residential</v>
      </c>
      <c r="C90" s="6" t="str">
        <f>IFERROR(VLOOKUP(D90,'Master sheet (Clientes)'!A$6:D$747,4,0)," ")</f>
        <v>A-V</v>
      </c>
      <c r="D90" s="6" t="s">
        <v>286</v>
      </c>
      <c r="E90" s="6">
        <v>3111</v>
      </c>
      <c r="F90" s="6" t="s">
        <v>874</v>
      </c>
      <c r="G90" s="6" t="s">
        <v>853</v>
      </c>
      <c r="H90" s="6" t="s">
        <v>857</v>
      </c>
      <c r="I90" s="6" t="s">
        <v>901</v>
      </c>
      <c r="J90" s="6" t="s">
        <v>1154</v>
      </c>
      <c r="K90" s="6"/>
      <c r="L90" s="6"/>
      <c r="M90" s="6"/>
      <c r="N90" s="6"/>
    </row>
    <row r="91" spans="1:20" ht="47">
      <c r="A91" s="6" t="str">
        <f>IFERROR(VLOOKUP(D91,'Master sheet (Clientes)'!A$6:D$747,2,0)," ")</f>
        <v>NJ</v>
      </c>
      <c r="B91" s="6" t="str">
        <f>IFERROR(VLOOKUP(D91,'Master sheet (Clientes)'!A$6:D$747,3,0)," ")</f>
        <v>Two Coast Living</v>
      </c>
      <c r="C91" s="6" t="str">
        <f>IFERROR(VLOOKUP(D91,'Master sheet (Clientes)'!A$6:D$747,4,0)," ")</f>
        <v>N-O</v>
      </c>
      <c r="D91" s="6" t="s">
        <v>761</v>
      </c>
      <c r="E91" s="6">
        <v>609</v>
      </c>
      <c r="F91" s="6" t="s">
        <v>874</v>
      </c>
      <c r="G91" s="6" t="s">
        <v>853</v>
      </c>
      <c r="H91" s="6" t="s">
        <v>1418</v>
      </c>
      <c r="I91" s="6" t="s">
        <v>901</v>
      </c>
      <c r="J91" s="6" t="s">
        <v>1761</v>
      </c>
      <c r="K91" s="6"/>
      <c r="L91" s="6"/>
      <c r="M91" s="6"/>
      <c r="N91" s="6"/>
    </row>
    <row r="92" spans="1:20" s="52" customFormat="1">
      <c r="A92" s="6" t="str">
        <f>IFERROR(VLOOKUP(D92,'Master sheet (Clientes)'!A$6:D$747,2,0)," ")</f>
        <v>NJ</v>
      </c>
      <c r="B92" s="6" t="str">
        <f>IFERROR(VLOOKUP(D92,'Master sheet (Clientes)'!A$6:D$747,3,0)," ")</f>
        <v>Skylight</v>
      </c>
      <c r="C92" s="6" t="str">
        <f>IFERROR(VLOOKUP(D92,'Master sheet (Clientes)'!A$6:D$747,4,0)," ")</f>
        <v>N-O</v>
      </c>
      <c r="D92" s="6" t="s">
        <v>715</v>
      </c>
      <c r="E92" s="6">
        <v>8</v>
      </c>
      <c r="F92" s="6" t="s">
        <v>854</v>
      </c>
      <c r="G92" s="6" t="s">
        <v>853</v>
      </c>
      <c r="H92" s="6" t="s">
        <v>1667</v>
      </c>
      <c r="I92" s="6" t="s">
        <v>901</v>
      </c>
      <c r="J92" s="6" t="s">
        <v>48</v>
      </c>
      <c r="K92" s="6"/>
      <c r="L92" s="6"/>
      <c r="M92" s="6"/>
      <c r="N92" s="6"/>
      <c r="O92" s="13"/>
      <c r="P92" s="13"/>
      <c r="Q92" s="13"/>
      <c r="R92" s="51"/>
      <c r="S92" s="51"/>
      <c r="T92" s="51"/>
    </row>
    <row r="93" spans="1:20">
      <c r="A93" s="1"/>
      <c r="B93" s="1"/>
      <c r="C93" s="1"/>
      <c r="D93" s="1"/>
      <c r="E93" s="1"/>
      <c r="F93" s="1"/>
      <c r="G93" s="1"/>
      <c r="H93" s="1"/>
      <c r="I93" s="1"/>
      <c r="J93" s="1"/>
      <c r="K93" s="1"/>
      <c r="L93" s="1"/>
      <c r="M93" s="1"/>
      <c r="N93" s="1"/>
    </row>
    <row r="94" spans="1:20" s="1" customFormat="1" ht="47">
      <c r="A94" s="4" t="s">
        <v>8</v>
      </c>
      <c r="B94" s="4" t="s">
        <v>9</v>
      </c>
      <c r="C94" s="4" t="s">
        <v>10</v>
      </c>
      <c r="D94" s="4" t="s">
        <v>11</v>
      </c>
      <c r="E94" s="4" t="s">
        <v>12</v>
      </c>
      <c r="F94" s="4" t="s">
        <v>13</v>
      </c>
      <c r="G94" s="38" t="s">
        <v>14</v>
      </c>
      <c r="H94" s="4" t="s">
        <v>15</v>
      </c>
      <c r="I94" s="38" t="s">
        <v>16</v>
      </c>
      <c r="J94" s="38" t="s">
        <v>17</v>
      </c>
      <c r="K94" s="38" t="s">
        <v>18</v>
      </c>
      <c r="L94" s="38" t="s">
        <v>19</v>
      </c>
      <c r="M94" s="38" t="s">
        <v>20</v>
      </c>
      <c r="N94" s="38" t="s">
        <v>21</v>
      </c>
    </row>
    <row r="95" spans="1:20" ht="47">
      <c r="A95" s="6" t="str">
        <f>IFERROR(VLOOKUP(D95,'Master sheet (Clientes)'!A$6:D$747,2,0)," ")</f>
        <v>NJ</v>
      </c>
      <c r="B95" s="6" t="str">
        <f>IFERROR(VLOOKUP(D95,'Master sheet (Clientes)'!A$6:D$747,3,0)," ")</f>
        <v>Skylight</v>
      </c>
      <c r="C95" s="6" t="str">
        <f>IFERROR(VLOOKUP(D95,'Master sheet (Clientes)'!A$6:D$747,4,0)," ")</f>
        <v>N-O</v>
      </c>
      <c r="D95" s="6" t="s">
        <v>726</v>
      </c>
      <c r="E95" s="6">
        <v>202</v>
      </c>
      <c r="F95" s="6" t="s">
        <v>1441</v>
      </c>
      <c r="G95" s="6" t="s">
        <v>853</v>
      </c>
      <c r="H95" s="6" t="s">
        <v>1442</v>
      </c>
      <c r="I95" s="6" t="s">
        <v>839</v>
      </c>
      <c r="J95" s="6" t="s">
        <v>855</v>
      </c>
      <c r="K95" s="6"/>
      <c r="L95" s="6"/>
      <c r="M95" s="6"/>
      <c r="N95" s="6"/>
    </row>
    <row r="96" spans="1:20" ht="47">
      <c r="A96" s="6" t="str">
        <f>IFERROR(VLOOKUP(D96,'Master sheet (Clientes)'!A$6:D$747,2,0)," ")</f>
        <v>NJ</v>
      </c>
      <c r="B96" s="6" t="str">
        <f>IFERROR(VLOOKUP(D96,'Master sheet (Clientes)'!A$6:D$747,3,0)," ")</f>
        <v>Skylight</v>
      </c>
      <c r="C96" s="6" t="str">
        <f>IFERROR(VLOOKUP(D96,'Master sheet (Clientes)'!A$6:D$747,4,0)," ")</f>
        <v>N-O</v>
      </c>
      <c r="D96" s="6" t="s">
        <v>726</v>
      </c>
      <c r="E96" s="6">
        <v>410</v>
      </c>
      <c r="F96" s="6" t="s">
        <v>874</v>
      </c>
      <c r="G96" s="6" t="s">
        <v>853</v>
      </c>
      <c r="H96" s="6" t="s">
        <v>1442</v>
      </c>
      <c r="I96" s="6" t="s">
        <v>839</v>
      </c>
      <c r="J96" s="6" t="s">
        <v>855</v>
      </c>
      <c r="K96" s="6"/>
      <c r="L96" s="6"/>
      <c r="M96" s="6"/>
      <c r="N96" s="6"/>
    </row>
    <row r="97" spans="1:20">
      <c r="A97" s="1"/>
      <c r="B97" s="1"/>
      <c r="C97" s="1"/>
      <c r="D97" s="1"/>
      <c r="E97" s="1"/>
      <c r="F97" s="1"/>
      <c r="G97" s="1"/>
      <c r="H97" s="1"/>
      <c r="I97" s="1"/>
      <c r="J97" s="1"/>
      <c r="K97" s="1"/>
      <c r="L97" s="1"/>
      <c r="M97" s="1"/>
      <c r="N97" s="1"/>
    </row>
    <row r="98" spans="1:20" s="1" customFormat="1" ht="47">
      <c r="A98" s="4" t="s">
        <v>8</v>
      </c>
      <c r="B98" s="4" t="s">
        <v>9</v>
      </c>
      <c r="C98" s="4" t="s">
        <v>10</v>
      </c>
      <c r="D98" s="4" t="s">
        <v>11</v>
      </c>
      <c r="E98" s="4" t="s">
        <v>12</v>
      </c>
      <c r="F98" s="4" t="s">
        <v>13</v>
      </c>
      <c r="G98" s="38" t="s">
        <v>14</v>
      </c>
      <c r="H98" s="4" t="s">
        <v>15</v>
      </c>
      <c r="I98" s="38" t="s">
        <v>16</v>
      </c>
      <c r="J98" s="38" t="s">
        <v>17</v>
      </c>
      <c r="K98" s="38" t="s">
        <v>18</v>
      </c>
      <c r="L98" s="38" t="s">
        <v>19</v>
      </c>
      <c r="M98" s="38" t="s">
        <v>20</v>
      </c>
      <c r="N98" s="38" t="s">
        <v>21</v>
      </c>
    </row>
    <row r="99" spans="1:20" ht="94">
      <c r="A99" s="6" t="str">
        <f>IFERROR(VLOOKUP(D99,'Master sheet (Clientes)'!A$6:D$747,2,0)," ")</f>
        <v>NJ</v>
      </c>
      <c r="B99" s="6" t="str">
        <f>IFERROR(VLOOKUP(D99,'Master sheet (Clientes)'!A$6:D$747,3,0)," ")</f>
        <v>Bozzuto</v>
      </c>
      <c r="C99" s="6" t="str">
        <f>IFERROR(VLOOKUP(D99,'Master sheet (Clientes)'!A$6:D$747,4,0)," ")</f>
        <v>N-O</v>
      </c>
      <c r="D99" s="6" t="s">
        <v>187</v>
      </c>
      <c r="E99" s="6">
        <v>3306</v>
      </c>
      <c r="F99" s="6"/>
      <c r="G99" s="6" t="s">
        <v>837</v>
      </c>
      <c r="H99" s="6" t="s">
        <v>1883</v>
      </c>
      <c r="I99" s="6" t="s">
        <v>885</v>
      </c>
      <c r="J99" s="6" t="s">
        <v>48</v>
      </c>
      <c r="K99" s="6" t="s">
        <v>1470</v>
      </c>
      <c r="L99" s="6"/>
      <c r="M99" s="6"/>
      <c r="N99" s="6"/>
    </row>
    <row r="100" spans="1:20">
      <c r="A100" s="1"/>
      <c r="B100" s="1"/>
      <c r="C100" s="1"/>
      <c r="D100" s="1"/>
      <c r="E100" s="1"/>
      <c r="F100" s="1"/>
      <c r="G100" s="1"/>
      <c r="H100" s="1"/>
      <c r="I100" s="1"/>
      <c r="J100" s="1"/>
      <c r="K100" s="1"/>
      <c r="L100" s="1"/>
      <c r="M100" s="1"/>
      <c r="N100" s="1"/>
    </row>
    <row r="101" spans="1:20" s="1" customFormat="1" ht="47">
      <c r="A101" s="4" t="s">
        <v>8</v>
      </c>
      <c r="B101" s="4" t="s">
        <v>9</v>
      </c>
      <c r="C101" s="4" t="s">
        <v>10</v>
      </c>
      <c r="D101" s="4" t="s">
        <v>11</v>
      </c>
      <c r="E101" s="4" t="s">
        <v>12</v>
      </c>
      <c r="F101" s="4" t="s">
        <v>13</v>
      </c>
      <c r="G101" s="38" t="s">
        <v>14</v>
      </c>
      <c r="H101" s="4" t="s">
        <v>15</v>
      </c>
      <c r="I101" s="38" t="s">
        <v>16</v>
      </c>
      <c r="J101" s="38" t="s">
        <v>17</v>
      </c>
      <c r="K101" s="38" t="s">
        <v>18</v>
      </c>
      <c r="L101" s="38" t="s">
        <v>19</v>
      </c>
      <c r="M101" s="38" t="s">
        <v>20</v>
      </c>
      <c r="N101" s="38" t="s">
        <v>21</v>
      </c>
    </row>
    <row r="102" spans="1:20" s="52" customFormat="1" ht="94">
      <c r="A102" s="6" t="str">
        <f>IFERROR(VLOOKUP(D102,'Master sheet (Clientes)'!A$6:D$747,2,0)," ")</f>
        <v>NJ</v>
      </c>
      <c r="B102" s="6" t="str">
        <f>IFERROR(VLOOKUP(D102,'Master sheet (Clientes)'!A$6:D$747,3,0)," ")</f>
        <v>Skylight</v>
      </c>
      <c r="C102" s="6" t="str">
        <f>IFERROR(VLOOKUP(D102,'Master sheet (Clientes)'!A$6:D$747,4,0)," ")</f>
        <v>N-O</v>
      </c>
      <c r="D102" s="6" t="s">
        <v>726</v>
      </c>
      <c r="E102" s="6" t="s">
        <v>848</v>
      </c>
      <c r="F102" s="6"/>
      <c r="G102" s="6"/>
      <c r="H102" s="6" t="s">
        <v>1749</v>
      </c>
      <c r="I102" s="6" t="s">
        <v>850</v>
      </c>
      <c r="J102" s="6" t="s">
        <v>48</v>
      </c>
      <c r="K102" s="6" t="s">
        <v>849</v>
      </c>
      <c r="L102" s="6"/>
      <c r="M102" s="6"/>
      <c r="N102" s="6"/>
      <c r="O102" s="13"/>
      <c r="P102" s="13"/>
      <c r="Q102" s="13"/>
      <c r="R102" s="51"/>
      <c r="S102" s="51"/>
      <c r="T102" s="51"/>
    </row>
    <row r="103" spans="1:20">
      <c r="A103" s="1"/>
      <c r="B103" s="1"/>
      <c r="C103" s="1"/>
      <c r="D103" s="1"/>
      <c r="E103" s="1"/>
      <c r="F103" s="1"/>
      <c r="G103" s="1"/>
      <c r="H103" s="1"/>
      <c r="I103" s="1"/>
      <c r="J103" s="1"/>
      <c r="K103" s="1"/>
      <c r="L103" s="1"/>
      <c r="M103" s="1"/>
      <c r="N103" s="1"/>
    </row>
    <row r="104" spans="1:20" ht="47">
      <c r="A104" s="4" t="s">
        <v>8</v>
      </c>
      <c r="B104" s="4" t="s">
        <v>9</v>
      </c>
      <c r="C104" s="4" t="s">
        <v>10</v>
      </c>
      <c r="D104" s="4" t="s">
        <v>11</v>
      </c>
      <c r="E104" s="4" t="s">
        <v>12</v>
      </c>
      <c r="F104" s="4" t="s">
        <v>13</v>
      </c>
      <c r="G104" s="38" t="s">
        <v>14</v>
      </c>
      <c r="H104" s="4" t="s">
        <v>22</v>
      </c>
      <c r="I104" s="38" t="s">
        <v>23</v>
      </c>
      <c r="J104" s="38" t="s">
        <v>17</v>
      </c>
      <c r="K104" s="38" t="s">
        <v>18</v>
      </c>
      <c r="L104" s="38" t="s">
        <v>19</v>
      </c>
      <c r="M104" s="38" t="s">
        <v>20</v>
      </c>
      <c r="N104" s="38" t="s">
        <v>21</v>
      </c>
    </row>
    <row r="105" spans="1:20">
      <c r="A105" s="21" t="str">
        <f>IFERROR(VLOOKUP(D105,'Master sheet (Clientes)'!A$6:D$747,2,0)," ")</f>
        <v xml:space="preserve"> </v>
      </c>
      <c r="B105" s="21" t="str">
        <f>IFERROR(VLOOKUP(D105,'Master sheet (Clientes)'!A$6:D$747,3,0)," ")</f>
        <v xml:space="preserve"> </v>
      </c>
      <c r="C105" s="21" t="str">
        <f>IFERROR(VLOOKUP(D105,'Master sheet (Clientes)'!A$6:D$747,4,0)," ")</f>
        <v xml:space="preserve"> </v>
      </c>
      <c r="D105" s="21"/>
      <c r="E105" s="53"/>
      <c r="F105" s="21"/>
      <c r="G105" s="53"/>
      <c r="H105" s="21"/>
      <c r="I105" s="53"/>
      <c r="J105" s="21"/>
      <c r="K105" s="21"/>
      <c r="L105" s="21"/>
      <c r="M105" s="21"/>
      <c r="N105" s="21"/>
    </row>
    <row r="106" spans="1:20">
      <c r="A106" s="13"/>
      <c r="B106" s="13"/>
      <c r="C106" s="13"/>
      <c r="D106" s="13"/>
      <c r="E106" s="13"/>
      <c r="F106" s="13"/>
      <c r="G106" s="13"/>
      <c r="H106" s="13"/>
      <c r="I106" s="13"/>
      <c r="J106" s="13"/>
      <c r="K106" s="1"/>
      <c r="L106" s="1"/>
      <c r="M106" s="1"/>
      <c r="N106" s="1"/>
    </row>
    <row r="107" spans="1:20" ht="26">
      <c r="A107" s="33"/>
      <c r="B107" s="33"/>
      <c r="C107" s="33"/>
      <c r="D107" s="127" t="s">
        <v>26</v>
      </c>
      <c r="E107" s="127"/>
      <c r="F107" s="127"/>
      <c r="G107" s="127"/>
      <c r="H107" s="127"/>
      <c r="I107" s="127"/>
      <c r="J107" s="127"/>
      <c r="K107" s="127"/>
      <c r="L107" s="127"/>
      <c r="M107" s="16"/>
      <c r="N107" s="16"/>
    </row>
    <row r="108" spans="1:20" s="5" customFormat="1" ht="26">
      <c r="A108" s="43"/>
      <c r="B108" s="43"/>
      <c r="C108" s="43"/>
      <c r="D108" s="128" t="s">
        <v>27</v>
      </c>
      <c r="E108" s="128"/>
      <c r="F108" s="128"/>
      <c r="G108" s="128"/>
      <c r="H108" s="128"/>
      <c r="I108" s="128"/>
      <c r="J108" s="128"/>
      <c r="K108" s="128"/>
      <c r="L108" s="128"/>
      <c r="M108" s="44"/>
      <c r="N108" s="44"/>
      <c r="O108" s="35"/>
      <c r="P108" s="35"/>
      <c r="Q108" s="35"/>
    </row>
    <row r="109" spans="1:20" s="1" customFormat="1">
      <c r="A109" s="3"/>
      <c r="B109" s="3"/>
      <c r="C109" s="3"/>
      <c r="D109" s="3"/>
      <c r="E109" s="3"/>
      <c r="F109" s="3"/>
      <c r="G109" s="3"/>
      <c r="H109" s="3"/>
      <c r="I109" s="3"/>
      <c r="J109" s="3"/>
    </row>
    <row r="110" spans="1:20" s="1" customFormat="1" ht="47">
      <c r="A110" s="4" t="s">
        <v>8</v>
      </c>
      <c r="B110" s="4" t="s">
        <v>9</v>
      </c>
      <c r="C110" s="4" t="s">
        <v>10</v>
      </c>
      <c r="D110" s="4" t="s">
        <v>11</v>
      </c>
      <c r="E110" s="4" t="s">
        <v>12</v>
      </c>
      <c r="F110" s="4" t="s">
        <v>13</v>
      </c>
      <c r="G110" s="38" t="s">
        <v>14</v>
      </c>
      <c r="H110" s="4" t="s">
        <v>15</v>
      </c>
      <c r="I110" s="38" t="s">
        <v>16</v>
      </c>
      <c r="J110" s="38" t="s">
        <v>17</v>
      </c>
      <c r="K110" s="38" t="s">
        <v>18</v>
      </c>
      <c r="L110" s="38" t="s">
        <v>19</v>
      </c>
      <c r="M110" s="38" t="s">
        <v>20</v>
      </c>
      <c r="N110" s="38" t="s">
        <v>21</v>
      </c>
    </row>
    <row r="111" spans="1:20" s="9" customFormat="1" ht="211.5">
      <c r="A111" s="6" t="str">
        <f>IFERROR(VLOOKUP(D111,'Master sheet (Clientes)'!A$6:D$747,2,0)," ")</f>
        <v>NJ</v>
      </c>
      <c r="B111" s="6" t="str">
        <f>IFERROR(VLOOKUP(D111,'Master sheet (Clientes)'!A$6:D$747,3,0)," ")</f>
        <v>C/O Realty</v>
      </c>
      <c r="C111" s="6" t="str">
        <f>IFERROR(VLOOKUP(D111,'Master sheet (Clientes)'!A$6:D$747,4,0)," ")</f>
        <v>N-O</v>
      </c>
      <c r="D111" s="6" t="s">
        <v>220</v>
      </c>
      <c r="E111" s="6" t="s">
        <v>1078</v>
      </c>
      <c r="F111" s="6"/>
      <c r="G111" s="6"/>
      <c r="H111" s="6" t="s">
        <v>1732</v>
      </c>
      <c r="I111" s="6" t="s">
        <v>880</v>
      </c>
      <c r="J111" s="6" t="s">
        <v>869</v>
      </c>
      <c r="K111" s="6" t="s">
        <v>1079</v>
      </c>
      <c r="L111" s="6"/>
      <c r="M111" s="6"/>
      <c r="N111" s="6"/>
      <c r="O111" s="13"/>
      <c r="P111" s="13"/>
      <c r="Q111" s="13"/>
    </row>
    <row r="112" spans="1:20" s="9" customFormat="1" ht="47">
      <c r="A112" s="6" t="str">
        <f>IFERROR(VLOOKUP(D112,'Master sheet (Clientes)'!A$6:D$747,2,0)," ")</f>
        <v>NJ</v>
      </c>
      <c r="B112" s="6" t="str">
        <f>IFERROR(VLOOKUP(D112,'Master sheet (Clientes)'!A$6:D$747,3,0)," ")</f>
        <v>C/O Realty</v>
      </c>
      <c r="C112" s="6" t="str">
        <f>IFERROR(VLOOKUP(D112,'Master sheet (Clientes)'!A$6:D$747,4,0)," ")</f>
        <v>N-O</v>
      </c>
      <c r="D112" s="6" t="s">
        <v>209</v>
      </c>
      <c r="E112" s="6">
        <v>1202</v>
      </c>
      <c r="F112" s="6"/>
      <c r="G112" s="6" t="s">
        <v>853</v>
      </c>
      <c r="H112" s="6" t="s">
        <v>1733</v>
      </c>
      <c r="I112" s="77" t="s">
        <v>1734</v>
      </c>
      <c r="J112" s="6" t="s">
        <v>869</v>
      </c>
      <c r="K112" s="6" t="s">
        <v>1500</v>
      </c>
      <c r="L112" s="6"/>
      <c r="M112" s="6"/>
      <c r="N112" s="6"/>
      <c r="O112" s="13"/>
      <c r="P112" s="13"/>
      <c r="Q112" s="13"/>
    </row>
    <row r="113" spans="1:17" ht="70.5">
      <c r="A113" s="6" t="str">
        <f>IFERROR(VLOOKUP(D113,'Master sheet (Clientes)'!A$6:D$747,2,0)," ")</f>
        <v>NJ</v>
      </c>
      <c r="B113" s="6" t="str">
        <f>IFERROR(VLOOKUP(D113,'Master sheet (Clientes)'!A$6:D$747,3,0)," ")</f>
        <v>C/O Realty</v>
      </c>
      <c r="C113" s="6" t="str">
        <f>IFERROR(VLOOKUP(D113,'Master sheet (Clientes)'!A$6:D$747,4,0)," ")</f>
        <v>N-O</v>
      </c>
      <c r="D113" s="6" t="s">
        <v>208</v>
      </c>
      <c r="E113" s="6">
        <v>1106</v>
      </c>
      <c r="F113" s="6" t="s">
        <v>876</v>
      </c>
      <c r="G113" s="6" t="s">
        <v>853</v>
      </c>
      <c r="H113" s="6" t="s">
        <v>1695</v>
      </c>
      <c r="I113" s="6" t="s">
        <v>880</v>
      </c>
      <c r="J113" s="6" t="s">
        <v>869</v>
      </c>
      <c r="K113" s="6"/>
      <c r="L113" s="6"/>
      <c r="M113" s="6"/>
      <c r="N113" s="6"/>
    </row>
    <row r="114" spans="1:17" ht="70.5">
      <c r="A114" s="6" t="str">
        <f>IFERROR(VLOOKUP(D114,'Master sheet (Clientes)'!A$6:D$747,2,0)," ")</f>
        <v>NJ</v>
      </c>
      <c r="B114" s="6" t="str">
        <f>IFERROR(VLOOKUP(D114,'Master sheet (Clientes)'!A$6:D$747,3,0)," ")</f>
        <v>C/O Realty</v>
      </c>
      <c r="C114" s="6" t="str">
        <f>IFERROR(VLOOKUP(D114,'Master sheet (Clientes)'!A$6:D$747,4,0)," ")</f>
        <v>N-O</v>
      </c>
      <c r="D114" s="6" t="s">
        <v>208</v>
      </c>
      <c r="E114" s="6">
        <v>903</v>
      </c>
      <c r="F114" s="6" t="s">
        <v>876</v>
      </c>
      <c r="G114" s="6" t="s">
        <v>853</v>
      </c>
      <c r="H114" s="6" t="s">
        <v>1694</v>
      </c>
      <c r="I114" s="6" t="s">
        <v>880</v>
      </c>
      <c r="J114" s="6" t="s">
        <v>869</v>
      </c>
      <c r="K114" s="6"/>
      <c r="L114" s="6"/>
      <c r="M114" s="6"/>
      <c r="N114" s="6"/>
    </row>
    <row r="115" spans="1:17" ht="117.5">
      <c r="A115" s="6" t="str">
        <f>IFERROR(VLOOKUP(D115,'Master sheet (Clientes)'!A$6:D$747,2,0)," ")</f>
        <v>NJ</v>
      </c>
      <c r="B115" s="6" t="str">
        <f>IFERROR(VLOOKUP(D115,'Master sheet (Clientes)'!A$6:D$747,3,0)," ")</f>
        <v>C/O Realty</v>
      </c>
      <c r="C115" s="6" t="str">
        <f>IFERROR(VLOOKUP(D115,'Master sheet (Clientes)'!A$6:D$747,4,0)," ")</f>
        <v>N-O</v>
      </c>
      <c r="D115" s="6" t="s">
        <v>226</v>
      </c>
      <c r="E115" s="6">
        <v>3405</v>
      </c>
      <c r="F115" s="6"/>
      <c r="G115" s="6" t="s">
        <v>837</v>
      </c>
      <c r="H115" s="6" t="s">
        <v>1808</v>
      </c>
      <c r="I115" s="6" t="s">
        <v>880</v>
      </c>
      <c r="J115" s="6" t="s">
        <v>869</v>
      </c>
      <c r="K115" s="6" t="s">
        <v>1809</v>
      </c>
      <c r="L115" s="6"/>
      <c r="M115" s="6"/>
      <c r="N115" s="6"/>
    </row>
    <row r="116" spans="1:17" ht="164.5">
      <c r="A116" s="6" t="str">
        <f>IFERROR(VLOOKUP(D116,'Master sheet (Clientes)'!A$6:D$747,2,0)," ")</f>
        <v>NJ</v>
      </c>
      <c r="B116" s="6" t="str">
        <f>IFERROR(VLOOKUP(D116,'Master sheet (Clientes)'!A$6:D$747,3,0)," ")</f>
        <v>C/O Realty</v>
      </c>
      <c r="C116" s="6" t="str">
        <f>IFERROR(VLOOKUP(D116,'Master sheet (Clientes)'!A$6:D$747,4,0)," ")</f>
        <v>N-O</v>
      </c>
      <c r="D116" s="6" t="s">
        <v>209</v>
      </c>
      <c r="E116" s="6">
        <v>705</v>
      </c>
      <c r="F116" s="6" t="s">
        <v>854</v>
      </c>
      <c r="G116" s="6" t="s">
        <v>837</v>
      </c>
      <c r="H116" s="6" t="s">
        <v>1822</v>
      </c>
      <c r="I116" s="6" t="s">
        <v>880</v>
      </c>
      <c r="J116" s="6" t="s">
        <v>869</v>
      </c>
      <c r="K116" s="6" t="s">
        <v>1823</v>
      </c>
      <c r="L116" s="6"/>
      <c r="M116" s="6"/>
      <c r="N116" s="6"/>
    </row>
    <row r="117" spans="1:17">
      <c r="A117" s="6" t="str">
        <f>IFERROR(VLOOKUP(D117,'Master sheet (Clientes)'!A$6:D$747,2,0)," ")</f>
        <v xml:space="preserve"> </v>
      </c>
      <c r="B117" s="6" t="str">
        <f>IFERROR(VLOOKUP(D117,'Master sheet (Clientes)'!A$6:D$747,3,0)," ")</f>
        <v xml:space="preserve"> </v>
      </c>
      <c r="C117" s="6" t="str">
        <f>IFERROR(VLOOKUP(D117,'Master sheet (Clientes)'!A$6:D$747,4,0)," ")</f>
        <v xml:space="preserve"> </v>
      </c>
      <c r="D117" s="6"/>
      <c r="E117" s="6"/>
      <c r="F117" s="6"/>
      <c r="G117" s="6"/>
      <c r="H117" s="6"/>
      <c r="I117" s="6"/>
      <c r="J117" s="6"/>
      <c r="K117" s="6"/>
      <c r="L117" s="6"/>
      <c r="M117" s="6"/>
      <c r="N117" s="6"/>
    </row>
    <row r="118" spans="1:17">
      <c r="A118" s="6" t="str">
        <f>IFERROR(VLOOKUP(D118,'Master sheet (Clientes)'!A$6:D$747,2,0)," ")</f>
        <v xml:space="preserve"> </v>
      </c>
      <c r="B118" s="6" t="str">
        <f>IFERROR(VLOOKUP(D118,'Master sheet (Clientes)'!A$6:D$747,3,0)," ")</f>
        <v xml:space="preserve"> </v>
      </c>
      <c r="C118" s="6" t="str">
        <f>IFERROR(VLOOKUP(D118,'Master sheet (Clientes)'!A$6:D$747,4,0)," ")</f>
        <v xml:space="preserve"> </v>
      </c>
      <c r="D118" s="6"/>
      <c r="E118" s="6"/>
      <c r="F118" s="6"/>
      <c r="G118" s="6"/>
      <c r="H118" s="6"/>
      <c r="I118" s="6"/>
      <c r="J118" s="6"/>
      <c r="K118" s="6"/>
      <c r="L118" s="6"/>
      <c r="M118" s="6"/>
      <c r="N118" s="6"/>
    </row>
    <row r="119" spans="1:17">
      <c r="A119" s="1"/>
      <c r="B119" s="1"/>
      <c r="C119" s="1"/>
      <c r="D119" s="1"/>
      <c r="E119" s="1"/>
      <c r="F119" s="1"/>
      <c r="G119" s="1"/>
      <c r="H119" s="1"/>
      <c r="I119" s="1"/>
      <c r="J119" s="1"/>
      <c r="K119" s="1"/>
      <c r="L119" s="1"/>
      <c r="M119" s="1"/>
      <c r="N119" s="1"/>
    </row>
    <row r="120" spans="1:17" s="1" customFormat="1" ht="47">
      <c r="A120" s="4" t="s">
        <v>8</v>
      </c>
      <c r="B120" s="4" t="s">
        <v>9</v>
      </c>
      <c r="C120" s="4" t="s">
        <v>10</v>
      </c>
      <c r="D120" s="4" t="s">
        <v>11</v>
      </c>
      <c r="E120" s="4" t="s">
        <v>12</v>
      </c>
      <c r="F120" s="4" t="s">
        <v>13</v>
      </c>
      <c r="G120" s="38" t="s">
        <v>14</v>
      </c>
      <c r="H120" s="4" t="s">
        <v>15</v>
      </c>
      <c r="I120" s="38" t="s">
        <v>16</v>
      </c>
      <c r="J120" s="38" t="s">
        <v>17</v>
      </c>
      <c r="K120" s="38" t="s">
        <v>18</v>
      </c>
      <c r="L120" s="38" t="s">
        <v>19</v>
      </c>
      <c r="M120" s="38" t="s">
        <v>20</v>
      </c>
      <c r="N120" s="38" t="s">
        <v>21</v>
      </c>
    </row>
    <row r="121" spans="1:17" s="9" customFormat="1" ht="70.5">
      <c r="A121" s="6" t="str">
        <f>IFERROR(VLOOKUP(D121,'Master sheet (Clientes)'!A$6:D$747,2,0)," ")</f>
        <v>NJ</v>
      </c>
      <c r="B121" s="6" t="str">
        <f>IFERROR(VLOOKUP(D121,'Master sheet (Clientes)'!A$6:D$747,3,0)," ")</f>
        <v>C/O Realty</v>
      </c>
      <c r="C121" s="6" t="str">
        <f>IFERROR(VLOOKUP(D121,'Master sheet (Clientes)'!A$6:D$747,4,0)," ")</f>
        <v>N-O</v>
      </c>
      <c r="D121" s="6" t="s">
        <v>219</v>
      </c>
      <c r="E121" s="6">
        <v>710</v>
      </c>
      <c r="F121" s="6" t="s">
        <v>854</v>
      </c>
      <c r="G121" s="6" t="s">
        <v>917</v>
      </c>
      <c r="H121" s="6" t="s">
        <v>1832</v>
      </c>
      <c r="I121" s="6" t="s">
        <v>960</v>
      </c>
      <c r="J121" s="6" t="s">
        <v>840</v>
      </c>
      <c r="K121" s="6" t="s">
        <v>1308</v>
      </c>
      <c r="L121" s="6"/>
      <c r="M121" s="6"/>
      <c r="N121" s="6"/>
      <c r="O121" s="13"/>
      <c r="P121" s="13"/>
      <c r="Q121" s="13"/>
    </row>
    <row r="122" spans="1:17" ht="47">
      <c r="A122" s="6" t="str">
        <f>IFERROR(VLOOKUP(D122,'Master sheet (Clientes)'!A$6:D$747,2,0)," ")</f>
        <v>NJ</v>
      </c>
      <c r="B122" s="6" t="str">
        <f>IFERROR(VLOOKUP(D122,'Master sheet (Clientes)'!A$6:D$747,3,0)," ")</f>
        <v>C/O Realty</v>
      </c>
      <c r="C122" s="6" t="str">
        <f>IFERROR(VLOOKUP(D122,'Master sheet (Clientes)'!A$6:D$747,4,0)," ")</f>
        <v>N-O</v>
      </c>
      <c r="D122" s="6" t="s">
        <v>212</v>
      </c>
      <c r="E122" s="6">
        <v>3314</v>
      </c>
      <c r="F122" s="6"/>
      <c r="G122" s="6" t="s">
        <v>853</v>
      </c>
      <c r="H122" s="6" t="s">
        <v>1630</v>
      </c>
      <c r="I122" s="6" t="s">
        <v>960</v>
      </c>
      <c r="J122" s="6" t="s">
        <v>840</v>
      </c>
      <c r="K122" s="6" t="s">
        <v>1629</v>
      </c>
      <c r="L122" s="6"/>
      <c r="M122" s="6"/>
      <c r="N122" s="6"/>
    </row>
    <row r="123" spans="1:17" ht="70.5">
      <c r="A123" s="6" t="str">
        <f>IFERROR(VLOOKUP(D123,'Master sheet (Clientes)'!A$6:D$747,2,0)," ")</f>
        <v>NJ</v>
      </c>
      <c r="B123" s="6" t="str">
        <f>IFERROR(VLOOKUP(D123,'Master sheet (Clientes)'!A$6:D$747,3,0)," ")</f>
        <v>C/O Realty</v>
      </c>
      <c r="C123" s="6" t="str">
        <f>IFERROR(VLOOKUP(D123,'Master sheet (Clientes)'!A$6:D$747,4,0)," ")</f>
        <v>N-O</v>
      </c>
      <c r="D123" s="6" t="s">
        <v>219</v>
      </c>
      <c r="E123" s="6">
        <v>711</v>
      </c>
      <c r="F123" s="6" t="s">
        <v>1279</v>
      </c>
      <c r="G123" s="6" t="s">
        <v>853</v>
      </c>
      <c r="H123" s="6" t="s">
        <v>1656</v>
      </c>
      <c r="I123" s="6" t="s">
        <v>960</v>
      </c>
      <c r="J123" s="6" t="s">
        <v>840</v>
      </c>
      <c r="K123" s="6" t="s">
        <v>1655</v>
      </c>
      <c r="L123" s="6"/>
      <c r="M123" s="6"/>
      <c r="N123" s="6"/>
    </row>
    <row r="124" spans="1:17" s="9" customFormat="1" ht="94">
      <c r="A124" s="6" t="str">
        <f>IFERROR(VLOOKUP(D124,'Master sheet (Clientes)'!A$6:D$747,2,0)," ")</f>
        <v>NJ</v>
      </c>
      <c r="B124" s="6" t="str">
        <f>IFERROR(VLOOKUP(D124,'Master sheet (Clientes)'!A$6:D$747,3,0)," ")</f>
        <v>C/O Realty</v>
      </c>
      <c r="C124" s="6" t="str">
        <f>IFERROR(VLOOKUP(D124,'Master sheet (Clientes)'!A$6:D$747,4,0)," ")</f>
        <v>N-O</v>
      </c>
      <c r="D124" s="6" t="s">
        <v>219</v>
      </c>
      <c r="E124" s="6">
        <v>409</v>
      </c>
      <c r="F124" s="6" t="s">
        <v>946</v>
      </c>
      <c r="G124" s="6" t="s">
        <v>853</v>
      </c>
      <c r="H124" s="6" t="s">
        <v>1879</v>
      </c>
      <c r="I124" s="6" t="s">
        <v>960</v>
      </c>
      <c r="J124" s="6" t="s">
        <v>840</v>
      </c>
      <c r="K124" s="6" t="s">
        <v>1880</v>
      </c>
      <c r="L124" s="6"/>
      <c r="M124" s="6"/>
      <c r="N124" s="6"/>
      <c r="O124" s="13"/>
      <c r="P124" s="13"/>
      <c r="Q124" s="13"/>
    </row>
    <row r="125" spans="1:17" ht="70.5">
      <c r="A125" s="6" t="str">
        <f>IFERROR(VLOOKUP(D125,'Master sheet (Clientes)'!A$6:D$747,2,0)," ")</f>
        <v>NJ</v>
      </c>
      <c r="B125" s="6" t="str">
        <f>IFERROR(VLOOKUP(D125,'Master sheet (Clientes)'!A$6:D$747,3,0)," ")</f>
        <v>C/O Realty</v>
      </c>
      <c r="C125" s="6" t="str">
        <f>IFERROR(VLOOKUP(D125,'Master sheet (Clientes)'!A$6:D$747,4,0)," ")</f>
        <v>N-O</v>
      </c>
      <c r="D125" s="6" t="s">
        <v>226</v>
      </c>
      <c r="E125" s="6">
        <v>1408</v>
      </c>
      <c r="F125" s="6"/>
      <c r="G125" s="6" t="s">
        <v>837</v>
      </c>
      <c r="H125" s="6" t="s">
        <v>1799</v>
      </c>
      <c r="I125" s="6" t="s">
        <v>960</v>
      </c>
      <c r="J125" s="6" t="s">
        <v>840</v>
      </c>
      <c r="K125" s="6" t="s">
        <v>1800</v>
      </c>
      <c r="L125" s="6"/>
      <c r="M125" s="6"/>
      <c r="N125" s="6"/>
    </row>
    <row r="126" spans="1:17">
      <c r="A126" s="6" t="str">
        <f>IFERROR(VLOOKUP(D126,'Master sheet (Clientes)'!A$6:D$747,2,0)," ")</f>
        <v xml:space="preserve"> </v>
      </c>
      <c r="B126" s="6" t="str">
        <f>IFERROR(VLOOKUP(D126,'Master sheet (Clientes)'!A$6:D$747,3,0)," ")</f>
        <v xml:space="preserve"> </v>
      </c>
      <c r="C126" s="6" t="str">
        <f>IFERROR(VLOOKUP(D126,'Master sheet (Clientes)'!A$6:D$747,4,0)," ")</f>
        <v xml:space="preserve"> </v>
      </c>
      <c r="D126" s="6"/>
      <c r="E126" s="6"/>
      <c r="F126" s="6"/>
      <c r="G126" s="6"/>
      <c r="H126" s="6"/>
      <c r="I126" s="6"/>
      <c r="J126" s="6"/>
      <c r="K126" s="6"/>
      <c r="L126" s="6"/>
      <c r="M126" s="6"/>
      <c r="N126" s="6"/>
    </row>
    <row r="127" spans="1:17">
      <c r="A127" s="1"/>
      <c r="B127" s="1"/>
      <c r="C127" s="1"/>
      <c r="D127" s="1"/>
      <c r="E127" s="1"/>
      <c r="F127" s="1"/>
      <c r="G127" s="1"/>
      <c r="H127" s="1"/>
      <c r="I127" s="1"/>
      <c r="J127" s="1"/>
      <c r="K127" s="1"/>
      <c r="L127" s="1"/>
      <c r="M127" s="1"/>
      <c r="N127" s="1"/>
    </row>
    <row r="128" spans="1:17" s="1" customFormat="1" ht="47">
      <c r="A128" s="4" t="s">
        <v>8</v>
      </c>
      <c r="B128" s="4" t="s">
        <v>9</v>
      </c>
      <c r="C128" s="4" t="s">
        <v>10</v>
      </c>
      <c r="D128" s="4" t="s">
        <v>11</v>
      </c>
      <c r="E128" s="4" t="s">
        <v>12</v>
      </c>
      <c r="F128" s="4" t="s">
        <v>13</v>
      </c>
      <c r="G128" s="38" t="s">
        <v>14</v>
      </c>
      <c r="H128" s="4" t="s">
        <v>15</v>
      </c>
      <c r="I128" s="38" t="s">
        <v>16</v>
      </c>
      <c r="J128" s="38" t="s">
        <v>17</v>
      </c>
      <c r="K128" s="38" t="s">
        <v>18</v>
      </c>
      <c r="L128" s="38" t="s">
        <v>19</v>
      </c>
      <c r="M128" s="38" t="s">
        <v>20</v>
      </c>
      <c r="N128" s="38" t="s">
        <v>21</v>
      </c>
    </row>
    <row r="129" spans="1:20" ht="70.5">
      <c r="A129" s="6" t="str">
        <f>IFERROR(VLOOKUP(D129,'Master sheet (Clientes)'!A$6:D$747,2,0)," ")</f>
        <v>NJ</v>
      </c>
      <c r="B129" s="6" t="str">
        <f>IFERROR(VLOOKUP(D129,'Master sheet (Clientes)'!A$6:D$747,3,0)," ")</f>
        <v>C/O Realty</v>
      </c>
      <c r="C129" s="6" t="str">
        <f>IFERROR(VLOOKUP(D129,'Master sheet (Clientes)'!A$6:D$747,4,0)," ")</f>
        <v>N-O</v>
      </c>
      <c r="D129" s="6" t="s">
        <v>218</v>
      </c>
      <c r="E129" s="6">
        <v>2609</v>
      </c>
      <c r="F129" s="6" t="s">
        <v>946</v>
      </c>
      <c r="G129" s="6" t="s">
        <v>853</v>
      </c>
      <c r="H129" s="6" t="s">
        <v>1310</v>
      </c>
      <c r="I129" s="6" t="s">
        <v>950</v>
      </c>
      <c r="J129" s="6" t="s">
        <v>840</v>
      </c>
      <c r="K129" s="6"/>
      <c r="L129" s="6"/>
      <c r="M129" s="6"/>
      <c r="N129" s="6"/>
    </row>
    <row r="130" spans="1:20" ht="70.5">
      <c r="A130" s="6" t="str">
        <f>IFERROR(VLOOKUP(D130,'Master sheet (Clientes)'!A$6:D$747,2,0)," ")</f>
        <v>NJ</v>
      </c>
      <c r="B130" s="6" t="str">
        <f>IFERROR(VLOOKUP(D130,'Master sheet (Clientes)'!A$6:D$747,3,0)," ")</f>
        <v>C/O Realty</v>
      </c>
      <c r="C130" s="6" t="str">
        <f>IFERROR(VLOOKUP(D130,'Master sheet (Clientes)'!A$6:D$747,4,0)," ")</f>
        <v>N-O</v>
      </c>
      <c r="D130" s="6" t="s">
        <v>218</v>
      </c>
      <c r="E130" s="6">
        <v>3306</v>
      </c>
      <c r="F130" s="6" t="s">
        <v>946</v>
      </c>
      <c r="G130" s="6" t="s">
        <v>853</v>
      </c>
      <c r="H130" s="6" t="s">
        <v>1315</v>
      </c>
      <c r="I130" s="6" t="s">
        <v>950</v>
      </c>
      <c r="J130" s="6" t="s">
        <v>840</v>
      </c>
      <c r="K130" s="6"/>
      <c r="L130" s="6"/>
      <c r="M130" s="6"/>
      <c r="N130" s="6"/>
    </row>
    <row r="131" spans="1:20" ht="47">
      <c r="A131" s="112" t="str">
        <f>IFERROR(VLOOKUP(D131,'Master sheet (Clientes)'!A$6:D$747,2,0)," ")</f>
        <v>NJ</v>
      </c>
      <c r="B131" s="112" t="str">
        <f>IFERROR(VLOOKUP(D131,'Master sheet (Clientes)'!A$6:D$747,3,0)," ")</f>
        <v>C/O Realty</v>
      </c>
      <c r="C131" s="112" t="str">
        <f>IFERROR(VLOOKUP(D131,'Master sheet (Clientes)'!A$6:D$747,4,0)," ")</f>
        <v>N-O</v>
      </c>
      <c r="D131" s="112" t="s">
        <v>220</v>
      </c>
      <c r="E131" s="112">
        <v>2905</v>
      </c>
      <c r="F131" s="112" t="s">
        <v>854</v>
      </c>
      <c r="G131" s="112" t="s">
        <v>853</v>
      </c>
      <c r="H131" s="112" t="s">
        <v>958</v>
      </c>
      <c r="I131" s="112" t="s">
        <v>901</v>
      </c>
      <c r="J131" s="112" t="s">
        <v>869</v>
      </c>
      <c r="K131" s="112"/>
      <c r="L131" s="112"/>
      <c r="M131" s="112"/>
      <c r="N131" s="112"/>
      <c r="O131" s="103"/>
      <c r="P131" s="103"/>
      <c r="Q131" s="103"/>
      <c r="R131" s="104"/>
      <c r="S131" s="104"/>
      <c r="T131" s="104"/>
    </row>
    <row r="132" spans="1:20" s="9" customFormat="1" ht="47">
      <c r="A132" s="6" t="str">
        <f>IFERROR(VLOOKUP(D132,'Master sheet (Clientes)'!A$6:D$747,2,0)," ")</f>
        <v>NJ</v>
      </c>
      <c r="B132" s="6" t="str">
        <f>IFERROR(VLOOKUP(D132,'Master sheet (Clientes)'!A$6:D$747,3,0)," ")</f>
        <v>C/O Realty</v>
      </c>
      <c r="C132" s="6" t="str">
        <f>IFERROR(VLOOKUP(D132,'Master sheet (Clientes)'!A$6:D$747,4,0)," ")</f>
        <v>N-O</v>
      </c>
      <c r="D132" s="6" t="s">
        <v>215</v>
      </c>
      <c r="E132" s="6">
        <v>626</v>
      </c>
      <c r="F132" s="6" t="s">
        <v>45</v>
      </c>
      <c r="G132" s="6" t="s">
        <v>853</v>
      </c>
      <c r="H132" s="6" t="s">
        <v>1827</v>
      </c>
      <c r="I132" s="6" t="s">
        <v>901</v>
      </c>
      <c r="J132" s="6" t="s">
        <v>869</v>
      </c>
      <c r="K132" s="6"/>
      <c r="L132" s="6"/>
      <c r="M132" s="6"/>
      <c r="N132" s="6"/>
      <c r="O132" s="13"/>
      <c r="P132" s="13"/>
      <c r="Q132" s="13"/>
    </row>
    <row r="133" spans="1:20">
      <c r="A133" s="6" t="str">
        <f>IFERROR(VLOOKUP(D133,'Master sheet (Clientes)'!A$6:D$747,2,0)," ")</f>
        <v xml:space="preserve"> </v>
      </c>
      <c r="B133" s="6" t="str">
        <f>IFERROR(VLOOKUP(D133,'Master sheet (Clientes)'!A$6:D$747,3,0)," ")</f>
        <v xml:space="preserve"> </v>
      </c>
      <c r="C133" s="6" t="str">
        <f>IFERROR(VLOOKUP(D133,'Master sheet (Clientes)'!A$6:D$747,4,0)," ")</f>
        <v xml:space="preserve"> </v>
      </c>
      <c r="D133" s="6"/>
      <c r="E133" s="6"/>
      <c r="F133" s="6"/>
      <c r="G133" s="6"/>
      <c r="H133" s="6"/>
      <c r="I133" s="6"/>
      <c r="J133" s="6"/>
      <c r="K133" s="6"/>
      <c r="L133" s="6"/>
      <c r="M133" s="6"/>
      <c r="N133" s="6"/>
    </row>
    <row r="134" spans="1:20">
      <c r="A134" s="6" t="str">
        <f>IFERROR(VLOOKUP(D134,'Master sheet (Clientes)'!A$6:D$747,2,0)," ")</f>
        <v xml:space="preserve"> </v>
      </c>
      <c r="B134" s="6" t="str">
        <f>IFERROR(VLOOKUP(D134,'Master sheet (Clientes)'!A$6:D$747,3,0)," ")</f>
        <v xml:space="preserve"> </v>
      </c>
      <c r="C134" s="6" t="str">
        <f>IFERROR(VLOOKUP(D134,'Master sheet (Clientes)'!A$6:D$747,4,0)," ")</f>
        <v xml:space="preserve"> </v>
      </c>
      <c r="D134" s="6"/>
      <c r="E134" s="6"/>
      <c r="F134" s="6"/>
      <c r="G134" s="6"/>
      <c r="H134" s="6"/>
      <c r="I134" s="6"/>
      <c r="J134" s="6"/>
      <c r="K134" s="6"/>
      <c r="L134" s="6"/>
      <c r="M134" s="6"/>
      <c r="N134" s="6"/>
    </row>
    <row r="135" spans="1:20">
      <c r="A135" s="1"/>
      <c r="B135" s="1"/>
      <c r="C135" s="1"/>
      <c r="D135" s="1"/>
      <c r="E135" s="1"/>
      <c r="F135" s="1"/>
      <c r="G135" s="1"/>
      <c r="H135" s="1"/>
      <c r="I135" s="1"/>
      <c r="J135" s="1"/>
      <c r="K135" s="1"/>
      <c r="L135" s="1"/>
      <c r="M135" s="1"/>
      <c r="N135" s="1"/>
    </row>
    <row r="136" spans="1:20" s="1" customFormat="1" ht="47">
      <c r="A136" s="4" t="s">
        <v>8</v>
      </c>
      <c r="B136" s="4" t="s">
        <v>9</v>
      </c>
      <c r="C136" s="4" t="s">
        <v>10</v>
      </c>
      <c r="D136" s="4" t="s">
        <v>11</v>
      </c>
      <c r="E136" s="4" t="s">
        <v>12</v>
      </c>
      <c r="F136" s="4" t="s">
        <v>13</v>
      </c>
      <c r="G136" s="38" t="s">
        <v>14</v>
      </c>
      <c r="H136" s="4" t="s">
        <v>15</v>
      </c>
      <c r="I136" s="38" t="s">
        <v>16</v>
      </c>
      <c r="J136" s="38" t="s">
        <v>17</v>
      </c>
      <c r="K136" s="38" t="s">
        <v>18</v>
      </c>
      <c r="L136" s="38" t="s">
        <v>19</v>
      </c>
      <c r="M136" s="38" t="s">
        <v>20</v>
      </c>
      <c r="N136" s="38" t="s">
        <v>21</v>
      </c>
    </row>
    <row r="137" spans="1:20" ht="47">
      <c r="A137" s="6" t="str">
        <f>IFERROR(VLOOKUP(D137,'Master sheet (Clientes)'!A$6:D$747,2,0)," ")</f>
        <v>NJ</v>
      </c>
      <c r="B137" s="6" t="str">
        <f>IFERROR(VLOOKUP(D137,'Master sheet (Clientes)'!A$6:D$747,3,0)," ")</f>
        <v>C/O Realty</v>
      </c>
      <c r="C137" s="6" t="str">
        <f>IFERROR(VLOOKUP(D137,'Master sheet (Clientes)'!A$6:D$747,4,0)," ")</f>
        <v>N-O</v>
      </c>
      <c r="D137" s="6" t="s">
        <v>212</v>
      </c>
      <c r="E137" s="6">
        <v>806</v>
      </c>
      <c r="F137" s="6"/>
      <c r="G137" s="6" t="s">
        <v>944</v>
      </c>
      <c r="H137" s="78" t="s">
        <v>945</v>
      </c>
      <c r="I137" s="6" t="s">
        <v>839</v>
      </c>
      <c r="J137" s="6" t="s">
        <v>840</v>
      </c>
      <c r="K137" s="6"/>
      <c r="L137" s="6"/>
      <c r="M137" s="6"/>
      <c r="N137" s="6"/>
    </row>
    <row r="138" spans="1:20" ht="70.5">
      <c r="A138" s="6" t="str">
        <f>IFERROR(VLOOKUP(D138,'Master sheet (Clientes)'!A$6:D$747,2,0)," ")</f>
        <v>NJ</v>
      </c>
      <c r="B138" s="6" t="str">
        <f>IFERROR(VLOOKUP(D138,'Master sheet (Clientes)'!A$6:D$747,3,0)," ")</f>
        <v>C/O Realty</v>
      </c>
      <c r="C138" s="6" t="str">
        <f>IFERROR(VLOOKUP(D138,'Master sheet (Clientes)'!A$6:D$747,4,0)," ")</f>
        <v>N-O</v>
      </c>
      <c r="D138" s="6" t="s">
        <v>218</v>
      </c>
      <c r="E138" s="6">
        <v>2609</v>
      </c>
      <c r="F138" s="6" t="s">
        <v>946</v>
      </c>
      <c r="G138" s="6" t="s">
        <v>853</v>
      </c>
      <c r="H138" s="6" t="s">
        <v>1312</v>
      </c>
      <c r="I138" s="6" t="s">
        <v>839</v>
      </c>
      <c r="J138" s="6" t="s">
        <v>840</v>
      </c>
      <c r="K138" s="6"/>
      <c r="L138" s="6"/>
      <c r="M138" s="6"/>
      <c r="N138" s="6"/>
    </row>
    <row r="139" spans="1:20" ht="70.5">
      <c r="A139" s="6" t="str">
        <f>IFERROR(VLOOKUP(D139,'Master sheet (Clientes)'!A$6:D$747,2,0)," ")</f>
        <v>NJ</v>
      </c>
      <c r="B139" s="6" t="str">
        <f>IFERROR(VLOOKUP(D139,'Master sheet (Clientes)'!A$6:D$747,3,0)," ")</f>
        <v>C/O Realty</v>
      </c>
      <c r="C139" s="6" t="str">
        <f>IFERROR(VLOOKUP(D139,'Master sheet (Clientes)'!A$6:D$747,4,0)," ")</f>
        <v>N-O</v>
      </c>
      <c r="D139" s="6" t="s">
        <v>218</v>
      </c>
      <c r="E139" s="6">
        <v>2609</v>
      </c>
      <c r="F139" s="6" t="s">
        <v>946</v>
      </c>
      <c r="G139" s="6" t="s">
        <v>853</v>
      </c>
      <c r="H139" s="6" t="s">
        <v>1313</v>
      </c>
      <c r="I139" s="6" t="s">
        <v>839</v>
      </c>
      <c r="J139" s="6" t="s">
        <v>840</v>
      </c>
      <c r="K139" s="6" t="s">
        <v>1311</v>
      </c>
      <c r="L139" s="6"/>
      <c r="M139" s="6"/>
      <c r="N139" s="6"/>
    </row>
    <row r="140" spans="1:20" ht="70.5">
      <c r="A140" s="6" t="str">
        <f>IFERROR(VLOOKUP(D140,'Master sheet (Clientes)'!A$6:D$747,2,0)," ")</f>
        <v>NJ</v>
      </c>
      <c r="B140" s="6" t="str">
        <f>IFERROR(VLOOKUP(D140,'Master sheet (Clientes)'!A$6:D$747,3,0)," ")</f>
        <v>C/O Realty</v>
      </c>
      <c r="C140" s="6" t="str">
        <f>IFERROR(VLOOKUP(D140,'Master sheet (Clientes)'!A$6:D$747,4,0)," ")</f>
        <v>N-O</v>
      </c>
      <c r="D140" s="6" t="s">
        <v>208</v>
      </c>
      <c r="E140" s="6">
        <v>401</v>
      </c>
      <c r="F140" s="6"/>
      <c r="G140" s="6" t="s">
        <v>837</v>
      </c>
      <c r="H140" s="6" t="s">
        <v>1636</v>
      </c>
      <c r="I140" s="6" t="s">
        <v>839</v>
      </c>
      <c r="J140" s="6" t="s">
        <v>840</v>
      </c>
      <c r="K140" s="6"/>
      <c r="L140" s="6"/>
      <c r="M140" s="6"/>
      <c r="N140" s="6"/>
    </row>
    <row r="141" spans="1:20" ht="70.5">
      <c r="A141" s="6" t="str">
        <f>IFERROR(VLOOKUP(D141,'Master sheet (Clientes)'!A$6:D$747,2,0)," ")</f>
        <v>NJ</v>
      </c>
      <c r="B141" s="6" t="str">
        <f>IFERROR(VLOOKUP(D141,'Master sheet (Clientes)'!A$6:D$747,3,0)," ")</f>
        <v>C/O Realty</v>
      </c>
      <c r="C141" s="6" t="str">
        <f>IFERROR(VLOOKUP(D141,'Master sheet (Clientes)'!A$6:D$747,4,0)," ")</f>
        <v>N-O</v>
      </c>
      <c r="D141" s="6" t="s">
        <v>228</v>
      </c>
      <c r="E141" s="6">
        <v>2211</v>
      </c>
      <c r="F141" s="6" t="s">
        <v>854</v>
      </c>
      <c r="G141" s="6" t="s">
        <v>853</v>
      </c>
      <c r="H141" s="6" t="s">
        <v>1636</v>
      </c>
      <c r="I141" s="6" t="s">
        <v>839</v>
      </c>
      <c r="J141" s="6" t="s">
        <v>840</v>
      </c>
      <c r="K141" s="6"/>
      <c r="L141" s="6"/>
      <c r="M141" s="6"/>
      <c r="N141" s="6"/>
    </row>
    <row r="142" spans="1:20" ht="70.5">
      <c r="A142" s="6" t="str">
        <f>IFERROR(VLOOKUP(D142,'Master sheet (Clientes)'!A$6:D$747,2,0)," ")</f>
        <v>NJ</v>
      </c>
      <c r="B142" s="6" t="str">
        <f>IFERROR(VLOOKUP(D142,'Master sheet (Clientes)'!A$6:D$747,3,0)," ")</f>
        <v>C/O Realty</v>
      </c>
      <c r="C142" s="6" t="str">
        <f>IFERROR(VLOOKUP(D142,'Master sheet (Clientes)'!A$6:D$747,4,0)," ")</f>
        <v>N-O</v>
      </c>
      <c r="D142" s="6" t="s">
        <v>228</v>
      </c>
      <c r="E142" s="6">
        <v>1801</v>
      </c>
      <c r="F142" s="6"/>
      <c r="G142" s="6" t="s">
        <v>853</v>
      </c>
      <c r="H142" s="6" t="s">
        <v>1636</v>
      </c>
      <c r="I142" s="6" t="s">
        <v>839</v>
      </c>
      <c r="J142" s="6" t="s">
        <v>840</v>
      </c>
      <c r="K142" s="6"/>
      <c r="L142" s="6"/>
      <c r="M142" s="6"/>
      <c r="N142" s="6"/>
    </row>
    <row r="143" spans="1:20" s="9" customFormat="1" ht="47">
      <c r="A143" s="6" t="str">
        <f>IFERROR(VLOOKUP(D143,'Master sheet (Clientes)'!A$6:D$747,2,0)," ")</f>
        <v>NJ</v>
      </c>
      <c r="B143" s="6" t="str">
        <f>IFERROR(VLOOKUP(D143,'Master sheet (Clientes)'!A$6:D$747,3,0)," ")</f>
        <v>C/O Realty</v>
      </c>
      <c r="C143" s="6" t="str">
        <f>IFERROR(VLOOKUP(D143,'Master sheet (Clientes)'!A$6:D$747,4,0)," ")</f>
        <v>N-O</v>
      </c>
      <c r="D143" s="6" t="s">
        <v>215</v>
      </c>
      <c r="E143" s="6">
        <v>626</v>
      </c>
      <c r="F143" s="6" t="s">
        <v>45</v>
      </c>
      <c r="G143" s="6" t="s">
        <v>853</v>
      </c>
      <c r="H143" s="6" t="s">
        <v>1826</v>
      </c>
      <c r="I143" s="6" t="s">
        <v>839</v>
      </c>
      <c r="J143" s="6" t="s">
        <v>840</v>
      </c>
      <c r="K143" s="6"/>
      <c r="L143" s="6"/>
      <c r="M143" s="6"/>
      <c r="N143" s="6"/>
      <c r="O143" s="13"/>
      <c r="P143" s="13"/>
      <c r="Q143" s="13"/>
    </row>
    <row r="144" spans="1:20">
      <c r="A144" s="6" t="str">
        <f>IFERROR(VLOOKUP(D144,'Master sheet (Clientes)'!A$6:D$747,2,0)," ")</f>
        <v xml:space="preserve"> </v>
      </c>
      <c r="B144" s="6" t="str">
        <f>IFERROR(VLOOKUP(D144,'Master sheet (Clientes)'!A$6:D$747,3,0)," ")</f>
        <v xml:space="preserve"> </v>
      </c>
      <c r="C144" s="6" t="str">
        <f>IFERROR(VLOOKUP(D144,'Master sheet (Clientes)'!A$6:D$747,4,0)," ")</f>
        <v xml:space="preserve"> </v>
      </c>
      <c r="D144" s="6"/>
      <c r="E144" s="6"/>
      <c r="F144" s="6"/>
      <c r="G144" s="6"/>
      <c r="H144" s="6"/>
      <c r="I144" s="6"/>
      <c r="J144" s="6"/>
      <c r="K144" s="6"/>
      <c r="L144" s="6"/>
      <c r="M144" s="6"/>
      <c r="N144" s="6"/>
    </row>
    <row r="145" spans="1:17">
      <c r="A145" s="6" t="str">
        <f>IFERROR(VLOOKUP(D145,'Master sheet (Clientes)'!A$6:D$747,2,0)," ")</f>
        <v xml:space="preserve"> </v>
      </c>
      <c r="B145" s="6" t="str">
        <f>IFERROR(VLOOKUP(D145,'Master sheet (Clientes)'!A$6:D$747,3,0)," ")</f>
        <v xml:space="preserve"> </v>
      </c>
      <c r="C145" s="6" t="str">
        <f>IFERROR(VLOOKUP(D145,'Master sheet (Clientes)'!A$6:D$747,4,0)," ")</f>
        <v xml:space="preserve"> </v>
      </c>
      <c r="D145" s="6"/>
      <c r="E145" s="6"/>
      <c r="F145" s="6"/>
      <c r="G145" s="6"/>
      <c r="H145" s="6"/>
      <c r="I145" s="6"/>
      <c r="J145" s="6"/>
      <c r="K145" s="6"/>
      <c r="L145" s="6"/>
      <c r="M145" s="6"/>
      <c r="N145" s="6"/>
    </row>
    <row r="146" spans="1:17">
      <c r="A146" s="1"/>
      <c r="B146" s="1"/>
      <c r="C146" s="1"/>
      <c r="D146" s="1"/>
      <c r="E146" s="1"/>
      <c r="F146" s="1"/>
      <c r="G146" s="1"/>
      <c r="H146" s="1"/>
      <c r="I146" s="1"/>
      <c r="J146" s="1"/>
      <c r="K146" s="1"/>
      <c r="L146" s="1"/>
      <c r="M146" s="1"/>
      <c r="N146" s="1"/>
    </row>
    <row r="147" spans="1:17" ht="47">
      <c r="A147" s="4" t="s">
        <v>8</v>
      </c>
      <c r="B147" s="4" t="s">
        <v>9</v>
      </c>
      <c r="C147" s="4" t="s">
        <v>10</v>
      </c>
      <c r="D147" s="4" t="s">
        <v>11</v>
      </c>
      <c r="E147" s="4" t="s">
        <v>12</v>
      </c>
      <c r="F147" s="4" t="s">
        <v>13</v>
      </c>
      <c r="G147" s="38" t="s">
        <v>14</v>
      </c>
      <c r="H147" s="4" t="s">
        <v>22</v>
      </c>
      <c r="I147" s="38" t="s">
        <v>23</v>
      </c>
      <c r="J147" s="38" t="s">
        <v>17</v>
      </c>
      <c r="K147" s="38" t="s">
        <v>18</v>
      </c>
      <c r="L147" s="38" t="s">
        <v>19</v>
      </c>
      <c r="M147" s="38" t="s">
        <v>20</v>
      </c>
      <c r="N147" s="38" t="s">
        <v>21</v>
      </c>
    </row>
    <row r="148" spans="1:17">
      <c r="A148" s="21" t="str">
        <f>IFERROR(VLOOKUP(D148,'Master sheet (Clientes)'!A$6:D$747,2,0)," ")</f>
        <v xml:space="preserve"> </v>
      </c>
      <c r="B148" s="21" t="str">
        <f>IFERROR(VLOOKUP(D148,'Master sheet (Clientes)'!A$6:D$747,3,0)," ")</f>
        <v xml:space="preserve"> </v>
      </c>
      <c r="C148" s="21" t="str">
        <f>IFERROR(VLOOKUP(D148,'Master sheet (Clientes)'!A$6:D$747,4,0)," ")</f>
        <v xml:space="preserve"> </v>
      </c>
      <c r="D148" s="21"/>
      <c r="E148" s="53"/>
      <c r="F148" s="21"/>
      <c r="G148" s="53"/>
      <c r="H148" s="21"/>
      <c r="I148" s="53"/>
      <c r="J148" s="21"/>
      <c r="K148" s="21"/>
      <c r="L148" s="21"/>
      <c r="M148" s="21"/>
      <c r="N148" s="21"/>
    </row>
    <row r="149" spans="1:17">
      <c r="A149" s="1"/>
      <c r="B149" s="1"/>
      <c r="C149" s="1"/>
      <c r="D149" s="1"/>
      <c r="E149" s="1"/>
      <c r="F149" s="1"/>
      <c r="G149" s="1"/>
      <c r="H149" s="1"/>
      <c r="I149" s="1"/>
      <c r="K149" s="1"/>
      <c r="L149" s="1"/>
      <c r="M149" s="1"/>
      <c r="N149" s="1"/>
    </row>
    <row r="150" spans="1:17" ht="26">
      <c r="A150" s="33"/>
      <c r="B150" s="33"/>
      <c r="C150" s="33"/>
      <c r="D150" s="127" t="s">
        <v>28</v>
      </c>
      <c r="E150" s="127"/>
      <c r="F150" s="127"/>
      <c r="G150" s="127"/>
      <c r="H150" s="127"/>
      <c r="I150" s="127"/>
      <c r="J150" s="127"/>
      <c r="K150" s="127"/>
      <c r="L150" s="127"/>
      <c r="M150" s="16"/>
      <c r="N150" s="16"/>
    </row>
    <row r="151" spans="1:17" s="5" customFormat="1" ht="26">
      <c r="A151" s="43"/>
      <c r="B151" s="43"/>
      <c r="C151" s="43"/>
      <c r="D151" s="128" t="s">
        <v>29</v>
      </c>
      <c r="E151" s="128"/>
      <c r="F151" s="128"/>
      <c r="G151" s="128"/>
      <c r="H151" s="128"/>
      <c r="I151" s="128"/>
      <c r="J151" s="128"/>
      <c r="K151" s="128"/>
      <c r="L151" s="128"/>
      <c r="M151" s="44"/>
      <c r="N151" s="44"/>
      <c r="O151" s="35"/>
      <c r="P151" s="35"/>
      <c r="Q151" s="35"/>
    </row>
    <row r="152" spans="1:17">
      <c r="A152" s="3"/>
      <c r="B152" s="3"/>
      <c r="C152" s="3"/>
      <c r="D152" s="3"/>
      <c r="E152" s="3"/>
      <c r="F152" s="3"/>
      <c r="G152" s="3"/>
      <c r="H152" s="3"/>
      <c r="I152" s="3"/>
      <c r="K152" s="1"/>
      <c r="L152" s="1"/>
      <c r="M152" s="1"/>
      <c r="N152" s="1"/>
    </row>
    <row r="153" spans="1:17" s="1" customFormat="1" ht="47">
      <c r="A153" s="4" t="s">
        <v>8</v>
      </c>
      <c r="B153" s="4" t="s">
        <v>9</v>
      </c>
      <c r="C153" s="4" t="s">
        <v>10</v>
      </c>
      <c r="D153" s="4" t="s">
        <v>11</v>
      </c>
      <c r="E153" s="4" t="s">
        <v>12</v>
      </c>
      <c r="F153" s="4" t="s">
        <v>13</v>
      </c>
      <c r="G153" s="38" t="s">
        <v>14</v>
      </c>
      <c r="H153" s="4" t="s">
        <v>15</v>
      </c>
      <c r="I153" s="38" t="s">
        <v>16</v>
      </c>
      <c r="J153" s="38" t="s">
        <v>17</v>
      </c>
      <c r="K153" s="38" t="s">
        <v>18</v>
      </c>
      <c r="L153" s="38" t="s">
        <v>19</v>
      </c>
      <c r="M153" s="38" t="s">
        <v>20</v>
      </c>
      <c r="N153" s="38" t="s">
        <v>21</v>
      </c>
    </row>
    <row r="154" spans="1:17" s="9" customFormat="1" ht="94">
      <c r="A154" s="6" t="str">
        <f>IFERROR(VLOOKUP(D154,'Master sheet (Clientes)'!A$6:D$747,2,0)," ")</f>
        <v>NJ</v>
      </c>
      <c r="B154" s="6" t="str">
        <f>IFERROR(VLOOKUP(D154,'Master sheet (Clientes)'!A$6:D$747,3,0)," ")</f>
        <v xml:space="preserve">KRE Group Management </v>
      </c>
      <c r="C154" s="6" t="str">
        <f>IFERROR(VLOOKUP(D154,'Master sheet (Clientes)'!A$6:D$747,4,0)," ")</f>
        <v>A-V</v>
      </c>
      <c r="D154" s="6" t="s">
        <v>383</v>
      </c>
      <c r="E154" s="6"/>
      <c r="F154" s="6"/>
      <c r="G154" s="6"/>
      <c r="H154" s="6" t="s">
        <v>1013</v>
      </c>
      <c r="I154" s="6" t="s">
        <v>1014</v>
      </c>
      <c r="J154" s="6" t="s">
        <v>48</v>
      </c>
      <c r="K154" s="6"/>
      <c r="L154" s="6"/>
      <c r="M154" s="6"/>
      <c r="N154" s="6"/>
      <c r="O154" s="13"/>
      <c r="P154" s="13"/>
      <c r="Q154" s="13"/>
    </row>
    <row r="155" spans="1:17" s="9" customFormat="1" ht="70.5">
      <c r="A155" s="6" t="str">
        <f>IFERROR(VLOOKUP(D155,'Master sheet (Clientes)'!A$6:D$747,2,0)," ")</f>
        <v>NJ</v>
      </c>
      <c r="B155" s="6" t="str">
        <f>IFERROR(VLOOKUP(D155,'Master sheet (Clientes)'!A$6:D$747,3,0)," ")</f>
        <v>Greystar</v>
      </c>
      <c r="C155" s="6" t="str">
        <f>IFERROR(VLOOKUP(D155,'Master sheet (Clientes)'!A$6:D$747,4,0)," ")</f>
        <v>A-V</v>
      </c>
      <c r="D155" s="6" t="s">
        <v>304</v>
      </c>
      <c r="E155" s="6">
        <v>363</v>
      </c>
      <c r="F155" s="6" t="s">
        <v>854</v>
      </c>
      <c r="G155" s="6" t="s">
        <v>853</v>
      </c>
      <c r="H155" s="6" t="s">
        <v>1840</v>
      </c>
      <c r="I155" s="6" t="s">
        <v>1841</v>
      </c>
      <c r="J155" s="6" t="s">
        <v>48</v>
      </c>
      <c r="K155" s="6"/>
      <c r="L155" s="6"/>
      <c r="M155" s="6"/>
      <c r="N155" s="6"/>
      <c r="O155" s="13"/>
      <c r="P155" s="13"/>
      <c r="Q155" s="13"/>
    </row>
    <row r="156" spans="1:17" s="9" customFormat="1" ht="70.5">
      <c r="A156" s="6" t="str">
        <f>IFERROR(VLOOKUP(D156,'Master sheet (Clientes)'!A$6:D$747,2,0)," ")</f>
        <v>NJ</v>
      </c>
      <c r="B156" s="6" t="str">
        <f>IFERROR(VLOOKUP(D156,'Master sheet (Clientes)'!A$6:D$747,3,0)," ")</f>
        <v>Greystar</v>
      </c>
      <c r="C156" s="6" t="str">
        <f>IFERROR(VLOOKUP(D156,'Master sheet (Clientes)'!A$6:D$747,4,0)," ")</f>
        <v>A-V</v>
      </c>
      <c r="D156" s="6" t="s">
        <v>304</v>
      </c>
      <c r="E156" s="6">
        <v>155</v>
      </c>
      <c r="F156" s="6" t="s">
        <v>1455</v>
      </c>
      <c r="G156" s="6" t="s">
        <v>853</v>
      </c>
      <c r="H156" s="6" t="s">
        <v>1494</v>
      </c>
      <c r="I156" s="6" t="s">
        <v>1841</v>
      </c>
      <c r="J156" s="6" t="s">
        <v>48</v>
      </c>
      <c r="K156" s="6"/>
      <c r="L156" s="6"/>
      <c r="M156" s="6"/>
      <c r="N156" s="6"/>
      <c r="O156" s="13"/>
      <c r="P156" s="13"/>
      <c r="Q156" s="13"/>
    </row>
    <row r="157" spans="1:17" ht="70.5">
      <c r="A157" s="6" t="str">
        <f>IFERROR(VLOOKUP(D157,'Master sheet (Clientes)'!A$6:D$747,2,0)," ")</f>
        <v>NJ</v>
      </c>
      <c r="B157" s="6" t="str">
        <f>IFERROR(VLOOKUP(D157,'Master sheet (Clientes)'!A$6:D$747,3,0)," ")</f>
        <v>Greystar</v>
      </c>
      <c r="C157" s="6" t="str">
        <f>IFERROR(VLOOKUP(D157,'Master sheet (Clientes)'!A$6:D$747,4,0)," ")</f>
        <v>A-V</v>
      </c>
      <c r="D157" s="6" t="s">
        <v>351</v>
      </c>
      <c r="E157" s="6">
        <v>218</v>
      </c>
      <c r="F157" s="6" t="s">
        <v>45</v>
      </c>
      <c r="G157" s="6" t="s">
        <v>853</v>
      </c>
      <c r="H157" s="6" t="s">
        <v>1430</v>
      </c>
      <c r="I157" s="6" t="s">
        <v>1792</v>
      </c>
      <c r="J157" s="6" t="s">
        <v>48</v>
      </c>
      <c r="K157" s="6"/>
      <c r="L157" s="6"/>
      <c r="M157" s="6"/>
      <c r="N157" s="6"/>
    </row>
    <row r="158" spans="1:17" ht="70.5">
      <c r="A158" s="6" t="str">
        <f>IFERROR(VLOOKUP(D158,'Master sheet (Clientes)'!A$6:D$747,2,0)," ")</f>
        <v>NJ</v>
      </c>
      <c r="B158" s="6" t="str">
        <f>IFERROR(VLOOKUP(D158,'Master sheet (Clientes)'!A$6:D$747,3,0)," ")</f>
        <v>Greystar</v>
      </c>
      <c r="C158" s="6" t="str">
        <f>IFERROR(VLOOKUP(D158,'Master sheet (Clientes)'!A$6:D$747,4,0)," ")</f>
        <v>A-V</v>
      </c>
      <c r="D158" s="6" t="s">
        <v>351</v>
      </c>
      <c r="E158" s="6">
        <v>401</v>
      </c>
      <c r="F158" s="6" t="s">
        <v>45</v>
      </c>
      <c r="G158" s="6" t="s">
        <v>853</v>
      </c>
      <c r="H158" s="6" t="s">
        <v>1430</v>
      </c>
      <c r="I158" s="6" t="s">
        <v>1792</v>
      </c>
      <c r="J158" s="6" t="s">
        <v>48</v>
      </c>
      <c r="K158" s="6"/>
      <c r="L158" s="6"/>
      <c r="M158" s="6"/>
      <c r="N158" s="6"/>
    </row>
    <row r="159" spans="1:17" s="9" customFormat="1" ht="70.5">
      <c r="A159" s="6" t="str">
        <f>IFERROR(VLOOKUP(D159,'Master sheet (Clientes)'!A$6:D$747,2,0)," ")</f>
        <v>NJ</v>
      </c>
      <c r="B159" s="6" t="str">
        <f>IFERROR(VLOOKUP(D159,'Master sheet (Clientes)'!A$6:D$747,3,0)," ")</f>
        <v xml:space="preserve">Sparrow </v>
      </c>
      <c r="C159" s="6" t="str">
        <f>IFERROR(VLOOKUP(D159,'Master sheet (Clientes)'!A$6:D$747,4,0)," ")</f>
        <v>A-V</v>
      </c>
      <c r="D159" s="6" t="s">
        <v>750</v>
      </c>
      <c r="E159" s="6">
        <v>538</v>
      </c>
      <c r="F159" s="6" t="s">
        <v>854</v>
      </c>
      <c r="G159" s="6" t="s">
        <v>853</v>
      </c>
      <c r="H159" s="6" t="s">
        <v>1806</v>
      </c>
      <c r="I159" s="6" t="s">
        <v>1105</v>
      </c>
      <c r="J159" s="6" t="s">
        <v>48</v>
      </c>
      <c r="K159" s="6"/>
      <c r="L159" s="6"/>
      <c r="M159" s="6" t="s">
        <v>1436</v>
      </c>
      <c r="N159" s="6"/>
      <c r="O159" s="13"/>
      <c r="P159" s="13"/>
      <c r="Q159" s="13"/>
    </row>
    <row r="160" spans="1:17" ht="70.5">
      <c r="A160" s="6" t="str">
        <f>IFERROR(VLOOKUP(D160,'Master sheet (Clientes)'!A$6:D$747,2,0)," ")</f>
        <v>NJ</v>
      </c>
      <c r="B160" s="6" t="str">
        <f>IFERROR(VLOOKUP(D160,'Master sheet (Clientes)'!A$6:D$747,3,0)," ")</f>
        <v xml:space="preserve">Sparrow </v>
      </c>
      <c r="C160" s="6" t="str">
        <f>IFERROR(VLOOKUP(D160,'Master sheet (Clientes)'!A$6:D$747,4,0)," ")</f>
        <v>A-V</v>
      </c>
      <c r="D160" s="6" t="s">
        <v>750</v>
      </c>
      <c r="E160" s="6">
        <v>464</v>
      </c>
      <c r="F160" s="6" t="s">
        <v>45</v>
      </c>
      <c r="G160" s="6" t="s">
        <v>853</v>
      </c>
      <c r="H160" s="6" t="s">
        <v>1421</v>
      </c>
      <c r="I160" s="6" t="s">
        <v>1787</v>
      </c>
      <c r="J160" s="6" t="s">
        <v>48</v>
      </c>
      <c r="K160" s="6"/>
      <c r="L160" s="6"/>
      <c r="M160" s="6"/>
      <c r="N160" s="6"/>
    </row>
    <row r="161" spans="1:17">
      <c r="A161" s="3"/>
      <c r="B161" s="3"/>
      <c r="C161" s="3"/>
      <c r="D161" s="3"/>
      <c r="E161" s="3"/>
      <c r="F161" s="3"/>
      <c r="G161" s="3"/>
      <c r="H161" s="3"/>
      <c r="I161" s="3"/>
      <c r="K161" s="1"/>
      <c r="L161" s="1"/>
      <c r="M161" s="1"/>
      <c r="N161" s="1"/>
    </row>
    <row r="162" spans="1:17" s="1" customFormat="1" ht="47">
      <c r="A162" s="4" t="s">
        <v>8</v>
      </c>
      <c r="B162" s="4" t="s">
        <v>9</v>
      </c>
      <c r="C162" s="4" t="s">
        <v>10</v>
      </c>
      <c r="D162" s="4" t="s">
        <v>11</v>
      </c>
      <c r="E162" s="4" t="s">
        <v>12</v>
      </c>
      <c r="F162" s="4" t="s">
        <v>13</v>
      </c>
      <c r="G162" s="38" t="s">
        <v>14</v>
      </c>
      <c r="H162" s="4" t="s">
        <v>15</v>
      </c>
      <c r="I162" s="38" t="s">
        <v>16</v>
      </c>
      <c r="J162" s="38" t="s">
        <v>17</v>
      </c>
      <c r="K162" s="38" t="s">
        <v>18</v>
      </c>
      <c r="L162" s="38" t="s">
        <v>19</v>
      </c>
      <c r="M162" s="38" t="s">
        <v>20</v>
      </c>
      <c r="N162" s="38" t="s">
        <v>21</v>
      </c>
    </row>
    <row r="163" spans="1:17" s="9" customFormat="1" ht="164.5">
      <c r="A163" s="6" t="str">
        <f>IFERROR(VLOOKUP(D163,'Master sheet (Clientes)'!A$6:D$747,2,0)," ")</f>
        <v>NJ</v>
      </c>
      <c r="B163" s="6" t="str">
        <f>IFERROR(VLOOKUP(D163,'Master sheet (Clientes)'!A$6:D$747,3,0)," ")</f>
        <v>Diversified Properties</v>
      </c>
      <c r="C163" s="6" t="str">
        <f>IFERROR(VLOOKUP(D163,'Master sheet (Clientes)'!A$6:D$747,4,0)," ")</f>
        <v>A-V</v>
      </c>
      <c r="D163" s="6" t="s">
        <v>269</v>
      </c>
      <c r="E163" s="6" t="s">
        <v>1036</v>
      </c>
      <c r="F163" s="6"/>
      <c r="G163" s="6"/>
      <c r="H163" s="6" t="s">
        <v>1804</v>
      </c>
      <c r="I163" s="6" t="s">
        <v>1687</v>
      </c>
      <c r="J163" s="6" t="s">
        <v>48</v>
      </c>
      <c r="K163" s="6" t="s">
        <v>1037</v>
      </c>
      <c r="L163" s="6"/>
      <c r="M163" s="6" t="s">
        <v>1038</v>
      </c>
      <c r="N163" s="6"/>
      <c r="O163" s="13"/>
      <c r="P163" s="13"/>
      <c r="Q163" s="13"/>
    </row>
    <row r="164" spans="1:17" s="9" customFormat="1" ht="117.5">
      <c r="A164" s="6" t="str">
        <f>IFERROR(VLOOKUP(D164,'Master sheet (Clientes)'!A$6:D$747,2,0)," ")</f>
        <v>NJ</v>
      </c>
      <c r="B164" s="6" t="str">
        <f>IFERROR(VLOOKUP(D164,'Master sheet (Clientes)'!A$6:D$747,3,0)," ")</f>
        <v>Diversified Properties</v>
      </c>
      <c r="C164" s="6" t="str">
        <f>IFERROR(VLOOKUP(D164,'Master sheet (Clientes)'!A$6:D$747,4,0)," ")</f>
        <v>A-V</v>
      </c>
      <c r="D164" s="6" t="s">
        <v>269</v>
      </c>
      <c r="E164" s="6" t="s">
        <v>1192</v>
      </c>
      <c r="F164" s="6"/>
      <c r="G164" s="6"/>
      <c r="H164" s="6" t="s">
        <v>1805</v>
      </c>
      <c r="I164" s="6" t="s">
        <v>1735</v>
      </c>
      <c r="J164" s="6" t="s">
        <v>48</v>
      </c>
      <c r="K164" s="6" t="s">
        <v>1193</v>
      </c>
      <c r="L164" s="6"/>
      <c r="M164" s="6" t="s">
        <v>1194</v>
      </c>
      <c r="N164" s="6"/>
      <c r="O164" s="13"/>
      <c r="P164" s="13"/>
      <c r="Q164" s="13"/>
    </row>
    <row r="165" spans="1:17" ht="70.5">
      <c r="A165" s="6" t="str">
        <f>IFERROR(VLOOKUP(D165,'Master sheet (Clientes)'!A$6:D$747,2,0)," ")</f>
        <v>NJ</v>
      </c>
      <c r="B165" s="6" t="str">
        <f>IFERROR(VLOOKUP(D165,'Master sheet (Clientes)'!A$6:D$747,3,0)," ")</f>
        <v xml:space="preserve">Sparrow </v>
      </c>
      <c r="C165" s="6" t="str">
        <f>IFERROR(VLOOKUP(D165,'Master sheet (Clientes)'!A$6:D$747,4,0)," ")</f>
        <v>A-V</v>
      </c>
      <c r="D165" s="6" t="s">
        <v>750</v>
      </c>
      <c r="E165" s="6">
        <v>622</v>
      </c>
      <c r="F165" s="6" t="s">
        <v>1597</v>
      </c>
      <c r="G165" s="6" t="s">
        <v>853</v>
      </c>
      <c r="H165" s="6" t="s">
        <v>1421</v>
      </c>
      <c r="I165" s="6" t="s">
        <v>1284</v>
      </c>
      <c r="J165" s="6" t="s">
        <v>48</v>
      </c>
      <c r="K165" s="6"/>
      <c r="L165" s="6"/>
      <c r="M165" s="6"/>
      <c r="N165" s="6"/>
    </row>
    <row r="166" spans="1:17">
      <c r="A166" s="3"/>
      <c r="B166" s="3"/>
      <c r="C166" s="3"/>
      <c r="D166" s="3"/>
      <c r="E166" s="3"/>
      <c r="F166" s="3"/>
      <c r="G166" s="3"/>
      <c r="H166" s="3"/>
      <c r="I166" s="3"/>
      <c r="K166" s="1"/>
      <c r="L166" s="1"/>
      <c r="M166" s="1"/>
      <c r="N166" s="1"/>
    </row>
    <row r="167" spans="1:17" s="1" customFormat="1" ht="47">
      <c r="A167" s="4" t="s">
        <v>8</v>
      </c>
      <c r="B167" s="4" t="s">
        <v>9</v>
      </c>
      <c r="C167" s="4" t="s">
        <v>10</v>
      </c>
      <c r="D167" s="4" t="s">
        <v>11</v>
      </c>
      <c r="E167" s="4" t="s">
        <v>12</v>
      </c>
      <c r="F167" s="4" t="s">
        <v>13</v>
      </c>
      <c r="G167" s="38" t="s">
        <v>14</v>
      </c>
      <c r="H167" s="4" t="s">
        <v>15</v>
      </c>
      <c r="I167" s="38" t="s">
        <v>16</v>
      </c>
      <c r="J167" s="38" t="s">
        <v>17</v>
      </c>
      <c r="K167" s="38" t="s">
        <v>18</v>
      </c>
      <c r="L167" s="38" t="s">
        <v>19</v>
      </c>
      <c r="M167" s="38" t="s">
        <v>20</v>
      </c>
      <c r="N167" s="38" t="s">
        <v>21</v>
      </c>
    </row>
    <row r="168" spans="1:17" s="9" customFormat="1" ht="70.5">
      <c r="A168" s="6" t="str">
        <f>IFERROR(VLOOKUP(D168,'Master sheet (Clientes)'!A$6:D$747,2,0)," ")</f>
        <v>NJ</v>
      </c>
      <c r="B168" s="6" t="str">
        <f>IFERROR(VLOOKUP(D168,'Master sheet (Clientes)'!A$6:D$747,3,0)," ")</f>
        <v xml:space="preserve">BuildCare </v>
      </c>
      <c r="C168" s="6" t="str">
        <f>IFERROR(VLOOKUP(D168,'Master sheet (Clientes)'!A$6:D$747,4,0)," ")</f>
        <v>N/A</v>
      </c>
      <c r="D168" s="6" t="s">
        <v>196</v>
      </c>
      <c r="E168" s="6"/>
      <c r="F168" s="6"/>
      <c r="G168" s="6"/>
      <c r="H168" s="6" t="s">
        <v>1063</v>
      </c>
      <c r="I168" s="6" t="s">
        <v>990</v>
      </c>
      <c r="J168" s="6" t="s">
        <v>48</v>
      </c>
      <c r="K168" s="6"/>
      <c r="L168" s="6"/>
      <c r="M168" s="6" t="s">
        <v>1064</v>
      </c>
      <c r="N168" s="6"/>
      <c r="O168" s="13"/>
      <c r="P168" s="13"/>
      <c r="Q168" s="13"/>
    </row>
    <row r="169" spans="1:17">
      <c r="A169" s="3"/>
      <c r="B169" s="3"/>
      <c r="C169" s="3"/>
      <c r="D169" s="3"/>
      <c r="E169" s="3"/>
      <c r="F169" s="3"/>
      <c r="G169" s="3"/>
      <c r="H169" s="3"/>
      <c r="I169" s="3"/>
      <c r="K169" s="1"/>
      <c r="L169" s="1"/>
      <c r="M169" s="1"/>
      <c r="N169" s="1"/>
    </row>
    <row r="170" spans="1:17" s="1" customFormat="1" ht="47">
      <c r="A170" s="4" t="s">
        <v>8</v>
      </c>
      <c r="B170" s="4" t="s">
        <v>9</v>
      </c>
      <c r="C170" s="4" t="s">
        <v>10</v>
      </c>
      <c r="D170" s="4" t="s">
        <v>11</v>
      </c>
      <c r="E170" s="4" t="s">
        <v>12</v>
      </c>
      <c r="F170" s="4" t="s">
        <v>13</v>
      </c>
      <c r="G170" s="38" t="s">
        <v>14</v>
      </c>
      <c r="H170" s="4" t="s">
        <v>15</v>
      </c>
      <c r="I170" s="38" t="s">
        <v>16</v>
      </c>
      <c r="J170" s="38" t="s">
        <v>17</v>
      </c>
      <c r="K170" s="38" t="s">
        <v>18</v>
      </c>
      <c r="L170" s="38" t="s">
        <v>19</v>
      </c>
      <c r="M170" s="38" t="s">
        <v>20</v>
      </c>
      <c r="N170" s="38" t="s">
        <v>21</v>
      </c>
    </row>
    <row r="171" spans="1:17" ht="70.5">
      <c r="A171" s="6" t="str">
        <f>IFERROR(VLOOKUP(D171,'Master sheet (Clientes)'!A$6:D$747,2,0)," ")</f>
        <v>NJ</v>
      </c>
      <c r="B171" s="6" t="str">
        <f>IFERROR(VLOOKUP(D171,'Master sheet (Clientes)'!A$6:D$747,3,0)," ")</f>
        <v>Willow Bridge P.C.</v>
      </c>
      <c r="C171" s="6" t="str">
        <f>IFERROR(VLOOKUP(D171,'Master sheet (Clientes)'!A$6:D$747,4,0)," ")</f>
        <v>N-O</v>
      </c>
      <c r="D171" s="6" t="s">
        <v>253</v>
      </c>
      <c r="E171" s="6">
        <v>4106</v>
      </c>
      <c r="F171" s="6"/>
      <c r="G171" s="6" t="s">
        <v>853</v>
      </c>
      <c r="H171" s="6" t="s">
        <v>1542</v>
      </c>
      <c r="I171" s="6" t="s">
        <v>1791</v>
      </c>
      <c r="J171" s="6" t="s">
        <v>48</v>
      </c>
      <c r="K171" s="6"/>
      <c r="L171" s="6"/>
      <c r="M171" s="6"/>
      <c r="N171" s="6"/>
    </row>
    <row r="172" spans="1:17" ht="70.5">
      <c r="A172" s="6" t="str">
        <f>IFERROR(VLOOKUP(D172,'Master sheet (Clientes)'!A$6:D$747,2,0)," ")</f>
        <v>NJ</v>
      </c>
      <c r="B172" s="6" t="str">
        <f>IFERROR(VLOOKUP(D172,'Master sheet (Clientes)'!A$6:D$747,3,0)," ")</f>
        <v>Willow Bridge P.C.</v>
      </c>
      <c r="C172" s="6" t="str">
        <f>IFERROR(VLOOKUP(D172,'Master sheet (Clientes)'!A$6:D$747,4,0)," ")</f>
        <v>N-O</v>
      </c>
      <c r="D172" s="6" t="s">
        <v>253</v>
      </c>
      <c r="E172" s="6">
        <v>4206</v>
      </c>
      <c r="F172" s="6"/>
      <c r="G172" s="6" t="s">
        <v>853</v>
      </c>
      <c r="H172" s="6" t="s">
        <v>1543</v>
      </c>
      <c r="I172" s="6" t="s">
        <v>1791</v>
      </c>
      <c r="J172" s="6" t="s">
        <v>48</v>
      </c>
      <c r="K172" s="6"/>
      <c r="L172" s="6"/>
      <c r="M172" s="6"/>
      <c r="N172" s="6"/>
    </row>
    <row r="173" spans="1:17">
      <c r="A173" s="3"/>
      <c r="B173" s="3"/>
      <c r="C173" s="3"/>
      <c r="D173" s="3"/>
      <c r="E173" s="3"/>
      <c r="F173" s="3"/>
      <c r="G173" s="3"/>
      <c r="H173" s="3"/>
      <c r="I173" s="3"/>
      <c r="K173" s="1"/>
      <c r="L173" s="1"/>
      <c r="M173" s="1"/>
      <c r="N173" s="1"/>
    </row>
    <row r="174" spans="1:17" s="1" customFormat="1" ht="47">
      <c r="A174" s="4" t="s">
        <v>8</v>
      </c>
      <c r="B174" s="4" t="s">
        <v>9</v>
      </c>
      <c r="C174" s="4" t="s">
        <v>10</v>
      </c>
      <c r="D174" s="4" t="s">
        <v>11</v>
      </c>
      <c r="E174" s="4" t="s">
        <v>12</v>
      </c>
      <c r="F174" s="4" t="s">
        <v>13</v>
      </c>
      <c r="G174" s="38" t="s">
        <v>14</v>
      </c>
      <c r="H174" s="4" t="s">
        <v>15</v>
      </c>
      <c r="I174" s="38" t="s">
        <v>16</v>
      </c>
      <c r="J174" s="38" t="s">
        <v>17</v>
      </c>
      <c r="K174" s="38" t="s">
        <v>18</v>
      </c>
      <c r="L174" s="38" t="s">
        <v>19</v>
      </c>
      <c r="M174" s="38" t="s">
        <v>20</v>
      </c>
      <c r="N174" s="38" t="s">
        <v>21</v>
      </c>
    </row>
    <row r="175" spans="1:17" ht="70.5">
      <c r="A175" s="6" t="str">
        <f>IFERROR(VLOOKUP(D175,'Master sheet (Clientes)'!A$6:D$747,2,0)," ")</f>
        <v>NJ</v>
      </c>
      <c r="B175" s="6" t="str">
        <f>IFERROR(VLOOKUP(D175,'Master sheet (Clientes)'!A$6:D$747,3,0)," ")</f>
        <v>Bozzuto</v>
      </c>
      <c r="C175" s="6" t="str">
        <f>IFERROR(VLOOKUP(D175,'Master sheet (Clientes)'!A$6:D$747,4,0)," ")</f>
        <v>N-O</v>
      </c>
      <c r="D175" s="6" t="s">
        <v>158</v>
      </c>
      <c r="E175" s="6">
        <v>213</v>
      </c>
      <c r="F175" s="6"/>
      <c r="G175" s="6" t="s">
        <v>853</v>
      </c>
      <c r="H175" s="6" t="s">
        <v>1722</v>
      </c>
      <c r="I175" s="6" t="s">
        <v>1793</v>
      </c>
      <c r="J175" s="6" t="s">
        <v>48</v>
      </c>
      <c r="K175" s="6"/>
      <c r="L175" s="6"/>
      <c r="M175" s="6"/>
      <c r="N175" s="6"/>
    </row>
    <row r="176" spans="1:17" ht="70.5">
      <c r="A176" s="6" t="str">
        <f>IFERROR(VLOOKUP(D176,'Master sheet (Clientes)'!A$6:D$747,2,0)," ")</f>
        <v>NJ</v>
      </c>
      <c r="B176" s="6" t="str">
        <f>IFERROR(VLOOKUP(D176,'Master sheet (Clientes)'!A$6:D$747,3,0)," ")</f>
        <v>Greystar</v>
      </c>
      <c r="C176" s="6" t="str">
        <f>IFERROR(VLOOKUP(D176,'Master sheet (Clientes)'!A$6:D$747,4,0)," ")</f>
        <v>A-V</v>
      </c>
      <c r="D176" s="6" t="s">
        <v>338</v>
      </c>
      <c r="E176" s="6" t="s">
        <v>1772</v>
      </c>
      <c r="F176" s="6"/>
      <c r="G176" s="6" t="s">
        <v>837</v>
      </c>
      <c r="H176" s="6" t="s">
        <v>1774</v>
      </c>
      <c r="I176" s="6" t="s">
        <v>1794</v>
      </c>
      <c r="J176" s="6" t="s">
        <v>48</v>
      </c>
      <c r="K176" s="6"/>
      <c r="L176" s="6"/>
      <c r="M176" s="6"/>
      <c r="N176" s="6"/>
    </row>
    <row r="177" spans="1:17">
      <c r="A177" s="1"/>
      <c r="B177" s="1"/>
      <c r="C177" s="1"/>
      <c r="D177" s="1"/>
      <c r="E177" s="1"/>
      <c r="F177" s="1"/>
      <c r="G177" s="1"/>
      <c r="H177" s="1"/>
      <c r="I177" s="1"/>
      <c r="J177" s="1"/>
      <c r="K177" s="1"/>
      <c r="L177" s="1"/>
      <c r="M177" s="1"/>
      <c r="N177" s="1"/>
    </row>
    <row r="178" spans="1:17" s="1" customFormat="1" ht="47">
      <c r="A178" s="4" t="s">
        <v>8</v>
      </c>
      <c r="B178" s="4" t="s">
        <v>9</v>
      </c>
      <c r="C178" s="4" t="s">
        <v>10</v>
      </c>
      <c r="D178" s="4" t="s">
        <v>11</v>
      </c>
      <c r="E178" s="4" t="s">
        <v>12</v>
      </c>
      <c r="F178" s="4" t="s">
        <v>13</v>
      </c>
      <c r="G178" s="38" t="s">
        <v>14</v>
      </c>
      <c r="H178" s="4" t="s">
        <v>15</v>
      </c>
      <c r="I178" s="38" t="s">
        <v>16</v>
      </c>
      <c r="J178" s="38" t="s">
        <v>17</v>
      </c>
      <c r="K178" s="38" t="s">
        <v>18</v>
      </c>
      <c r="L178" s="38" t="s">
        <v>19</v>
      </c>
      <c r="M178" s="38" t="s">
        <v>20</v>
      </c>
      <c r="N178" s="38" t="s">
        <v>21</v>
      </c>
    </row>
    <row r="179" spans="1:17" ht="70.5">
      <c r="A179" s="6" t="str">
        <f>IFERROR(VLOOKUP(D179,'Master sheet (Clientes)'!A$6:D$747,2,0)," ")</f>
        <v>NJ</v>
      </c>
      <c r="B179" s="6" t="str">
        <f>IFERROR(VLOOKUP(D179,'Master sheet (Clientes)'!A$6:D$747,3,0)," ")</f>
        <v>Greystar</v>
      </c>
      <c r="C179" s="6" t="str">
        <f>IFERROR(VLOOKUP(D179,'Master sheet (Clientes)'!A$6:D$747,4,0)," ")</f>
        <v>A-V</v>
      </c>
      <c r="D179" s="6" t="s">
        <v>338</v>
      </c>
      <c r="E179" s="6" t="s">
        <v>1725</v>
      </c>
      <c r="F179" s="6"/>
      <c r="G179" s="6"/>
      <c r="H179" s="6" t="s">
        <v>1837</v>
      </c>
      <c r="I179" s="6" t="s">
        <v>1838</v>
      </c>
      <c r="J179" s="6" t="s">
        <v>48</v>
      </c>
      <c r="K179" s="6"/>
      <c r="L179" s="6"/>
      <c r="M179" s="6"/>
      <c r="N179" s="6"/>
    </row>
    <row r="180" spans="1:17" ht="94">
      <c r="A180" s="6" t="str">
        <f>IFERROR(VLOOKUP(D180,'Master sheet (Clientes)'!A$6:D$747,2,0)," ")</f>
        <v>NJ</v>
      </c>
      <c r="B180" s="6" t="str">
        <f>IFERROR(VLOOKUP(D180,'Master sheet (Clientes)'!A$6:D$747,3,0)," ")</f>
        <v>Willow Bridge P.C.</v>
      </c>
      <c r="C180" s="6" t="str">
        <f>IFERROR(VLOOKUP(D180,'Master sheet (Clientes)'!A$6:D$747,4,0)," ")</f>
        <v>N-O</v>
      </c>
      <c r="D180" s="6" t="s">
        <v>253</v>
      </c>
      <c r="E180" s="6">
        <v>5116</v>
      </c>
      <c r="F180" s="6"/>
      <c r="G180" s="6" t="s">
        <v>853</v>
      </c>
      <c r="H180" s="6" t="s">
        <v>1674</v>
      </c>
      <c r="I180" s="77" t="s">
        <v>1675</v>
      </c>
      <c r="J180" s="6" t="s">
        <v>48</v>
      </c>
      <c r="K180" s="6"/>
      <c r="L180" s="6"/>
      <c r="M180" s="6"/>
      <c r="N180" s="6"/>
    </row>
    <row r="181" spans="1:17">
      <c r="A181" s="6" t="str">
        <f>IFERROR(VLOOKUP(D181,'Master sheet (Clientes)'!A$6:D$747,2,0)," ")</f>
        <v xml:space="preserve"> </v>
      </c>
      <c r="B181" s="6" t="str">
        <f>IFERROR(VLOOKUP(D181,'Master sheet (Clientes)'!A$6:D$747,3,0)," ")</f>
        <v xml:space="preserve"> </v>
      </c>
      <c r="C181" s="6" t="str">
        <f>IFERROR(VLOOKUP(D181,'Master sheet (Clientes)'!A$6:D$747,4,0)," ")</f>
        <v xml:space="preserve"> </v>
      </c>
      <c r="D181" s="6"/>
      <c r="E181" s="6"/>
      <c r="F181" s="6"/>
      <c r="G181" s="6"/>
      <c r="H181" s="6"/>
      <c r="I181" s="6"/>
      <c r="J181" s="6"/>
      <c r="K181" s="6"/>
      <c r="L181" s="6"/>
      <c r="M181" s="6"/>
      <c r="N181" s="6"/>
    </row>
    <row r="182" spans="1:17">
      <c r="A182" s="6" t="str">
        <f>IFERROR(VLOOKUP(D182,'Master sheet (Clientes)'!A$6:D$747,2,0)," ")</f>
        <v xml:space="preserve"> </v>
      </c>
      <c r="B182" s="6" t="str">
        <f>IFERROR(VLOOKUP(D182,'Master sheet (Clientes)'!A$6:D$747,3,0)," ")</f>
        <v xml:space="preserve"> </v>
      </c>
      <c r="C182" s="6" t="str">
        <f>IFERROR(VLOOKUP(D182,'Master sheet (Clientes)'!A$6:D$747,4,0)," ")</f>
        <v xml:space="preserve"> </v>
      </c>
      <c r="D182" s="6"/>
      <c r="E182" s="6"/>
      <c r="F182" s="6"/>
      <c r="G182" s="6"/>
      <c r="H182" s="6"/>
      <c r="I182" s="6"/>
      <c r="J182" s="6"/>
      <c r="K182" s="6"/>
      <c r="L182" s="6"/>
      <c r="M182" s="6"/>
      <c r="N182" s="6"/>
    </row>
    <row r="183" spans="1:17">
      <c r="A183" s="1"/>
      <c r="B183" s="1"/>
      <c r="C183" s="1"/>
      <c r="D183" s="1"/>
      <c r="E183" s="1"/>
      <c r="F183" s="1"/>
      <c r="G183" s="1"/>
      <c r="H183" s="1"/>
      <c r="I183" s="1"/>
      <c r="J183" s="1"/>
      <c r="K183" s="1"/>
      <c r="L183" s="1"/>
      <c r="M183" s="1"/>
      <c r="N183" s="1"/>
    </row>
    <row r="184" spans="1:17" s="1" customFormat="1" ht="47">
      <c r="A184" s="4" t="s">
        <v>8</v>
      </c>
      <c r="B184" s="4" t="s">
        <v>9</v>
      </c>
      <c r="C184" s="4" t="s">
        <v>10</v>
      </c>
      <c r="D184" s="4" t="s">
        <v>11</v>
      </c>
      <c r="E184" s="4" t="s">
        <v>12</v>
      </c>
      <c r="F184" s="4" t="s">
        <v>13</v>
      </c>
      <c r="G184" s="38" t="s">
        <v>14</v>
      </c>
      <c r="H184" s="4" t="s">
        <v>15</v>
      </c>
      <c r="I184" s="38" t="s">
        <v>16</v>
      </c>
      <c r="J184" s="38" t="s">
        <v>17</v>
      </c>
      <c r="K184" s="38" t="s">
        <v>18</v>
      </c>
      <c r="L184" s="38" t="s">
        <v>19</v>
      </c>
      <c r="M184" s="38" t="s">
        <v>20</v>
      </c>
      <c r="N184" s="38" t="s">
        <v>21</v>
      </c>
    </row>
    <row r="185" spans="1:17" s="9" customFormat="1" ht="70.5">
      <c r="A185" s="6" t="str">
        <f>IFERROR(VLOOKUP(D185,'Master sheet (Clientes)'!A$6:D$747,2,0)," ")</f>
        <v>NJ</v>
      </c>
      <c r="B185" s="6" t="str">
        <f>IFERROR(VLOOKUP(D185,'Master sheet (Clientes)'!A$6:D$747,3,0)," ")</f>
        <v xml:space="preserve">Sparrow </v>
      </c>
      <c r="C185" s="6" t="str">
        <f>IFERROR(VLOOKUP(D185,'Master sheet (Clientes)'!A$6:D$747,4,0)," ")</f>
        <v>A-V</v>
      </c>
      <c r="D185" s="6" t="s">
        <v>750</v>
      </c>
      <c r="E185" s="6">
        <v>538</v>
      </c>
      <c r="F185" s="6" t="s">
        <v>854</v>
      </c>
      <c r="G185" s="6" t="s">
        <v>853</v>
      </c>
      <c r="H185" s="6" t="s">
        <v>1807</v>
      </c>
      <c r="I185" s="6" t="s">
        <v>1137</v>
      </c>
      <c r="J185" s="6" t="s">
        <v>48</v>
      </c>
      <c r="K185" s="6"/>
      <c r="L185" s="6"/>
      <c r="M185" s="6" t="s">
        <v>1436</v>
      </c>
      <c r="N185" s="6"/>
      <c r="O185" s="13"/>
      <c r="P185" s="13"/>
      <c r="Q185" s="13"/>
    </row>
    <row r="186" spans="1:17">
      <c r="A186" s="6" t="str">
        <f>IFERROR(VLOOKUP(D186,'Master sheet (Clientes)'!A$6:D$747,2,0)," ")</f>
        <v xml:space="preserve"> </v>
      </c>
      <c r="B186" s="6" t="str">
        <f>IFERROR(VLOOKUP(D186,'Master sheet (Clientes)'!A$6:D$747,3,0)," ")</f>
        <v xml:space="preserve"> </v>
      </c>
      <c r="C186" s="6" t="str">
        <f>IFERROR(VLOOKUP(D186,'Master sheet (Clientes)'!A$6:D$747,4,0)," ")</f>
        <v xml:space="preserve"> </v>
      </c>
      <c r="D186" s="6"/>
      <c r="E186" s="6"/>
      <c r="F186" s="6"/>
      <c r="G186" s="6"/>
      <c r="H186" s="6"/>
      <c r="I186" s="6"/>
      <c r="J186" s="6"/>
      <c r="K186" s="6"/>
      <c r="L186" s="6"/>
      <c r="M186" s="6"/>
      <c r="N186" s="6"/>
    </row>
    <row r="187" spans="1:17">
      <c r="A187" s="6" t="str">
        <f>IFERROR(VLOOKUP(D187,'Master sheet (Clientes)'!A$6:D$747,2,0)," ")</f>
        <v xml:space="preserve"> </v>
      </c>
      <c r="B187" s="6" t="str">
        <f>IFERROR(VLOOKUP(D187,'Master sheet (Clientes)'!A$6:D$747,3,0)," ")</f>
        <v xml:space="preserve"> </v>
      </c>
      <c r="C187" s="6" t="str">
        <f>IFERROR(VLOOKUP(D187,'Master sheet (Clientes)'!A$6:D$747,4,0)," ")</f>
        <v xml:space="preserve"> </v>
      </c>
      <c r="D187" s="6"/>
      <c r="E187" s="6"/>
      <c r="F187" s="6"/>
      <c r="G187" s="6"/>
      <c r="H187" s="6"/>
      <c r="I187" s="6"/>
      <c r="J187" s="6"/>
      <c r="K187" s="6"/>
      <c r="L187" s="6"/>
      <c r="M187" s="6"/>
      <c r="N187" s="6"/>
    </row>
    <row r="188" spans="1:17" s="5" customFormat="1">
      <c r="A188" s="1"/>
      <c r="B188" s="1"/>
      <c r="C188" s="1"/>
      <c r="D188" s="1"/>
      <c r="E188" s="1"/>
      <c r="F188" s="1"/>
      <c r="G188" s="1"/>
      <c r="H188" s="1"/>
      <c r="I188" s="1"/>
      <c r="J188" s="1"/>
      <c r="K188" s="1"/>
      <c r="L188" s="1"/>
      <c r="M188" s="1"/>
      <c r="N188" s="1"/>
      <c r="O188" s="35"/>
      <c r="P188" s="35"/>
      <c r="Q188" s="35"/>
    </row>
    <row r="189" spans="1:17" s="1" customFormat="1" ht="47">
      <c r="A189" s="4" t="s">
        <v>8</v>
      </c>
      <c r="B189" s="4" t="s">
        <v>9</v>
      </c>
      <c r="C189" s="4" t="s">
        <v>10</v>
      </c>
      <c r="D189" s="4" t="s">
        <v>11</v>
      </c>
      <c r="E189" s="4" t="s">
        <v>12</v>
      </c>
      <c r="F189" s="4" t="s">
        <v>13</v>
      </c>
      <c r="G189" s="38" t="s">
        <v>14</v>
      </c>
      <c r="H189" s="4" t="s">
        <v>15</v>
      </c>
      <c r="I189" s="38" t="s">
        <v>16</v>
      </c>
      <c r="J189" s="38" t="s">
        <v>17</v>
      </c>
      <c r="K189" s="38" t="s">
        <v>18</v>
      </c>
      <c r="L189" s="38" t="s">
        <v>19</v>
      </c>
      <c r="M189" s="38" t="s">
        <v>20</v>
      </c>
      <c r="N189" s="38" t="s">
        <v>21</v>
      </c>
    </row>
    <row r="190" spans="1:17" s="9" customFormat="1" ht="70.5">
      <c r="A190" s="6" t="str">
        <f>IFERROR(VLOOKUP(D190,'Master sheet (Clientes)'!A$6:D$747,2,0)," ")</f>
        <v>NJ</v>
      </c>
      <c r="B190" s="6" t="str">
        <f>IFERROR(VLOOKUP(D190,'Master sheet (Clientes)'!A$6:D$747,3,0)," ")</f>
        <v>Willow Bridge P.C.</v>
      </c>
      <c r="C190" s="6" t="str">
        <f>IFERROR(VLOOKUP(D190,'Master sheet (Clientes)'!A$6:D$747,4,0)," ")</f>
        <v>N-O</v>
      </c>
      <c r="D190" s="6" t="s">
        <v>253</v>
      </c>
      <c r="E190" s="6" t="s">
        <v>1588</v>
      </c>
      <c r="F190" s="6"/>
      <c r="G190" s="6"/>
      <c r="H190" s="6" t="s">
        <v>1590</v>
      </c>
      <c r="I190" s="6" t="s">
        <v>1075</v>
      </c>
      <c r="J190" s="6" t="s">
        <v>48</v>
      </c>
      <c r="K190" s="6"/>
      <c r="L190" s="6"/>
      <c r="M190" s="6"/>
      <c r="N190" s="6"/>
      <c r="O190" s="13"/>
      <c r="P190" s="13"/>
      <c r="Q190" s="13"/>
    </row>
    <row r="191" spans="1:17">
      <c r="A191" s="1"/>
      <c r="B191" s="1"/>
      <c r="C191" s="1"/>
      <c r="D191" s="1"/>
      <c r="E191" s="1"/>
      <c r="F191" s="1"/>
      <c r="G191" s="1"/>
      <c r="H191" s="1"/>
      <c r="I191" s="1"/>
      <c r="J191" s="1"/>
      <c r="K191" s="1"/>
      <c r="L191" s="1"/>
      <c r="M191" s="1"/>
      <c r="N191" s="1"/>
    </row>
    <row r="192" spans="1:17" ht="47">
      <c r="A192" s="4" t="s">
        <v>8</v>
      </c>
      <c r="B192" s="4" t="s">
        <v>9</v>
      </c>
      <c r="C192" s="4" t="s">
        <v>10</v>
      </c>
      <c r="D192" s="4" t="s">
        <v>11</v>
      </c>
      <c r="E192" s="4" t="s">
        <v>12</v>
      </c>
      <c r="F192" s="4" t="s">
        <v>13</v>
      </c>
      <c r="G192" s="38" t="s">
        <v>14</v>
      </c>
      <c r="H192" s="4" t="s">
        <v>22</v>
      </c>
      <c r="I192" s="38" t="s">
        <v>23</v>
      </c>
      <c r="J192" s="38" t="s">
        <v>17</v>
      </c>
      <c r="K192" s="38" t="s">
        <v>18</v>
      </c>
      <c r="L192" s="38" t="s">
        <v>19</v>
      </c>
      <c r="M192" s="38" t="s">
        <v>20</v>
      </c>
      <c r="N192" s="38" t="s">
        <v>21</v>
      </c>
    </row>
    <row r="193" spans="1:17">
      <c r="A193" s="21" t="str">
        <f>IFERROR(VLOOKUP(D193,'Master sheet (Clientes)'!A$6:D$747,2,0)," ")</f>
        <v xml:space="preserve"> </v>
      </c>
      <c r="B193" s="21" t="str">
        <f>IFERROR(VLOOKUP(D193,'Master sheet (Clientes)'!A$6:D$747,3,0)," ")</f>
        <v xml:space="preserve"> </v>
      </c>
      <c r="C193" s="21" t="str">
        <f>IFERROR(VLOOKUP(D193,'Master sheet (Clientes)'!A$6:D$747,4,0)," ")</f>
        <v xml:space="preserve"> </v>
      </c>
      <c r="D193" s="21"/>
      <c r="E193" s="53"/>
      <c r="F193" s="21"/>
      <c r="G193" s="53"/>
      <c r="H193" s="21"/>
      <c r="I193" s="53"/>
      <c r="J193" s="21"/>
      <c r="K193" s="21"/>
      <c r="L193" s="21"/>
      <c r="M193" s="21"/>
      <c r="N193" s="21"/>
    </row>
    <row r="194" spans="1:17">
      <c r="A194" s="1"/>
      <c r="B194" s="1"/>
      <c r="C194" s="1"/>
      <c r="D194" s="1"/>
      <c r="E194" s="1"/>
      <c r="F194" s="1"/>
      <c r="G194" s="1"/>
      <c r="H194" s="1"/>
      <c r="I194" s="1"/>
      <c r="K194" s="1"/>
      <c r="L194" s="1"/>
      <c r="M194" s="1"/>
      <c r="N194" s="1"/>
    </row>
    <row r="195" spans="1:17" ht="26">
      <c r="A195" s="33"/>
      <c r="B195" s="33"/>
      <c r="C195" s="33"/>
      <c r="D195" s="127" t="s">
        <v>30</v>
      </c>
      <c r="E195" s="127"/>
      <c r="F195" s="127"/>
      <c r="G195" s="127"/>
      <c r="H195" s="127"/>
      <c r="I195" s="127"/>
      <c r="J195" s="127"/>
      <c r="K195" s="127"/>
      <c r="L195" s="127"/>
      <c r="M195" s="16"/>
      <c r="N195" s="16"/>
    </row>
    <row r="196" spans="1:17" s="5" customFormat="1" ht="26">
      <c r="A196" s="43"/>
      <c r="B196" s="43"/>
      <c r="C196" s="43"/>
      <c r="D196" s="128" t="s">
        <v>31</v>
      </c>
      <c r="E196" s="128"/>
      <c r="F196" s="128"/>
      <c r="G196" s="128"/>
      <c r="H196" s="128"/>
      <c r="I196" s="128"/>
      <c r="J196" s="128"/>
      <c r="K196" s="128"/>
      <c r="L196" s="128"/>
      <c r="M196" s="44"/>
      <c r="N196" s="44"/>
      <c r="O196" s="35"/>
      <c r="P196" s="35"/>
      <c r="Q196" s="35"/>
    </row>
    <row r="197" spans="1:17">
      <c r="A197" s="3"/>
      <c r="B197" s="3"/>
      <c r="C197" s="3"/>
      <c r="D197" s="3"/>
      <c r="E197" s="3"/>
      <c r="F197" s="3"/>
      <c r="G197" s="3"/>
      <c r="H197" s="3"/>
      <c r="I197" s="3"/>
      <c r="K197" s="1"/>
      <c r="L197" s="1"/>
      <c r="M197" s="1"/>
      <c r="N197" s="1"/>
    </row>
    <row r="198" spans="1:17" s="1" customFormat="1" ht="47">
      <c r="A198" s="4" t="s">
        <v>8</v>
      </c>
      <c r="B198" s="4" t="s">
        <v>9</v>
      </c>
      <c r="C198" s="4" t="s">
        <v>10</v>
      </c>
      <c r="D198" s="4" t="s">
        <v>11</v>
      </c>
      <c r="E198" s="4" t="s">
        <v>12</v>
      </c>
      <c r="F198" s="4" t="s">
        <v>13</v>
      </c>
      <c r="G198" s="38" t="s">
        <v>14</v>
      </c>
      <c r="H198" s="4" t="s">
        <v>15</v>
      </c>
      <c r="I198" s="38" t="s">
        <v>16</v>
      </c>
      <c r="J198" s="38" t="s">
        <v>17</v>
      </c>
      <c r="K198" s="38" t="s">
        <v>18</v>
      </c>
      <c r="L198" s="38" t="s">
        <v>19</v>
      </c>
      <c r="M198" s="38" t="s">
        <v>20</v>
      </c>
      <c r="N198" s="38" t="s">
        <v>21</v>
      </c>
    </row>
    <row r="199" spans="1:17" s="9" customFormat="1" ht="47">
      <c r="A199" s="6" t="str">
        <f>IFERROR(VLOOKUP(D199,'Master sheet (Clientes)'!A$6:D$747,2,0)," ")</f>
        <v>NJ</v>
      </c>
      <c r="B199" s="6" t="str">
        <f>IFERROR(VLOOKUP(D199,'Master sheet (Clientes)'!A$6:D$747,3,0)," ")</f>
        <v xml:space="preserve">KRE Group Management </v>
      </c>
      <c r="C199" s="6" t="str">
        <f>IFERROR(VLOOKUP(D199,'Master sheet (Clientes)'!A$6:D$747,4,0)," ")</f>
        <v>A-V</v>
      </c>
      <c r="D199" s="6" t="s">
        <v>384</v>
      </c>
      <c r="E199" s="6"/>
      <c r="F199" s="6"/>
      <c r="G199" s="6"/>
      <c r="H199" s="6" t="s">
        <v>1017</v>
      </c>
      <c r="I199" s="6" t="s">
        <v>1018</v>
      </c>
      <c r="J199" s="6" t="s">
        <v>48</v>
      </c>
      <c r="K199" s="6"/>
      <c r="L199" s="6"/>
      <c r="M199" s="6"/>
      <c r="N199" s="6"/>
      <c r="O199" s="13"/>
      <c r="P199" s="13"/>
      <c r="Q199" s="13"/>
    </row>
    <row r="200" spans="1:17" s="9" customFormat="1" ht="70.5">
      <c r="A200" s="6" t="str">
        <f>IFERROR(VLOOKUP(D200,'Master sheet (Clientes)'!A$6:D$747,2,0)," ")</f>
        <v>NJ</v>
      </c>
      <c r="B200" s="6" t="str">
        <f>IFERROR(VLOOKUP(D200,'Master sheet (Clientes)'!A$6:D$747,3,0)," ")</f>
        <v xml:space="preserve">KRE Group Management </v>
      </c>
      <c r="C200" s="6" t="str">
        <f>IFERROR(VLOOKUP(D200,'Master sheet (Clientes)'!A$6:D$747,4,0)," ")</f>
        <v>A-V</v>
      </c>
      <c r="D200" s="6" t="s">
        <v>392</v>
      </c>
      <c r="E200" s="6"/>
      <c r="F200" s="6"/>
      <c r="G200" s="6"/>
      <c r="H200" s="6" t="s">
        <v>1015</v>
      </c>
      <c r="I200" s="6" t="s">
        <v>1019</v>
      </c>
      <c r="J200" s="6" t="s">
        <v>48</v>
      </c>
      <c r="K200" s="6"/>
      <c r="L200" s="6"/>
      <c r="M200" s="6" t="s">
        <v>1020</v>
      </c>
      <c r="N200" s="6"/>
      <c r="O200" s="13"/>
      <c r="P200" s="13"/>
      <c r="Q200" s="13"/>
    </row>
    <row r="201" spans="1:17" ht="70.5">
      <c r="A201" s="6" t="str">
        <f>IFERROR(VLOOKUP(D201,'Master sheet (Clientes)'!A$6:D$747,2,0)," ")</f>
        <v>NJ</v>
      </c>
      <c r="B201" s="6" t="str">
        <f>IFERROR(VLOOKUP(D201,'Master sheet (Clientes)'!A$6:D$747,3,0)," ")</f>
        <v>Greystar</v>
      </c>
      <c r="C201" s="6" t="str">
        <f>IFERROR(VLOOKUP(D201,'Master sheet (Clientes)'!A$6:D$747,4,0)," ")</f>
        <v>A-V</v>
      </c>
      <c r="D201" s="6" t="s">
        <v>361</v>
      </c>
      <c r="E201" s="6" t="s">
        <v>1445</v>
      </c>
      <c r="F201" s="6" t="s">
        <v>946</v>
      </c>
      <c r="G201" s="6" t="s">
        <v>853</v>
      </c>
      <c r="H201" s="6" t="s">
        <v>1447</v>
      </c>
      <c r="I201" s="6" t="s">
        <v>1846</v>
      </c>
      <c r="J201" s="6" t="s">
        <v>48</v>
      </c>
      <c r="K201" s="6"/>
      <c r="L201" s="6"/>
      <c r="M201" s="6" t="s">
        <v>1449</v>
      </c>
      <c r="N201" s="6"/>
    </row>
    <row r="202" spans="1:17" ht="70.5">
      <c r="A202" s="6" t="str">
        <f>IFERROR(VLOOKUP(D202,'Master sheet (Clientes)'!A$6:D$747,2,0)," ")</f>
        <v>NJ</v>
      </c>
      <c r="B202" s="6" t="str">
        <f>IFERROR(VLOOKUP(D202,'Master sheet (Clientes)'!A$6:D$747,3,0)," ")</f>
        <v>Greystar</v>
      </c>
      <c r="C202" s="6" t="str">
        <f>IFERROR(VLOOKUP(D202,'Master sheet (Clientes)'!A$6:D$747,4,0)," ")</f>
        <v>A-V</v>
      </c>
      <c r="D202" s="6" t="s">
        <v>361</v>
      </c>
      <c r="E202" s="6" t="s">
        <v>1452</v>
      </c>
      <c r="F202" s="6" t="s">
        <v>876</v>
      </c>
      <c r="G202" s="6" t="s">
        <v>853</v>
      </c>
      <c r="H202" s="6" t="s">
        <v>860</v>
      </c>
      <c r="I202" s="6" t="s">
        <v>1798</v>
      </c>
      <c r="J202" s="6" t="s">
        <v>48</v>
      </c>
      <c r="K202" s="6"/>
      <c r="L202" s="6"/>
      <c r="M202" s="6" t="s">
        <v>1448</v>
      </c>
      <c r="N202" s="6"/>
    </row>
    <row r="203" spans="1:17" ht="47">
      <c r="A203" s="6" t="str">
        <f>IFERROR(VLOOKUP(D203,'Master sheet (Clientes)'!A$6:D$747,2,0)," ")</f>
        <v>NJ</v>
      </c>
      <c r="B203" s="6" t="str">
        <f>IFERROR(VLOOKUP(D203,'Master sheet (Clientes)'!A$6:D$747,3,0)," ")</f>
        <v>Bozzuto</v>
      </c>
      <c r="C203" s="6" t="str">
        <f>IFERROR(VLOOKUP(D203,'Master sheet (Clientes)'!A$6:D$747,4,0)," ")</f>
        <v>N-O</v>
      </c>
      <c r="D203" s="6" t="s">
        <v>182</v>
      </c>
      <c r="E203" s="6">
        <v>226</v>
      </c>
      <c r="F203" s="6" t="s">
        <v>45</v>
      </c>
      <c r="G203" s="6" t="s">
        <v>853</v>
      </c>
      <c r="H203" s="6" t="s">
        <v>860</v>
      </c>
      <c r="I203" s="6" t="s">
        <v>1798</v>
      </c>
      <c r="J203" s="6" t="s">
        <v>48</v>
      </c>
      <c r="K203" s="6"/>
      <c r="L203" s="6"/>
      <c r="M203" s="6" t="s">
        <v>1155</v>
      </c>
      <c r="N203" s="6"/>
    </row>
    <row r="204" spans="1:17" ht="70.5">
      <c r="A204" s="6" t="str">
        <f>IFERROR(VLOOKUP(D204,'Master sheet (Clientes)'!A$6:D$747,2,0)," ")</f>
        <v>NJ</v>
      </c>
      <c r="B204" s="6" t="str">
        <f>IFERROR(VLOOKUP(D204,'Master sheet (Clientes)'!A$6:D$747,3,0)," ")</f>
        <v>Greystar</v>
      </c>
      <c r="C204" s="6" t="str">
        <f>IFERROR(VLOOKUP(D204,'Master sheet (Clientes)'!A$6:D$747,4,0)," ")</f>
        <v>A-V</v>
      </c>
      <c r="D204" s="6" t="s">
        <v>345</v>
      </c>
      <c r="E204" s="6">
        <v>333</v>
      </c>
      <c r="F204" s="6" t="s">
        <v>854</v>
      </c>
      <c r="G204" s="6" t="s">
        <v>853</v>
      </c>
      <c r="H204" s="6" t="s">
        <v>860</v>
      </c>
      <c r="I204" s="6" t="s">
        <v>1527</v>
      </c>
      <c r="J204" s="6" t="s">
        <v>48</v>
      </c>
      <c r="K204" s="6"/>
      <c r="L204" s="6"/>
      <c r="M204" s="6" t="s">
        <v>1520</v>
      </c>
      <c r="N204" s="6"/>
    </row>
    <row r="205" spans="1:17" ht="70.5">
      <c r="A205" s="6" t="str">
        <f>IFERROR(VLOOKUP(D205,'Master sheet (Clientes)'!A$6:D$747,2,0)," ")</f>
        <v>NJ</v>
      </c>
      <c r="B205" s="6" t="str">
        <f>IFERROR(VLOOKUP(D205,'Master sheet (Clientes)'!A$6:D$747,3,0)," ")</f>
        <v>Greystar</v>
      </c>
      <c r="C205" s="6" t="str">
        <f>IFERROR(VLOOKUP(D205,'Master sheet (Clientes)'!A$6:D$747,4,0)," ")</f>
        <v>A-V</v>
      </c>
      <c r="D205" s="6" t="s">
        <v>345</v>
      </c>
      <c r="E205" s="6">
        <v>505</v>
      </c>
      <c r="F205" s="6" t="s">
        <v>45</v>
      </c>
      <c r="G205" s="6" t="s">
        <v>853</v>
      </c>
      <c r="H205" s="6" t="s">
        <v>860</v>
      </c>
      <c r="I205" s="6" t="s">
        <v>1527</v>
      </c>
      <c r="J205" s="6" t="s">
        <v>48</v>
      </c>
      <c r="K205" s="6"/>
      <c r="L205" s="6"/>
      <c r="M205" s="6" t="s">
        <v>1520</v>
      </c>
      <c r="N205" s="6"/>
    </row>
    <row r="206" spans="1:17" s="9" customFormat="1" ht="70.5">
      <c r="A206" s="6" t="str">
        <f>IFERROR(VLOOKUP(D206,'Master sheet (Clientes)'!A$6:D$747,2,0)," ")</f>
        <v>NJ</v>
      </c>
      <c r="B206" s="6" t="str">
        <f>IFERROR(VLOOKUP(D206,'Master sheet (Clientes)'!A$6:D$747,3,0)," ")</f>
        <v>Vivmark Residential</v>
      </c>
      <c r="C206" s="6" t="str">
        <f>IFERROR(VLOOKUP(D206,'Master sheet (Clientes)'!A$6:D$747,4,0)," ")</f>
        <v>N-O</v>
      </c>
      <c r="D206" s="6" t="s">
        <v>87</v>
      </c>
      <c r="E206" s="6">
        <v>201</v>
      </c>
      <c r="F206" s="6" t="s">
        <v>854</v>
      </c>
      <c r="G206" s="6" t="s">
        <v>853</v>
      </c>
      <c r="H206" s="6" t="s">
        <v>1628</v>
      </c>
      <c r="I206" s="6" t="s">
        <v>911</v>
      </c>
      <c r="J206" s="6" t="s">
        <v>48</v>
      </c>
      <c r="K206" s="6"/>
      <c r="L206" s="6"/>
      <c r="M206" s="6"/>
      <c r="N206" s="6"/>
      <c r="O206" s="13"/>
      <c r="P206" s="13"/>
      <c r="Q206" s="13"/>
    </row>
    <row r="207" spans="1:17">
      <c r="A207" s="1"/>
      <c r="B207" s="1"/>
      <c r="C207" s="1"/>
      <c r="D207" s="1"/>
      <c r="E207" s="1"/>
      <c r="F207" s="1"/>
      <c r="G207" s="1"/>
      <c r="H207" s="1"/>
      <c r="I207" s="1"/>
      <c r="J207" s="1"/>
      <c r="K207" s="1"/>
      <c r="L207" s="1"/>
      <c r="M207" s="1"/>
      <c r="N207" s="1"/>
    </row>
    <row r="208" spans="1:17" s="1" customFormat="1" ht="47">
      <c r="A208" s="4" t="s">
        <v>8</v>
      </c>
      <c r="B208" s="4" t="s">
        <v>9</v>
      </c>
      <c r="C208" s="4" t="s">
        <v>10</v>
      </c>
      <c r="D208" s="4" t="s">
        <v>11</v>
      </c>
      <c r="E208" s="4" t="s">
        <v>12</v>
      </c>
      <c r="F208" s="4" t="s">
        <v>13</v>
      </c>
      <c r="G208" s="38" t="s">
        <v>14</v>
      </c>
      <c r="H208" s="4" t="s">
        <v>15</v>
      </c>
      <c r="I208" s="38" t="s">
        <v>16</v>
      </c>
      <c r="J208" s="38" t="s">
        <v>17</v>
      </c>
      <c r="K208" s="38" t="s">
        <v>18</v>
      </c>
      <c r="L208" s="38" t="s">
        <v>19</v>
      </c>
      <c r="M208" s="38" t="s">
        <v>20</v>
      </c>
      <c r="N208" s="38" t="s">
        <v>21</v>
      </c>
    </row>
    <row r="209" spans="1:17" s="9" customFormat="1" ht="70.5">
      <c r="A209" s="6" t="str">
        <f>IFERROR(VLOOKUP(D209,'Master sheet (Clientes)'!A$6:D$747,2,0)," ")</f>
        <v>NJ</v>
      </c>
      <c r="B209" s="6" t="str">
        <f>IFERROR(VLOOKUP(D209,'Master sheet (Clientes)'!A$6:D$747,3,0)," ")</f>
        <v xml:space="preserve">KRE Group Management </v>
      </c>
      <c r="C209" s="6" t="str">
        <f>IFERROR(VLOOKUP(D209,'Master sheet (Clientes)'!A$6:D$747,4,0)," ")</f>
        <v>A-V</v>
      </c>
      <c r="D209" s="6" t="s">
        <v>380</v>
      </c>
      <c r="E209" s="6"/>
      <c r="F209" s="6"/>
      <c r="G209" s="6"/>
      <c r="H209" s="6" t="s">
        <v>1015</v>
      </c>
      <c r="I209" s="6" t="s">
        <v>1016</v>
      </c>
      <c r="J209" s="6" t="s">
        <v>48</v>
      </c>
      <c r="K209" s="6"/>
      <c r="L209" s="6"/>
      <c r="M209" s="6" t="s">
        <v>1135</v>
      </c>
      <c r="N209" s="6"/>
      <c r="O209" s="13"/>
      <c r="P209" s="13"/>
      <c r="Q209" s="13"/>
    </row>
    <row r="210" spans="1:17" s="9" customFormat="1" ht="47">
      <c r="A210" s="6" t="str">
        <f>IFERROR(VLOOKUP(D210,'Master sheet (Clientes)'!A$6:D$747,2,0)," ")</f>
        <v>NJ</v>
      </c>
      <c r="B210" s="6" t="str">
        <f>IFERROR(VLOOKUP(D210,'Master sheet (Clientes)'!A$6:D$747,3,0)," ")</f>
        <v>Bozzuto</v>
      </c>
      <c r="C210" s="6" t="str">
        <f>IFERROR(VLOOKUP(D210,'Master sheet (Clientes)'!A$6:D$747,4,0)," ")</f>
        <v>N-O</v>
      </c>
      <c r="D210" s="6" t="s">
        <v>179</v>
      </c>
      <c r="E210" s="6"/>
      <c r="F210" s="6"/>
      <c r="G210" s="6"/>
      <c r="H210" s="6" t="s">
        <v>1136</v>
      </c>
      <c r="I210" s="6" t="s">
        <v>1056</v>
      </c>
      <c r="J210" s="6" t="s">
        <v>48</v>
      </c>
      <c r="K210" s="6"/>
      <c r="L210" s="6"/>
      <c r="M210" s="6" t="s">
        <v>1135</v>
      </c>
      <c r="N210" s="6"/>
      <c r="O210" s="13"/>
      <c r="P210" s="13"/>
      <c r="Q210" s="13"/>
    </row>
    <row r="211" spans="1:17">
      <c r="A211" s="3"/>
      <c r="B211" s="3"/>
      <c r="C211" s="3"/>
      <c r="D211" s="3"/>
      <c r="E211" s="3"/>
      <c r="F211" s="3"/>
      <c r="G211" s="3"/>
      <c r="H211" s="3"/>
      <c r="I211" s="3"/>
      <c r="K211" s="1"/>
      <c r="L211" s="1"/>
      <c r="M211" s="1"/>
      <c r="N211" s="1"/>
    </row>
    <row r="212" spans="1:17" s="1" customFormat="1" ht="47">
      <c r="A212" s="4" t="s">
        <v>8</v>
      </c>
      <c r="B212" s="4" t="s">
        <v>9</v>
      </c>
      <c r="C212" s="4" t="s">
        <v>10</v>
      </c>
      <c r="D212" s="4" t="s">
        <v>11</v>
      </c>
      <c r="E212" s="4" t="s">
        <v>12</v>
      </c>
      <c r="F212" s="4" t="s">
        <v>13</v>
      </c>
      <c r="G212" s="38" t="s">
        <v>14</v>
      </c>
      <c r="H212" s="4" t="s">
        <v>15</v>
      </c>
      <c r="I212" s="38" t="s">
        <v>16</v>
      </c>
      <c r="J212" s="38" t="s">
        <v>17</v>
      </c>
      <c r="K212" s="38" t="s">
        <v>18</v>
      </c>
      <c r="L212" s="38" t="s">
        <v>19</v>
      </c>
      <c r="M212" s="38" t="s">
        <v>20</v>
      </c>
      <c r="N212" s="38" t="s">
        <v>21</v>
      </c>
    </row>
    <row r="213" spans="1:17" s="9" customFormat="1" ht="94">
      <c r="A213" s="6" t="str">
        <f>IFERROR(VLOOKUP(D213,'Master sheet (Clientes)'!A$6:D$747,2,0)," ")</f>
        <v>NJ</v>
      </c>
      <c r="B213" s="6" t="str">
        <f>IFERROR(VLOOKUP(D213,'Master sheet (Clientes)'!A$6:D$747,3,0)," ")</f>
        <v>Vivmark Residential</v>
      </c>
      <c r="C213" s="6" t="str">
        <f>IFERROR(VLOOKUP(D213,'Master sheet (Clientes)'!A$6:D$747,4,0)," ")</f>
        <v>N-O</v>
      </c>
      <c r="D213" s="6" t="s">
        <v>87</v>
      </c>
      <c r="E213" s="6" t="s">
        <v>979</v>
      </c>
      <c r="F213" s="6"/>
      <c r="G213" s="6"/>
      <c r="H213" s="6" t="s">
        <v>1828</v>
      </c>
      <c r="I213" s="6" t="s">
        <v>1537</v>
      </c>
      <c r="J213" s="6" t="s">
        <v>48</v>
      </c>
      <c r="K213" s="6"/>
      <c r="L213" s="6"/>
      <c r="M213" s="6"/>
      <c r="N213" s="6"/>
      <c r="O213" s="13"/>
      <c r="P213" s="13"/>
      <c r="Q213" s="13"/>
    </row>
    <row r="214" spans="1:17">
      <c r="A214" s="3"/>
      <c r="B214" s="3"/>
      <c r="C214" s="3"/>
      <c r="D214" s="3"/>
      <c r="E214" s="3"/>
      <c r="F214" s="3"/>
      <c r="G214" s="3"/>
      <c r="H214" s="3"/>
      <c r="I214" s="3"/>
      <c r="K214" s="1"/>
      <c r="L214" s="1"/>
      <c r="M214" s="1"/>
      <c r="N214" s="1"/>
    </row>
    <row r="215" spans="1:17" s="1" customFormat="1" ht="47">
      <c r="A215" s="4" t="s">
        <v>8</v>
      </c>
      <c r="B215" s="4" t="s">
        <v>9</v>
      </c>
      <c r="C215" s="4" t="s">
        <v>10</v>
      </c>
      <c r="D215" s="4" t="s">
        <v>11</v>
      </c>
      <c r="E215" s="4" t="s">
        <v>12</v>
      </c>
      <c r="F215" s="4" t="s">
        <v>13</v>
      </c>
      <c r="G215" s="38" t="s">
        <v>14</v>
      </c>
      <c r="H215" s="4" t="s">
        <v>15</v>
      </c>
      <c r="I215" s="38" t="s">
        <v>16</v>
      </c>
      <c r="J215" s="38" t="s">
        <v>17</v>
      </c>
      <c r="K215" s="38" t="s">
        <v>18</v>
      </c>
      <c r="L215" s="38" t="s">
        <v>19</v>
      </c>
      <c r="M215" s="38" t="s">
        <v>20</v>
      </c>
      <c r="N215" s="38" t="s">
        <v>21</v>
      </c>
    </row>
    <row r="216" spans="1:17" ht="70.5">
      <c r="A216" s="6" t="str">
        <f>IFERROR(VLOOKUP(D216,'Master sheet (Clientes)'!A$6:D$747,2,0)," ")</f>
        <v>NJ</v>
      </c>
      <c r="B216" s="6" t="str">
        <f>IFERROR(VLOOKUP(D216,'Master sheet (Clientes)'!A$6:D$747,3,0)," ")</f>
        <v>Greystar</v>
      </c>
      <c r="C216" s="6" t="str">
        <f>IFERROR(VLOOKUP(D216,'Master sheet (Clientes)'!A$6:D$747,4,0)," ")</f>
        <v>A-V</v>
      </c>
      <c r="D216" s="6" t="s">
        <v>361</v>
      </c>
      <c r="E216" s="6">
        <v>1178</v>
      </c>
      <c r="F216" s="6"/>
      <c r="G216" s="6" t="s">
        <v>853</v>
      </c>
      <c r="H216" s="6" t="s">
        <v>934</v>
      </c>
      <c r="I216" s="77" t="s">
        <v>1055</v>
      </c>
      <c r="J216" s="6" t="s">
        <v>48</v>
      </c>
      <c r="K216" s="6"/>
      <c r="L216" s="6"/>
      <c r="M216" s="6" t="s">
        <v>935</v>
      </c>
      <c r="N216" s="6"/>
    </row>
    <row r="217" spans="1:17" ht="141">
      <c r="A217" s="6" t="str">
        <f>IFERROR(VLOOKUP(D217,'Master sheet (Clientes)'!A$6:D$747,2,0)," ")</f>
        <v>NJ</v>
      </c>
      <c r="B217" s="6" t="str">
        <f>IFERROR(VLOOKUP(D217,'Master sheet (Clientes)'!A$6:D$747,3,0)," ")</f>
        <v>Mill Creek Residential</v>
      </c>
      <c r="C217" s="6" t="str">
        <f>IFERROR(VLOOKUP(D217,'Master sheet (Clientes)'!A$6:D$747,4,0)," ")</f>
        <v>N-O</v>
      </c>
      <c r="D217" s="6" t="s">
        <v>416</v>
      </c>
      <c r="E217" s="6" t="s">
        <v>887</v>
      </c>
      <c r="F217" s="6"/>
      <c r="G217" s="6"/>
      <c r="H217" s="6" t="s">
        <v>888</v>
      </c>
      <c r="I217" s="77" t="s">
        <v>890</v>
      </c>
      <c r="J217" s="6" t="s">
        <v>48</v>
      </c>
      <c r="K217" s="6" t="s">
        <v>889</v>
      </c>
      <c r="L217" s="6"/>
      <c r="M217" s="6"/>
      <c r="N217" s="6"/>
    </row>
    <row r="218" spans="1:17" s="124" customFormat="1" ht="70.5">
      <c r="A218" s="77" t="str">
        <f>IFERROR(VLOOKUP(D218,'Master sheet (Clientes)'!A$6:D$747,2,0)," ")</f>
        <v>NJ</v>
      </c>
      <c r="B218" s="77" t="str">
        <f>IFERROR(VLOOKUP(D218,'Master sheet (Clientes)'!A$6:D$747,3,0)," ")</f>
        <v>Greystar</v>
      </c>
      <c r="C218" s="77" t="str">
        <f>IFERROR(VLOOKUP(D218,'Master sheet (Clientes)'!A$6:D$747,4,0)," ")</f>
        <v>A-V</v>
      </c>
      <c r="D218" s="77" t="s">
        <v>361</v>
      </c>
      <c r="E218" s="77" t="s">
        <v>1446</v>
      </c>
      <c r="F218" s="77" t="s">
        <v>876</v>
      </c>
      <c r="G218" s="77" t="s">
        <v>853</v>
      </c>
      <c r="H218" s="77" t="s">
        <v>860</v>
      </c>
      <c r="I218" s="77" t="s">
        <v>1844</v>
      </c>
      <c r="J218" s="77" t="s">
        <v>48</v>
      </c>
      <c r="K218" s="77"/>
      <c r="L218" s="77"/>
      <c r="M218" s="77" t="s">
        <v>1448</v>
      </c>
      <c r="N218" s="77"/>
      <c r="O218" s="123"/>
      <c r="P218" s="123"/>
      <c r="Q218" s="123"/>
    </row>
    <row r="219" spans="1:17" s="124" customFormat="1" ht="70.5">
      <c r="A219" s="77" t="str">
        <f>IFERROR(VLOOKUP(D219,'Master sheet (Clientes)'!A$6:D$747,2,0)," ")</f>
        <v>NJ</v>
      </c>
      <c r="B219" s="77" t="str">
        <f>IFERROR(VLOOKUP(D219,'Master sheet (Clientes)'!A$6:D$747,3,0)," ")</f>
        <v>Greystar</v>
      </c>
      <c r="C219" s="77" t="str">
        <f>IFERROR(VLOOKUP(D219,'Master sheet (Clientes)'!A$6:D$747,4,0)," ")</f>
        <v>A-V</v>
      </c>
      <c r="D219" s="77" t="s">
        <v>361</v>
      </c>
      <c r="E219" s="77" t="s">
        <v>1446</v>
      </c>
      <c r="F219" s="77" t="s">
        <v>876</v>
      </c>
      <c r="G219" s="77" t="s">
        <v>853</v>
      </c>
      <c r="H219" s="77" t="s">
        <v>1447</v>
      </c>
      <c r="I219" s="77" t="s">
        <v>1814</v>
      </c>
      <c r="J219" s="77" t="s">
        <v>48</v>
      </c>
      <c r="K219" s="77"/>
      <c r="L219" s="77"/>
      <c r="M219" s="77" t="s">
        <v>1449</v>
      </c>
      <c r="N219" s="77"/>
      <c r="O219" s="123"/>
      <c r="P219" s="123"/>
      <c r="Q219" s="123"/>
    </row>
    <row r="220" spans="1:17" s="124" customFormat="1" ht="70.5">
      <c r="A220" s="77" t="str">
        <f>IFERROR(VLOOKUP(D220,'Master sheet (Clientes)'!A$6:D$747,2,0)," ")</f>
        <v>NJ</v>
      </c>
      <c r="B220" s="77" t="str">
        <f>IFERROR(VLOOKUP(D220,'Master sheet (Clientes)'!A$6:D$747,3,0)," ")</f>
        <v>Greystar</v>
      </c>
      <c r="C220" s="77" t="str">
        <f>IFERROR(VLOOKUP(D220,'Master sheet (Clientes)'!A$6:D$747,4,0)," ")</f>
        <v>A-V</v>
      </c>
      <c r="D220" s="77" t="s">
        <v>361</v>
      </c>
      <c r="E220" s="77" t="s">
        <v>1446</v>
      </c>
      <c r="F220" s="77" t="s">
        <v>876</v>
      </c>
      <c r="G220" s="77" t="s">
        <v>853</v>
      </c>
      <c r="H220" s="77" t="s">
        <v>1280</v>
      </c>
      <c r="I220" s="77" t="s">
        <v>1450</v>
      </c>
      <c r="J220" s="77" t="s">
        <v>48</v>
      </c>
      <c r="K220" s="77"/>
      <c r="L220" s="77"/>
      <c r="M220" s="77"/>
      <c r="N220" s="77"/>
      <c r="O220" s="123"/>
      <c r="P220" s="123"/>
      <c r="Q220" s="123"/>
    </row>
    <row r="221" spans="1:17">
      <c r="A221" s="6" t="str">
        <f>IFERROR(VLOOKUP(D221,'Master sheet (Clientes)'!A$6:D$747,2,0)," ")</f>
        <v xml:space="preserve"> </v>
      </c>
      <c r="B221" s="6" t="str">
        <f>IFERROR(VLOOKUP(D221,'Master sheet (Clientes)'!A$6:D$747,3,0)," ")</f>
        <v xml:space="preserve"> </v>
      </c>
      <c r="C221" s="6" t="str">
        <f>IFERROR(VLOOKUP(D221,'Master sheet (Clientes)'!A$6:D$747,4,0)," ")</f>
        <v xml:space="preserve"> </v>
      </c>
      <c r="D221" s="6"/>
      <c r="E221" s="6"/>
      <c r="F221" s="6"/>
      <c r="G221" s="6"/>
      <c r="H221" s="6"/>
      <c r="I221" s="6"/>
      <c r="J221" s="6"/>
      <c r="K221" s="6"/>
      <c r="L221" s="6"/>
      <c r="M221" s="6"/>
      <c r="N221" s="6"/>
    </row>
    <row r="222" spans="1:17">
      <c r="A222" s="6" t="str">
        <f>IFERROR(VLOOKUP(D222,'Master sheet (Clientes)'!A$6:D$747,2,0)," ")</f>
        <v xml:space="preserve"> </v>
      </c>
      <c r="B222" s="6" t="str">
        <f>IFERROR(VLOOKUP(D222,'Master sheet (Clientes)'!A$6:D$747,3,0)," ")</f>
        <v xml:space="preserve"> </v>
      </c>
      <c r="C222" s="6" t="str">
        <f>IFERROR(VLOOKUP(D222,'Master sheet (Clientes)'!A$6:D$747,4,0)," ")</f>
        <v xml:space="preserve"> </v>
      </c>
      <c r="D222" s="6"/>
      <c r="E222" s="6"/>
      <c r="F222" s="6"/>
      <c r="G222" s="6"/>
      <c r="H222" s="6"/>
      <c r="I222" s="6"/>
      <c r="J222" s="6"/>
      <c r="K222" s="6"/>
      <c r="L222" s="6"/>
      <c r="M222" s="6"/>
      <c r="N222" s="6"/>
    </row>
    <row r="223" spans="1:17">
      <c r="A223" s="1"/>
      <c r="B223" s="1"/>
      <c r="C223" s="1"/>
      <c r="D223" s="1"/>
      <c r="E223" s="1"/>
      <c r="F223" s="1"/>
      <c r="G223" s="1"/>
      <c r="H223" s="1"/>
      <c r="I223" s="1"/>
      <c r="J223" s="1"/>
      <c r="K223" s="1"/>
      <c r="L223" s="1"/>
      <c r="M223" s="1"/>
      <c r="N223" s="1"/>
    </row>
    <row r="224" spans="1:17" s="1" customFormat="1" ht="47">
      <c r="A224" s="4" t="s">
        <v>8</v>
      </c>
      <c r="B224" s="4" t="s">
        <v>9</v>
      </c>
      <c r="C224" s="4" t="s">
        <v>10</v>
      </c>
      <c r="D224" s="4" t="s">
        <v>11</v>
      </c>
      <c r="E224" s="4" t="s">
        <v>12</v>
      </c>
      <c r="F224" s="4" t="s">
        <v>13</v>
      </c>
      <c r="G224" s="38" t="s">
        <v>14</v>
      </c>
      <c r="H224" s="4" t="s">
        <v>15</v>
      </c>
      <c r="I224" s="38" t="s">
        <v>16</v>
      </c>
      <c r="J224" s="38" t="s">
        <v>17</v>
      </c>
      <c r="K224" s="38" t="s">
        <v>18</v>
      </c>
      <c r="L224" s="38" t="s">
        <v>19</v>
      </c>
      <c r="M224" s="38" t="s">
        <v>20</v>
      </c>
      <c r="N224" s="38" t="s">
        <v>21</v>
      </c>
    </row>
    <row r="225" spans="1:17" ht="70.5">
      <c r="A225" s="6" t="str">
        <f>IFERROR(VLOOKUP(D225,'Master sheet (Clientes)'!A$6:D$747,2,0)," ")</f>
        <v>NJ</v>
      </c>
      <c r="B225" s="6" t="str">
        <f>IFERROR(VLOOKUP(D225,'Master sheet (Clientes)'!A$6:D$747,3,0)," ")</f>
        <v>Vivmark Residential</v>
      </c>
      <c r="C225" s="6" t="str">
        <f>IFERROR(VLOOKUP(D225,'Master sheet (Clientes)'!A$6:D$747,4,0)," ")</f>
        <v>N-O</v>
      </c>
      <c r="D225" s="6" t="s">
        <v>80</v>
      </c>
      <c r="E225" s="6">
        <v>350</v>
      </c>
      <c r="F225" s="6" t="s">
        <v>45</v>
      </c>
      <c r="G225" s="6" t="s">
        <v>853</v>
      </c>
      <c r="H225" s="6" t="s">
        <v>1280</v>
      </c>
      <c r="I225" s="6" t="s">
        <v>1839</v>
      </c>
      <c r="J225" s="6" t="s">
        <v>48</v>
      </c>
      <c r="K225" s="6"/>
      <c r="L225" s="6"/>
      <c r="M225" s="6"/>
      <c r="N225" s="6"/>
    </row>
    <row r="226" spans="1:17" ht="70.5">
      <c r="A226" s="6" t="str">
        <f>IFERROR(VLOOKUP(D226,'Master sheet (Clientes)'!A$6:D$747,2,0)," ")</f>
        <v>NJ</v>
      </c>
      <c r="B226" s="6" t="str">
        <f>IFERROR(VLOOKUP(D226,'Master sheet (Clientes)'!A$6:D$747,3,0)," ")</f>
        <v>Vivmark Residential</v>
      </c>
      <c r="C226" s="6" t="str">
        <f>IFERROR(VLOOKUP(D226,'Master sheet (Clientes)'!A$6:D$747,4,0)," ")</f>
        <v>N-O</v>
      </c>
      <c r="D226" s="6" t="s">
        <v>80</v>
      </c>
      <c r="E226" s="6">
        <v>525</v>
      </c>
      <c r="F226" s="6" t="s">
        <v>45</v>
      </c>
      <c r="G226" s="6" t="s">
        <v>853</v>
      </c>
      <c r="H226" s="6" t="s">
        <v>1280</v>
      </c>
      <c r="I226" s="6" t="s">
        <v>1839</v>
      </c>
      <c r="J226" s="6" t="s">
        <v>48</v>
      </c>
      <c r="K226" s="6"/>
      <c r="L226" s="6"/>
      <c r="M226" s="6"/>
      <c r="N226" s="6"/>
    </row>
    <row r="227" spans="1:17" s="9" customFormat="1" ht="70.5">
      <c r="A227" s="6" t="str">
        <f>IFERROR(VLOOKUP(D227,'Master sheet (Clientes)'!A$6:D$747,2,0)," ")</f>
        <v>NJ</v>
      </c>
      <c r="B227" s="6" t="str">
        <f>IFERROR(VLOOKUP(D227,'Master sheet (Clientes)'!A$6:D$747,3,0)," ")</f>
        <v>Vivmark Residential</v>
      </c>
      <c r="C227" s="6" t="str">
        <f>IFERROR(VLOOKUP(D227,'Master sheet (Clientes)'!A$6:D$747,4,0)," ")</f>
        <v>N-O</v>
      </c>
      <c r="D227" s="6" t="s">
        <v>87</v>
      </c>
      <c r="E227" s="6">
        <v>201</v>
      </c>
      <c r="F227" s="6" t="s">
        <v>854</v>
      </c>
      <c r="G227" s="6" t="s">
        <v>853</v>
      </c>
      <c r="H227" s="6" t="s">
        <v>1627</v>
      </c>
      <c r="I227" s="6" t="s">
        <v>1839</v>
      </c>
      <c r="J227" s="6" t="s">
        <v>48</v>
      </c>
      <c r="K227" s="6"/>
      <c r="L227" s="6"/>
      <c r="M227" s="6"/>
      <c r="N227" s="6"/>
      <c r="O227" s="13"/>
      <c r="P227" s="13"/>
      <c r="Q227" s="13"/>
    </row>
    <row r="228" spans="1:17" s="9" customFormat="1" ht="70.5">
      <c r="A228" s="6" t="str">
        <f>IFERROR(VLOOKUP(D228,'Master sheet (Clientes)'!A$6:D$747,2,0)," ")</f>
        <v>NJ</v>
      </c>
      <c r="B228" s="6" t="str">
        <f>IFERROR(VLOOKUP(D228,'Master sheet (Clientes)'!A$6:D$747,3,0)," ")</f>
        <v>Vivmark Residential</v>
      </c>
      <c r="C228" s="6" t="str">
        <f>IFERROR(VLOOKUP(D228,'Master sheet (Clientes)'!A$6:D$747,4,0)," ")</f>
        <v>N-O</v>
      </c>
      <c r="D228" s="6" t="s">
        <v>87</v>
      </c>
      <c r="E228" s="6">
        <v>347</v>
      </c>
      <c r="F228" s="6" t="s">
        <v>45</v>
      </c>
      <c r="G228" s="6" t="s">
        <v>853</v>
      </c>
      <c r="H228" s="6" t="s">
        <v>1633</v>
      </c>
      <c r="I228" s="6" t="s">
        <v>1839</v>
      </c>
      <c r="J228" s="6" t="s">
        <v>48</v>
      </c>
      <c r="K228" s="6"/>
      <c r="L228" s="6"/>
      <c r="M228" s="6"/>
      <c r="N228" s="6"/>
      <c r="O228" s="13"/>
      <c r="P228" s="13"/>
      <c r="Q228" s="13"/>
    </row>
    <row r="229" spans="1:17" s="9" customFormat="1" ht="47">
      <c r="A229" s="6" t="str">
        <f>IFERROR(VLOOKUP(D229,'Master sheet (Clientes)'!A$6:D$747,2,0)," ")</f>
        <v>NJ</v>
      </c>
      <c r="B229" s="6" t="str">
        <f>IFERROR(VLOOKUP(D229,'Master sheet (Clientes)'!A$6:D$747,3,0)," ")</f>
        <v xml:space="preserve">Sparrow </v>
      </c>
      <c r="C229" s="6" t="str">
        <f>IFERROR(VLOOKUP(D229,'Master sheet (Clientes)'!A$6:D$747,4,0)," ")</f>
        <v>A-V</v>
      </c>
      <c r="D229" s="6" t="s">
        <v>739</v>
      </c>
      <c r="E229" s="6">
        <v>518</v>
      </c>
      <c r="F229" s="6" t="s">
        <v>45</v>
      </c>
      <c r="G229" s="6" t="s">
        <v>853</v>
      </c>
      <c r="H229" s="6" t="s">
        <v>1280</v>
      </c>
      <c r="I229" s="6" t="s">
        <v>1839</v>
      </c>
      <c r="J229" s="6" t="s">
        <v>48</v>
      </c>
      <c r="K229" s="6"/>
      <c r="L229" s="6"/>
      <c r="M229" s="6"/>
      <c r="N229" s="6"/>
      <c r="O229" s="13"/>
      <c r="P229" s="13"/>
      <c r="Q229" s="13"/>
    </row>
    <row r="230" spans="1:17">
      <c r="A230" s="1"/>
      <c r="B230" s="1"/>
      <c r="C230" s="1"/>
      <c r="D230" s="1"/>
      <c r="E230" s="1"/>
      <c r="F230" s="1"/>
      <c r="G230" s="1"/>
      <c r="H230" s="1"/>
      <c r="I230" s="1"/>
      <c r="J230" s="1"/>
      <c r="K230" s="1"/>
      <c r="L230" s="1"/>
      <c r="M230" s="1"/>
      <c r="N230" s="1"/>
    </row>
    <row r="231" spans="1:17" s="1" customFormat="1" ht="47">
      <c r="A231" s="4" t="s">
        <v>8</v>
      </c>
      <c r="B231" s="4" t="s">
        <v>9</v>
      </c>
      <c r="C231" s="4" t="s">
        <v>10</v>
      </c>
      <c r="D231" s="4" t="s">
        <v>11</v>
      </c>
      <c r="E231" s="4" t="s">
        <v>12</v>
      </c>
      <c r="F231" s="4" t="s">
        <v>13</v>
      </c>
      <c r="G231" s="38" t="s">
        <v>14</v>
      </c>
      <c r="H231" s="4" t="s">
        <v>15</v>
      </c>
      <c r="I231" s="38" t="s">
        <v>16</v>
      </c>
      <c r="J231" s="38" t="s">
        <v>17</v>
      </c>
      <c r="K231" s="38" t="s">
        <v>18</v>
      </c>
      <c r="L231" s="38" t="s">
        <v>19</v>
      </c>
      <c r="M231" s="38" t="s">
        <v>20</v>
      </c>
      <c r="N231" s="38" t="s">
        <v>21</v>
      </c>
    </row>
    <row r="232" spans="1:17" s="9" customFormat="1" ht="70.5">
      <c r="A232" s="6" t="str">
        <f>IFERROR(VLOOKUP(D232,'Master sheet (Clientes)'!A$6:D$747,2,0)," ")</f>
        <v>NJ</v>
      </c>
      <c r="B232" s="6" t="str">
        <f>IFERROR(VLOOKUP(D232,'Master sheet (Clientes)'!A$6:D$747,3,0)," ")</f>
        <v>Greystar</v>
      </c>
      <c r="C232" s="6" t="str">
        <f>IFERROR(VLOOKUP(D232,'Master sheet (Clientes)'!A$6:D$747,4,0)," ")</f>
        <v>A-V</v>
      </c>
      <c r="D232" s="6" t="s">
        <v>361</v>
      </c>
      <c r="E232" s="6" t="s">
        <v>1451</v>
      </c>
      <c r="F232" s="6" t="s">
        <v>45</v>
      </c>
      <c r="G232" s="6" t="s">
        <v>853</v>
      </c>
      <c r="H232" s="6" t="s">
        <v>1280</v>
      </c>
      <c r="I232" s="6" t="s">
        <v>1353</v>
      </c>
      <c r="J232" s="6" t="s">
        <v>48</v>
      </c>
      <c r="K232" s="6"/>
      <c r="L232" s="6"/>
      <c r="M232" s="6" t="s">
        <v>1815</v>
      </c>
      <c r="N232" s="6"/>
      <c r="O232" s="13"/>
      <c r="P232" s="13"/>
      <c r="Q232" s="13"/>
    </row>
    <row r="233" spans="1:17" s="9" customFormat="1" ht="70.5">
      <c r="A233" s="6" t="str">
        <f>IFERROR(VLOOKUP(D233,'Master sheet (Clientes)'!A$6:D$747,2,0)," ")</f>
        <v>NJ</v>
      </c>
      <c r="B233" s="6" t="str">
        <f>IFERROR(VLOOKUP(D233,'Master sheet (Clientes)'!A$6:D$747,3,0)," ")</f>
        <v>Greystar</v>
      </c>
      <c r="C233" s="6" t="str">
        <f>IFERROR(VLOOKUP(D233,'Master sheet (Clientes)'!A$6:D$747,4,0)," ")</f>
        <v>A-V</v>
      </c>
      <c r="D233" s="6" t="s">
        <v>361</v>
      </c>
      <c r="E233" s="6" t="s">
        <v>1333</v>
      </c>
      <c r="F233" s="6" t="s">
        <v>864</v>
      </c>
      <c r="G233" s="6" t="s">
        <v>853</v>
      </c>
      <c r="H233" s="6" t="s">
        <v>1280</v>
      </c>
      <c r="I233" s="6" t="s">
        <v>1353</v>
      </c>
      <c r="J233" s="6" t="s">
        <v>48</v>
      </c>
      <c r="K233" s="6"/>
      <c r="L233" s="6"/>
      <c r="M233" s="6" t="s">
        <v>1335</v>
      </c>
      <c r="N233" s="6"/>
      <c r="O233" s="13"/>
      <c r="P233" s="13"/>
      <c r="Q233" s="13"/>
    </row>
    <row r="234" spans="1:17" s="9" customFormat="1" ht="70.5">
      <c r="A234" s="6" t="str">
        <f>IFERROR(VLOOKUP(D234,'Master sheet (Clientes)'!A$6:D$747,2,0)," ")</f>
        <v>NJ</v>
      </c>
      <c r="B234" s="6" t="str">
        <f>IFERROR(VLOOKUP(D234,'Master sheet (Clientes)'!A$6:D$747,3,0)," ")</f>
        <v>Greystar</v>
      </c>
      <c r="C234" s="6" t="str">
        <f>IFERROR(VLOOKUP(D234,'Master sheet (Clientes)'!A$6:D$747,4,0)," ")</f>
        <v>A-V</v>
      </c>
      <c r="D234" s="6" t="s">
        <v>361</v>
      </c>
      <c r="E234" s="6" t="s">
        <v>1445</v>
      </c>
      <c r="F234" s="6" t="s">
        <v>946</v>
      </c>
      <c r="G234" s="6" t="s">
        <v>853</v>
      </c>
      <c r="H234" s="6" t="s">
        <v>1280</v>
      </c>
      <c r="I234" s="6" t="s">
        <v>1353</v>
      </c>
      <c r="J234" s="6" t="s">
        <v>48</v>
      </c>
      <c r="K234" s="6"/>
      <c r="L234" s="6"/>
      <c r="M234" s="6" t="s">
        <v>1448</v>
      </c>
      <c r="N234" s="6"/>
      <c r="O234" s="13"/>
      <c r="P234" s="13"/>
      <c r="Q234" s="13"/>
    </row>
    <row r="235" spans="1:17">
      <c r="A235" s="1"/>
      <c r="B235" s="1"/>
      <c r="C235" s="1"/>
      <c r="D235" s="1"/>
      <c r="E235" s="1"/>
      <c r="F235" s="1"/>
      <c r="G235" s="1"/>
      <c r="H235" s="1"/>
      <c r="I235" s="1"/>
      <c r="K235" s="1"/>
      <c r="L235" s="1"/>
      <c r="M235" s="1"/>
      <c r="N235" s="1"/>
    </row>
    <row r="236" spans="1:17" s="1" customFormat="1" ht="37" customHeight="1">
      <c r="A236" s="45"/>
      <c r="B236" s="45"/>
      <c r="C236" s="45"/>
      <c r="D236" s="131" t="str">
        <f>A1</f>
        <v>BuildCare SCHEDULE FRIDAY, SEPTEMBER 04 / 2026</v>
      </c>
      <c r="E236" s="131"/>
      <c r="F236" s="131"/>
      <c r="G236" s="131"/>
      <c r="H236" s="131"/>
      <c r="I236" s="131"/>
      <c r="J236" s="131"/>
      <c r="K236" s="131"/>
      <c r="L236" s="131"/>
      <c r="M236" s="45"/>
      <c r="N236" s="32"/>
    </row>
    <row r="237" spans="1:17">
      <c r="A237" s="1"/>
      <c r="B237" s="1"/>
      <c r="C237" s="1"/>
      <c r="D237" s="1"/>
      <c r="E237" s="1"/>
      <c r="F237" s="1"/>
      <c r="G237" s="1"/>
      <c r="H237" s="1"/>
      <c r="I237" s="1"/>
      <c r="K237" s="1"/>
      <c r="L237" s="1"/>
      <c r="M237" s="1"/>
      <c r="N237" s="1"/>
    </row>
    <row r="238" spans="1:17" ht="28.5">
      <c r="A238" s="34"/>
      <c r="B238" s="34"/>
      <c r="C238" s="34"/>
      <c r="D238" s="126" t="s">
        <v>32</v>
      </c>
      <c r="E238" s="126"/>
      <c r="F238" s="126"/>
      <c r="G238" s="126"/>
      <c r="H238" s="126"/>
      <c r="I238" s="126"/>
      <c r="J238" s="126"/>
      <c r="K238" s="126"/>
      <c r="L238" s="126"/>
      <c r="M238" s="18"/>
      <c r="N238" s="18"/>
    </row>
    <row r="239" spans="1:17" s="5" customFormat="1">
      <c r="A239" s="3"/>
      <c r="B239" s="3"/>
      <c r="C239" s="3"/>
      <c r="D239" s="3"/>
      <c r="E239" s="3"/>
      <c r="F239" s="3"/>
      <c r="G239" s="3"/>
      <c r="H239" s="3"/>
      <c r="I239" s="3"/>
      <c r="J239" s="3"/>
      <c r="K239" s="1"/>
      <c r="L239" s="1"/>
      <c r="M239" s="1"/>
      <c r="N239" s="1"/>
      <c r="O239" s="35"/>
      <c r="P239" s="35"/>
      <c r="Q239" s="35"/>
    </row>
    <row r="240" spans="1:17" s="5" customFormat="1" ht="26">
      <c r="A240" s="33"/>
      <c r="B240" s="33"/>
      <c r="C240" s="33"/>
      <c r="D240" s="127" t="s">
        <v>33</v>
      </c>
      <c r="E240" s="127"/>
      <c r="F240" s="127"/>
      <c r="G240" s="127"/>
      <c r="H240" s="127"/>
      <c r="I240" s="127"/>
      <c r="J240" s="127"/>
      <c r="K240" s="127"/>
      <c r="L240" s="127"/>
      <c r="M240" s="16"/>
      <c r="N240" s="16"/>
      <c r="O240" s="35"/>
      <c r="P240" s="35"/>
      <c r="Q240" s="35"/>
    </row>
    <row r="241" spans="1:20" s="5" customFormat="1" ht="26">
      <c r="A241" s="43"/>
      <c r="B241" s="43"/>
      <c r="C241" s="43"/>
      <c r="D241" s="128" t="s">
        <v>34</v>
      </c>
      <c r="E241" s="128"/>
      <c r="F241" s="128"/>
      <c r="G241" s="128"/>
      <c r="H241" s="128"/>
      <c r="I241" s="128"/>
      <c r="J241" s="128"/>
      <c r="K241" s="128"/>
      <c r="L241" s="128"/>
      <c r="M241" s="44"/>
      <c r="N241" s="44"/>
      <c r="O241" s="35"/>
      <c r="P241" s="35"/>
      <c r="Q241" s="35"/>
    </row>
    <row r="242" spans="1:20" s="1" customFormat="1"/>
    <row r="243" spans="1:20" s="1" customFormat="1" ht="26">
      <c r="A243" s="17"/>
      <c r="B243" s="17"/>
      <c r="C243" s="17"/>
      <c r="D243" s="125" t="s">
        <v>35</v>
      </c>
      <c r="E243" s="125"/>
      <c r="F243" s="125"/>
      <c r="G243" s="125"/>
      <c r="H243" s="125"/>
      <c r="I243" s="125"/>
      <c r="J243" s="125"/>
      <c r="K243" s="125"/>
      <c r="L243" s="125"/>
      <c r="M243" s="15"/>
      <c r="N243" s="15"/>
    </row>
    <row r="244" spans="1:20" s="1" customFormat="1" ht="26" customHeight="1">
      <c r="A244" s="46"/>
      <c r="B244" s="46"/>
      <c r="C244" s="46"/>
      <c r="D244" s="125" t="s">
        <v>36</v>
      </c>
      <c r="E244" s="125"/>
      <c r="F244" s="125"/>
      <c r="G244" s="125"/>
      <c r="H244" s="125"/>
      <c r="I244" s="125"/>
      <c r="J244" s="17"/>
      <c r="K244" s="17"/>
      <c r="L244" s="17"/>
      <c r="M244" s="15"/>
      <c r="N244" s="15"/>
    </row>
    <row r="245" spans="1:20" s="1" customFormat="1" ht="26">
      <c r="A245" s="17"/>
      <c r="B245" s="17"/>
      <c r="C245" s="17"/>
      <c r="D245" s="125" t="s">
        <v>4</v>
      </c>
      <c r="E245" s="125"/>
      <c r="F245" s="125"/>
      <c r="G245" s="125"/>
      <c r="H245" s="125"/>
      <c r="I245" s="125"/>
      <c r="J245" s="17"/>
      <c r="K245" s="17"/>
      <c r="L245" s="17"/>
      <c r="M245" s="15"/>
      <c r="N245" s="15"/>
    </row>
    <row r="246" spans="1:20" s="1" customFormat="1">
      <c r="A246" s="3"/>
      <c r="B246" s="3"/>
      <c r="C246" s="3"/>
      <c r="D246" s="3"/>
      <c r="E246" s="3"/>
      <c r="F246" s="3"/>
      <c r="G246" s="3"/>
      <c r="H246" s="3"/>
      <c r="I246" s="3"/>
      <c r="J246" s="3"/>
    </row>
    <row r="247" spans="1:20" s="1" customFormat="1" ht="47">
      <c r="A247" s="4" t="s">
        <v>8</v>
      </c>
      <c r="B247" s="4" t="s">
        <v>9</v>
      </c>
      <c r="C247" s="4" t="s">
        <v>10</v>
      </c>
      <c r="D247" s="4" t="s">
        <v>11</v>
      </c>
      <c r="E247" s="4" t="s">
        <v>12</v>
      </c>
      <c r="F247" s="4" t="s">
        <v>13</v>
      </c>
      <c r="G247" s="38" t="s">
        <v>14</v>
      </c>
      <c r="H247" s="4" t="s">
        <v>15</v>
      </c>
      <c r="I247" s="38" t="s">
        <v>16</v>
      </c>
      <c r="J247" s="38" t="s">
        <v>17</v>
      </c>
      <c r="K247" s="38" t="s">
        <v>18</v>
      </c>
      <c r="L247" s="38" t="s">
        <v>19</v>
      </c>
      <c r="M247" s="38" t="s">
        <v>20</v>
      </c>
      <c r="N247" s="38" t="s">
        <v>21</v>
      </c>
    </row>
    <row r="248" spans="1:20" s="52" customFormat="1" ht="70.5">
      <c r="A248" s="6" t="str">
        <f>IFERROR(VLOOKUP(D248,'Master sheet (Clientes)'!A$6:D$747,2,0)," ")</f>
        <v>PA</v>
      </c>
      <c r="B248" s="6" t="str">
        <f>IFERROR(VLOOKUP(D248,'Master sheet (Clientes)'!A$6:D$747,3,0)," ")</f>
        <v>Post Brothers</v>
      </c>
      <c r="C248" s="6" t="str">
        <f>IFERROR(VLOOKUP(D248,'Master sheet (Clientes)'!A$6:D$747,4,0)," ")</f>
        <v>A-V</v>
      </c>
      <c r="D248" s="6" t="s">
        <v>623</v>
      </c>
      <c r="E248" s="6"/>
      <c r="F248" s="6"/>
      <c r="G248" s="6"/>
      <c r="H248" s="6" t="s">
        <v>1021</v>
      </c>
      <c r="I248" s="6" t="s">
        <v>1022</v>
      </c>
      <c r="J248" s="6" t="s">
        <v>48</v>
      </c>
      <c r="K248" s="6"/>
      <c r="L248" s="6"/>
      <c r="M248" s="6" t="s">
        <v>1023</v>
      </c>
      <c r="N248" s="6"/>
      <c r="O248" s="13"/>
      <c r="P248" s="13"/>
      <c r="Q248" s="13"/>
      <c r="R248" s="51"/>
      <c r="S248" s="51"/>
      <c r="T248" s="51"/>
    </row>
    <row r="249" spans="1:20" s="52" customFormat="1" ht="70.5">
      <c r="A249" s="6" t="str">
        <f>IFERROR(VLOOKUP(D249,'Master sheet (Clientes)'!A$6:D$747,2,0)," ")</f>
        <v>PA</v>
      </c>
      <c r="B249" s="6" t="str">
        <f>IFERROR(VLOOKUP(D249,'Master sheet (Clientes)'!A$6:D$747,3,0)," ")</f>
        <v>Post Brothers</v>
      </c>
      <c r="C249" s="6" t="str">
        <f>IFERROR(VLOOKUP(D249,'Master sheet (Clientes)'!A$6:D$747,4,0)," ")</f>
        <v>A-V</v>
      </c>
      <c r="D249" s="6" t="s">
        <v>622</v>
      </c>
      <c r="E249" s="6"/>
      <c r="F249" s="6"/>
      <c r="G249" s="6"/>
      <c r="H249" s="6" t="s">
        <v>1326</v>
      </c>
      <c r="I249" s="6" t="s">
        <v>1496</v>
      </c>
      <c r="J249" s="6" t="s">
        <v>48</v>
      </c>
      <c r="K249" s="6"/>
      <c r="L249" s="6"/>
      <c r="M249" s="6" t="s">
        <v>1023</v>
      </c>
      <c r="N249" s="6"/>
      <c r="O249" s="13"/>
      <c r="P249" s="13"/>
      <c r="Q249" s="13"/>
      <c r="R249" s="51"/>
      <c r="S249" s="51"/>
      <c r="T249" s="51"/>
    </row>
    <row r="250" spans="1:20" s="12" customFormat="1" ht="94">
      <c r="A250" s="6" t="str">
        <f>IFERROR(VLOOKUP(D250,'Master sheet (Clientes)'!A$6:D$747,2,0)," ")</f>
        <v>PA</v>
      </c>
      <c r="B250" s="6" t="str">
        <f>IFERROR(VLOOKUP(D250,'Master sheet (Clientes)'!A$6:D$747,3,0)," ")</f>
        <v>Post Brothers</v>
      </c>
      <c r="C250" s="6" t="str">
        <f>IFERROR(VLOOKUP(D250,'Master sheet (Clientes)'!A$6:D$747,4,0)," ")</f>
        <v>A-V</v>
      </c>
      <c r="D250" s="6" t="s">
        <v>619</v>
      </c>
      <c r="E250" s="6" t="s">
        <v>1871</v>
      </c>
      <c r="F250" s="6" t="s">
        <v>874</v>
      </c>
      <c r="G250" s="6" t="s">
        <v>46</v>
      </c>
      <c r="H250" s="6" t="s">
        <v>1881</v>
      </c>
      <c r="I250" s="6" t="s">
        <v>1878</v>
      </c>
      <c r="J250" s="6" t="s">
        <v>48</v>
      </c>
      <c r="K250" s="6" t="s">
        <v>1872</v>
      </c>
      <c r="L250" s="6"/>
      <c r="M250" s="6" t="s">
        <v>1873</v>
      </c>
      <c r="N250" s="6"/>
      <c r="O250" s="1"/>
      <c r="P250" s="1"/>
      <c r="Q250" s="1"/>
      <c r="R250" s="11"/>
      <c r="S250" s="11"/>
      <c r="T250" s="11"/>
    </row>
    <row r="251" spans="1:20" s="12" customFormat="1" ht="94">
      <c r="A251" s="6" t="str">
        <f>IFERROR(VLOOKUP(D251,'Master sheet (Clientes)'!A$6:D$747,2,0)," ")</f>
        <v>PA</v>
      </c>
      <c r="B251" s="6" t="str">
        <f>IFERROR(VLOOKUP(D251,'Master sheet (Clientes)'!A$6:D$747,3,0)," ")</f>
        <v>Post Brothers</v>
      </c>
      <c r="C251" s="6" t="str">
        <f>IFERROR(VLOOKUP(D251,'Master sheet (Clientes)'!A$6:D$747,4,0)," ")</f>
        <v>A-V</v>
      </c>
      <c r="D251" s="6" t="s">
        <v>619</v>
      </c>
      <c r="E251" s="6" t="s">
        <v>1874</v>
      </c>
      <c r="F251" s="6" t="s">
        <v>874</v>
      </c>
      <c r="G251" s="6" t="s">
        <v>46</v>
      </c>
      <c r="H251" s="6" t="s">
        <v>1882</v>
      </c>
      <c r="I251" s="6" t="s">
        <v>1878</v>
      </c>
      <c r="J251" s="6" t="s">
        <v>48</v>
      </c>
      <c r="K251" s="6" t="s">
        <v>1872</v>
      </c>
      <c r="L251" s="6"/>
      <c r="M251" s="6" t="s">
        <v>1873</v>
      </c>
      <c r="N251" s="6"/>
      <c r="O251" s="1"/>
      <c r="P251" s="1"/>
      <c r="Q251" s="1"/>
      <c r="R251" s="11"/>
      <c r="S251" s="11"/>
      <c r="T251" s="11"/>
    </row>
    <row r="252" spans="1:20" s="12" customFormat="1" ht="70.5">
      <c r="A252" s="6" t="str">
        <f>IFERROR(VLOOKUP(D252,'Master sheet (Clientes)'!A$6:D$747,2,0)," ")</f>
        <v>PA</v>
      </c>
      <c r="B252" s="6" t="str">
        <f>IFERROR(VLOOKUP(D252,'Master sheet (Clientes)'!A$6:D$747,3,0)," ")</f>
        <v>Post Brothers</v>
      </c>
      <c r="C252" s="6" t="str">
        <f>IFERROR(VLOOKUP(D252,'Master sheet (Clientes)'!A$6:D$747,4,0)," ")</f>
        <v>A-V</v>
      </c>
      <c r="D252" s="6" t="s">
        <v>616</v>
      </c>
      <c r="E252" s="6" t="s">
        <v>1225</v>
      </c>
      <c r="F252" s="6"/>
      <c r="G252" s="6" t="s">
        <v>837</v>
      </c>
      <c r="H252" s="6" t="s">
        <v>1884</v>
      </c>
      <c r="I252" s="6" t="s">
        <v>1885</v>
      </c>
      <c r="J252" s="6" t="s">
        <v>48</v>
      </c>
      <c r="K252" s="6"/>
      <c r="L252" s="6"/>
      <c r="M252" s="6"/>
      <c r="N252" s="6"/>
      <c r="O252" s="1"/>
      <c r="P252" s="1"/>
      <c r="Q252" s="1"/>
      <c r="R252" s="11"/>
      <c r="S252" s="11"/>
      <c r="T252" s="11"/>
    </row>
    <row r="253" spans="1:20" s="12" customFormat="1" ht="47">
      <c r="A253" s="6" t="str">
        <f>IFERROR(VLOOKUP(D253,'Master sheet (Clientes)'!A$6:D$747,2,0)," ")</f>
        <v>PA</v>
      </c>
      <c r="B253" s="6" t="str">
        <f>IFERROR(VLOOKUP(D253,'Master sheet (Clientes)'!A$6:D$747,3,0)," ")</f>
        <v>Post Brothers</v>
      </c>
      <c r="C253" s="6" t="str">
        <f>IFERROR(VLOOKUP(D253,'Master sheet (Clientes)'!A$6:D$747,4,0)," ")</f>
        <v>A-V</v>
      </c>
      <c r="D253" s="6" t="s">
        <v>627</v>
      </c>
      <c r="E253" s="6" t="s">
        <v>1886</v>
      </c>
      <c r="F253" s="6"/>
      <c r="G253" s="6" t="s">
        <v>837</v>
      </c>
      <c r="H253" s="6" t="s">
        <v>1887</v>
      </c>
      <c r="I253" s="6" t="s">
        <v>1885</v>
      </c>
      <c r="J253" s="6" t="s">
        <v>48</v>
      </c>
      <c r="K253" s="6"/>
      <c r="L253" s="6"/>
      <c r="M253" s="6"/>
      <c r="N253" s="6"/>
      <c r="O253" s="1"/>
      <c r="P253" s="1"/>
      <c r="Q253" s="1"/>
      <c r="R253" s="11"/>
      <c r="S253" s="11"/>
      <c r="T253" s="11"/>
    </row>
    <row r="254" spans="1:20" s="12" customFormat="1" ht="70.5">
      <c r="A254" s="6" t="str">
        <f>IFERROR(VLOOKUP(D254,'Master sheet (Clientes)'!A$6:D$747,2,0)," ")</f>
        <v>PA</v>
      </c>
      <c r="B254" s="6" t="str">
        <f>IFERROR(VLOOKUP(D254,'Master sheet (Clientes)'!A$6:D$747,3,0)," ")</f>
        <v>Post Brothers</v>
      </c>
      <c r="C254" s="6" t="str">
        <f>IFERROR(VLOOKUP(D254,'Master sheet (Clientes)'!A$6:D$747,4,0)," ")</f>
        <v>A-V</v>
      </c>
      <c r="D254" s="6" t="s">
        <v>627</v>
      </c>
      <c r="E254" s="6" t="s">
        <v>1888</v>
      </c>
      <c r="F254" s="6"/>
      <c r="G254" s="6" t="s">
        <v>837</v>
      </c>
      <c r="H254" s="6" t="s">
        <v>1892</v>
      </c>
      <c r="I254" s="6" t="s">
        <v>1885</v>
      </c>
      <c r="J254" s="6" t="s">
        <v>48</v>
      </c>
      <c r="K254" s="6"/>
      <c r="L254" s="6"/>
      <c r="M254" s="6"/>
      <c r="N254" s="6"/>
      <c r="O254" s="1"/>
      <c r="P254" s="1"/>
      <c r="Q254" s="1"/>
      <c r="R254" s="11"/>
      <c r="S254" s="11"/>
      <c r="T254" s="11"/>
    </row>
    <row r="255" spans="1:20" s="12" customFormat="1" ht="47">
      <c r="A255" s="6" t="str">
        <f>IFERROR(VLOOKUP(D255,'Master sheet (Clientes)'!A$6:D$747,2,0)," ")</f>
        <v>PA</v>
      </c>
      <c r="B255" s="6" t="str">
        <f>IFERROR(VLOOKUP(D255,'Master sheet (Clientes)'!A$6:D$747,3,0)," ")</f>
        <v>Post Brothers</v>
      </c>
      <c r="C255" s="6" t="str">
        <f>IFERROR(VLOOKUP(D255,'Master sheet (Clientes)'!A$6:D$747,4,0)," ")</f>
        <v>A-V</v>
      </c>
      <c r="D255" s="6" t="s">
        <v>627</v>
      </c>
      <c r="E255" s="6" t="s">
        <v>1889</v>
      </c>
      <c r="F255" s="6"/>
      <c r="G255" s="6" t="s">
        <v>837</v>
      </c>
      <c r="H255" s="6" t="s">
        <v>1890</v>
      </c>
      <c r="I255" s="6" t="s">
        <v>1885</v>
      </c>
      <c r="J255" s="6" t="s">
        <v>48</v>
      </c>
      <c r="K255" s="6"/>
      <c r="L255" s="6"/>
      <c r="M255" s="6"/>
      <c r="N255" s="6"/>
      <c r="O255" s="1"/>
      <c r="P255" s="1"/>
      <c r="Q255" s="1"/>
      <c r="R255" s="11"/>
      <c r="S255" s="11"/>
      <c r="T255" s="11"/>
    </row>
    <row r="256" spans="1:20" s="12" customFormat="1" ht="47">
      <c r="A256" s="6" t="str">
        <f>IFERROR(VLOOKUP(D256,'Master sheet (Clientes)'!A$6:D$747,2,0)," ")</f>
        <v>PA</v>
      </c>
      <c r="B256" s="6" t="str">
        <f>IFERROR(VLOOKUP(D256,'Master sheet (Clientes)'!A$6:D$747,3,0)," ")</f>
        <v>Post Brothers</v>
      </c>
      <c r="C256" s="6" t="str">
        <f>IFERROR(VLOOKUP(D256,'Master sheet (Clientes)'!A$6:D$747,4,0)," ")</f>
        <v>A-V</v>
      </c>
      <c r="D256" s="6" t="s">
        <v>627</v>
      </c>
      <c r="E256" s="6" t="s">
        <v>1228</v>
      </c>
      <c r="F256" s="6"/>
      <c r="G256" s="6" t="s">
        <v>837</v>
      </c>
      <c r="H256" s="6" t="s">
        <v>1891</v>
      </c>
      <c r="I256" s="6" t="s">
        <v>1885</v>
      </c>
      <c r="J256" s="6" t="s">
        <v>48</v>
      </c>
      <c r="K256" s="6"/>
      <c r="L256" s="6"/>
      <c r="M256" s="6"/>
      <c r="N256" s="6"/>
      <c r="O256" s="1"/>
      <c r="P256" s="1"/>
      <c r="Q256" s="1"/>
      <c r="R256" s="11"/>
      <c r="S256" s="11"/>
      <c r="T256" s="11"/>
    </row>
    <row r="257" spans="1:20">
      <c r="A257" s="1"/>
      <c r="B257" s="1"/>
      <c r="C257" s="1"/>
      <c r="D257" s="1"/>
      <c r="E257" s="1"/>
      <c r="F257" s="1"/>
      <c r="G257" s="1"/>
      <c r="H257" s="1"/>
      <c r="I257" s="1"/>
      <c r="J257" s="1"/>
      <c r="K257" s="1"/>
      <c r="L257" s="1"/>
      <c r="M257" s="1"/>
      <c r="N257" s="1"/>
    </row>
    <row r="258" spans="1:20" s="1" customFormat="1" ht="47">
      <c r="A258" s="4" t="s">
        <v>8</v>
      </c>
      <c r="B258" s="4" t="s">
        <v>9</v>
      </c>
      <c r="C258" s="4" t="s">
        <v>10</v>
      </c>
      <c r="D258" s="4" t="s">
        <v>11</v>
      </c>
      <c r="E258" s="4" t="s">
        <v>12</v>
      </c>
      <c r="F258" s="4" t="s">
        <v>13</v>
      </c>
      <c r="G258" s="38" t="s">
        <v>14</v>
      </c>
      <c r="H258" s="4" t="s">
        <v>15</v>
      </c>
      <c r="I258" s="38" t="s">
        <v>16</v>
      </c>
      <c r="J258" s="38" t="s">
        <v>17</v>
      </c>
      <c r="K258" s="38" t="s">
        <v>18</v>
      </c>
      <c r="L258" s="38" t="s">
        <v>19</v>
      </c>
      <c r="M258" s="38" t="s">
        <v>20</v>
      </c>
      <c r="N258" s="38" t="s">
        <v>21</v>
      </c>
    </row>
    <row r="259" spans="1:20" s="52" customFormat="1" ht="70.5">
      <c r="A259" s="6" t="str">
        <f>IFERROR(VLOOKUP(D259,'Master sheet (Clientes)'!A$6:D$747,2,0)," ")</f>
        <v>PA</v>
      </c>
      <c r="B259" s="6" t="str">
        <f>IFERROR(VLOOKUP(D259,'Master sheet (Clientes)'!A$6:D$747,3,0)," ")</f>
        <v>Post Brothers</v>
      </c>
      <c r="C259" s="6" t="str">
        <f>IFERROR(VLOOKUP(D259,'Master sheet (Clientes)'!A$6:D$747,4,0)," ")</f>
        <v>A-V</v>
      </c>
      <c r="D259" s="6" t="s">
        <v>619</v>
      </c>
      <c r="E259" s="6"/>
      <c r="F259" s="6"/>
      <c r="G259" s="6"/>
      <c r="H259" s="6" t="s">
        <v>986</v>
      </c>
      <c r="I259" s="6" t="s">
        <v>982</v>
      </c>
      <c r="J259" s="6" t="s">
        <v>48</v>
      </c>
      <c r="K259" s="6"/>
      <c r="L259" s="6"/>
      <c r="M259" s="6" t="s">
        <v>900</v>
      </c>
      <c r="N259" s="6"/>
      <c r="O259" s="13"/>
      <c r="P259" s="13"/>
      <c r="Q259" s="13"/>
      <c r="R259" s="51"/>
      <c r="S259" s="51"/>
      <c r="T259" s="51"/>
    </row>
    <row r="260" spans="1:20" s="52" customFormat="1" ht="70.5">
      <c r="A260" s="6" t="str">
        <f>IFERROR(VLOOKUP(D260,'Master sheet (Clientes)'!A$6:D$747,2,0)," ")</f>
        <v>PA</v>
      </c>
      <c r="B260" s="6" t="str">
        <f>IFERROR(VLOOKUP(D260,'Master sheet (Clientes)'!A$6:D$747,3,0)," ")</f>
        <v>Post Brothers</v>
      </c>
      <c r="C260" s="6" t="str">
        <f>IFERROR(VLOOKUP(D260,'Master sheet (Clientes)'!A$6:D$747,4,0)," ")</f>
        <v>A-V</v>
      </c>
      <c r="D260" s="6" t="s">
        <v>622</v>
      </c>
      <c r="E260" s="6"/>
      <c r="F260" s="6"/>
      <c r="G260" s="6"/>
      <c r="H260" s="6" t="s">
        <v>983</v>
      </c>
      <c r="I260" s="6" t="s">
        <v>984</v>
      </c>
      <c r="J260" s="6" t="s">
        <v>48</v>
      </c>
      <c r="K260" s="6"/>
      <c r="L260" s="6"/>
      <c r="M260" s="6" t="s">
        <v>985</v>
      </c>
      <c r="N260" s="6"/>
      <c r="O260" s="13"/>
      <c r="P260" s="13"/>
      <c r="Q260" s="13"/>
      <c r="R260" s="51"/>
      <c r="S260" s="51"/>
      <c r="T260" s="51"/>
    </row>
    <row r="261" spans="1:20">
      <c r="A261" s="1"/>
      <c r="B261" s="1"/>
      <c r="C261" s="1"/>
      <c r="D261" s="1"/>
      <c r="E261" s="1"/>
      <c r="F261" s="1"/>
      <c r="G261" s="1"/>
      <c r="H261" s="1"/>
      <c r="I261" s="1"/>
      <c r="J261" s="1"/>
      <c r="K261" s="1"/>
      <c r="L261" s="1"/>
      <c r="M261" s="1"/>
      <c r="N261" s="1"/>
    </row>
    <row r="262" spans="1:20" s="1" customFormat="1" ht="47">
      <c r="A262" s="4" t="s">
        <v>8</v>
      </c>
      <c r="B262" s="4" t="s">
        <v>9</v>
      </c>
      <c r="C262" s="4" t="s">
        <v>10</v>
      </c>
      <c r="D262" s="4" t="s">
        <v>11</v>
      </c>
      <c r="E262" s="4" t="s">
        <v>12</v>
      </c>
      <c r="F262" s="4" t="s">
        <v>13</v>
      </c>
      <c r="G262" s="38" t="s">
        <v>14</v>
      </c>
      <c r="H262" s="4" t="s">
        <v>15</v>
      </c>
      <c r="I262" s="38" t="s">
        <v>16</v>
      </c>
      <c r="J262" s="38" t="s">
        <v>17</v>
      </c>
      <c r="K262" s="38" t="s">
        <v>18</v>
      </c>
      <c r="L262" s="38" t="s">
        <v>19</v>
      </c>
      <c r="M262" s="38" t="s">
        <v>20</v>
      </c>
      <c r="N262" s="38" t="s">
        <v>21</v>
      </c>
    </row>
    <row r="263" spans="1:20" s="52" customFormat="1" ht="117.5">
      <c r="A263" s="6" t="str">
        <f>IFERROR(VLOOKUP(D263,'Master sheet (Clientes)'!A$6:D$747,2,0)," ")</f>
        <v>PA</v>
      </c>
      <c r="B263" s="6" t="str">
        <f>IFERROR(VLOOKUP(D263,'Master sheet (Clientes)'!A$6:D$747,3,0)," ")</f>
        <v xml:space="preserve">KRE Group Management </v>
      </c>
      <c r="C263" s="6" t="str">
        <f>IFERROR(VLOOKUP(D263,'Master sheet (Clientes)'!A$6:D$747,4,0)," ")</f>
        <v>A-V</v>
      </c>
      <c r="D263" s="6" t="s">
        <v>389</v>
      </c>
      <c r="E263" s="6"/>
      <c r="F263" s="6"/>
      <c r="G263" s="6"/>
      <c r="H263" s="6" t="s">
        <v>1024</v>
      </c>
      <c r="I263" s="6" t="s">
        <v>1025</v>
      </c>
      <c r="J263" s="6" t="s">
        <v>48</v>
      </c>
      <c r="K263" s="6"/>
      <c r="L263" s="6"/>
      <c r="M263" s="6" t="s">
        <v>1026</v>
      </c>
      <c r="N263" s="6"/>
      <c r="O263" s="13"/>
      <c r="P263" s="13"/>
      <c r="Q263" s="13"/>
      <c r="R263" s="51"/>
      <c r="S263" s="51"/>
      <c r="T263" s="51"/>
    </row>
    <row r="264" spans="1:20" s="52" customFormat="1" ht="117.5">
      <c r="A264" s="6" t="str">
        <f>IFERROR(VLOOKUP(D264,'Master sheet (Clientes)'!A$6:D$747,2,0)," ")</f>
        <v>PA</v>
      </c>
      <c r="B264" s="6" t="str">
        <f>IFERROR(VLOOKUP(D264,'Master sheet (Clientes)'!A$6:D$747,3,0)," ")</f>
        <v xml:space="preserve">KRE Group Management </v>
      </c>
      <c r="C264" s="6" t="str">
        <f>IFERROR(VLOOKUP(D264,'Master sheet (Clientes)'!A$6:D$747,4,0)," ")</f>
        <v>A-V</v>
      </c>
      <c r="D264" s="6" t="s">
        <v>388</v>
      </c>
      <c r="E264" s="6"/>
      <c r="F264" s="6"/>
      <c r="G264" s="6"/>
      <c r="H264" s="6" t="s">
        <v>1027</v>
      </c>
      <c r="I264" s="6" t="s">
        <v>1028</v>
      </c>
      <c r="J264" s="6" t="s">
        <v>48</v>
      </c>
      <c r="K264" s="6"/>
      <c r="L264" s="6"/>
      <c r="M264" s="6" t="s">
        <v>1029</v>
      </c>
      <c r="N264" s="6"/>
      <c r="O264" s="13"/>
      <c r="P264" s="13"/>
      <c r="Q264" s="13"/>
      <c r="R264" s="51"/>
      <c r="S264" s="51"/>
      <c r="T264" s="51"/>
    </row>
    <row r="265" spans="1:20">
      <c r="A265" s="1"/>
      <c r="B265" s="1"/>
      <c r="C265" s="1"/>
      <c r="D265" s="1"/>
      <c r="E265" s="1"/>
      <c r="F265" s="1"/>
      <c r="G265" s="1"/>
      <c r="H265" s="1"/>
      <c r="I265" s="1"/>
      <c r="J265" s="1"/>
      <c r="K265" s="1"/>
      <c r="L265" s="1"/>
      <c r="M265" s="1"/>
      <c r="N265" s="1"/>
    </row>
    <row r="266" spans="1:20" s="1" customFormat="1" ht="47">
      <c r="A266" s="4" t="s">
        <v>8</v>
      </c>
      <c r="B266" s="4" t="s">
        <v>9</v>
      </c>
      <c r="C266" s="4" t="s">
        <v>10</v>
      </c>
      <c r="D266" s="4" t="s">
        <v>11</v>
      </c>
      <c r="E266" s="4" t="s">
        <v>12</v>
      </c>
      <c r="F266" s="4" t="s">
        <v>13</v>
      </c>
      <c r="G266" s="38" t="s">
        <v>14</v>
      </c>
      <c r="H266" s="4" t="s">
        <v>15</v>
      </c>
      <c r="I266" s="38" t="s">
        <v>16</v>
      </c>
      <c r="J266" s="38" t="s">
        <v>17</v>
      </c>
      <c r="K266" s="38" t="s">
        <v>18</v>
      </c>
      <c r="L266" s="38" t="s">
        <v>19</v>
      </c>
      <c r="M266" s="38" t="s">
        <v>20</v>
      </c>
      <c r="N266" s="38" t="s">
        <v>21</v>
      </c>
    </row>
    <row r="267" spans="1:20" s="52" customFormat="1" ht="70.5">
      <c r="A267" s="6" t="str">
        <f>IFERROR(VLOOKUP(D267,'Master sheet (Clientes)'!A$6:D$747,2,0)," ")</f>
        <v>PA</v>
      </c>
      <c r="B267" s="6" t="str">
        <f>IFERROR(VLOOKUP(D267,'Master sheet (Clientes)'!A$6:D$747,3,0)," ")</f>
        <v>Post Brothers</v>
      </c>
      <c r="C267" s="6" t="str">
        <f>IFERROR(VLOOKUP(D267,'Master sheet (Clientes)'!A$6:D$747,4,0)," ")</f>
        <v>A-V</v>
      </c>
      <c r="D267" s="6" t="s">
        <v>622</v>
      </c>
      <c r="E267" s="6"/>
      <c r="F267" s="6"/>
      <c r="G267" s="6"/>
      <c r="H267" s="6" t="s">
        <v>1326</v>
      </c>
      <c r="I267" s="6" t="s">
        <v>1327</v>
      </c>
      <c r="J267" s="6" t="s">
        <v>48</v>
      </c>
      <c r="K267" s="6"/>
      <c r="L267" s="6"/>
      <c r="M267" s="6" t="s">
        <v>1600</v>
      </c>
      <c r="N267" s="6"/>
      <c r="O267" s="13"/>
      <c r="P267" s="13"/>
      <c r="Q267" s="13"/>
      <c r="R267" s="51"/>
      <c r="S267" s="51"/>
      <c r="T267" s="51"/>
    </row>
    <row r="268" spans="1:20" s="9" customFormat="1">
      <c r="A268" s="1"/>
      <c r="B268" s="1"/>
      <c r="C268" s="1"/>
      <c r="D268" s="1"/>
      <c r="E268" s="1"/>
      <c r="F268" s="1"/>
      <c r="G268" s="1"/>
      <c r="H268" s="1"/>
      <c r="I268" s="1"/>
      <c r="J268" s="1"/>
      <c r="K268" s="1"/>
      <c r="L268" s="1"/>
      <c r="M268" s="1"/>
      <c r="N268" s="1"/>
      <c r="O268" s="13"/>
      <c r="P268" s="13"/>
      <c r="Q268" s="13"/>
    </row>
    <row r="269" spans="1:20" s="1" customFormat="1" ht="47">
      <c r="A269" s="4" t="s">
        <v>8</v>
      </c>
      <c r="B269" s="4" t="s">
        <v>9</v>
      </c>
      <c r="C269" s="4" t="s">
        <v>10</v>
      </c>
      <c r="D269" s="4" t="s">
        <v>11</v>
      </c>
      <c r="E269" s="4" t="s">
        <v>12</v>
      </c>
      <c r="F269" s="4" t="s">
        <v>13</v>
      </c>
      <c r="G269" s="38" t="s">
        <v>14</v>
      </c>
      <c r="H269" s="4" t="s">
        <v>15</v>
      </c>
      <c r="I269" s="38" t="s">
        <v>16</v>
      </c>
      <c r="J269" s="38" t="s">
        <v>17</v>
      </c>
      <c r="K269" s="38" t="s">
        <v>18</v>
      </c>
      <c r="L269" s="38" t="s">
        <v>19</v>
      </c>
      <c r="M269" s="38" t="s">
        <v>20</v>
      </c>
      <c r="N269" s="38" t="s">
        <v>21</v>
      </c>
    </row>
    <row r="270" spans="1:20" s="12" customFormat="1" ht="70.5">
      <c r="A270" s="6" t="str">
        <f>IFERROR(VLOOKUP(D270,'Master sheet (Clientes)'!A$6:D$747,2,0)," ")</f>
        <v>PA</v>
      </c>
      <c r="B270" s="6" t="str">
        <f>IFERROR(VLOOKUP(D270,'Master sheet (Clientes)'!A$6:D$747,3,0)," ")</f>
        <v>Post Brothers</v>
      </c>
      <c r="C270" s="6" t="str">
        <f>IFERROR(VLOOKUP(D270,'Master sheet (Clientes)'!A$6:D$747,4,0)," ")</f>
        <v>A-V</v>
      </c>
      <c r="D270" s="6" t="s">
        <v>618</v>
      </c>
      <c r="E270" s="6">
        <v>710</v>
      </c>
      <c r="F270" s="6" t="s">
        <v>874</v>
      </c>
      <c r="G270" s="6" t="s">
        <v>853</v>
      </c>
      <c r="H270" s="6" t="s">
        <v>1801</v>
      </c>
      <c r="I270" s="6" t="s">
        <v>1847</v>
      </c>
      <c r="J270" s="6" t="s">
        <v>48</v>
      </c>
      <c r="K270" s="6"/>
      <c r="L270" s="6"/>
      <c r="M270" s="6"/>
      <c r="N270" s="6"/>
      <c r="O270" s="1"/>
      <c r="P270" s="1"/>
      <c r="Q270" s="1"/>
      <c r="R270" s="11"/>
      <c r="S270" s="11"/>
      <c r="T270" s="11"/>
    </row>
    <row r="271" spans="1:20" s="12" customFormat="1" ht="70.5">
      <c r="A271" s="6" t="str">
        <f>IFERROR(VLOOKUP(D271,'Master sheet (Clientes)'!A$6:D$747,2,0)," ")</f>
        <v>PA</v>
      </c>
      <c r="B271" s="6" t="str">
        <f>IFERROR(VLOOKUP(D271,'Master sheet (Clientes)'!A$6:D$747,3,0)," ")</f>
        <v>Post Brothers</v>
      </c>
      <c r="C271" s="6" t="str">
        <f>IFERROR(VLOOKUP(D271,'Master sheet (Clientes)'!A$6:D$747,4,0)," ")</f>
        <v>A-V</v>
      </c>
      <c r="D271" s="6" t="s">
        <v>618</v>
      </c>
      <c r="E271" s="6">
        <v>812</v>
      </c>
      <c r="F271" s="6" t="s">
        <v>45</v>
      </c>
      <c r="G271" s="6" t="s">
        <v>853</v>
      </c>
      <c r="H271" s="6" t="s">
        <v>1801</v>
      </c>
      <c r="I271" s="6" t="s">
        <v>1847</v>
      </c>
      <c r="J271" s="6" t="s">
        <v>48</v>
      </c>
      <c r="K271" s="6"/>
      <c r="L271" s="6"/>
      <c r="M271" s="6"/>
      <c r="N271" s="6"/>
      <c r="O271" s="1"/>
      <c r="P271" s="1"/>
      <c r="Q271" s="1"/>
      <c r="R271" s="11"/>
      <c r="S271" s="11"/>
      <c r="T271" s="11"/>
    </row>
    <row r="272" spans="1:20" s="9" customFormat="1">
      <c r="A272" s="1"/>
      <c r="B272" s="1"/>
      <c r="C272" s="1"/>
      <c r="D272" s="1"/>
      <c r="E272" s="1"/>
      <c r="F272" s="1"/>
      <c r="G272" s="1"/>
      <c r="H272" s="1"/>
      <c r="I272" s="1"/>
      <c r="J272" s="1"/>
      <c r="K272" s="1"/>
      <c r="L272" s="1"/>
      <c r="M272" s="1"/>
      <c r="N272" s="1"/>
      <c r="O272" s="13"/>
      <c r="P272" s="13"/>
      <c r="Q272" s="13"/>
    </row>
    <row r="273" spans="1:20" s="1" customFormat="1" ht="47">
      <c r="A273" s="4" t="s">
        <v>8</v>
      </c>
      <c r="B273" s="4" t="s">
        <v>9</v>
      </c>
      <c r="C273" s="4" t="s">
        <v>10</v>
      </c>
      <c r="D273" s="4" t="s">
        <v>11</v>
      </c>
      <c r="E273" s="4" t="s">
        <v>12</v>
      </c>
      <c r="F273" s="4" t="s">
        <v>13</v>
      </c>
      <c r="G273" s="38" t="s">
        <v>14</v>
      </c>
      <c r="H273" s="4" t="s">
        <v>15</v>
      </c>
      <c r="I273" s="38" t="s">
        <v>16</v>
      </c>
      <c r="J273" s="38" t="s">
        <v>17</v>
      </c>
      <c r="K273" s="38" t="s">
        <v>18</v>
      </c>
      <c r="L273" s="38" t="s">
        <v>19</v>
      </c>
      <c r="M273" s="38" t="s">
        <v>20</v>
      </c>
      <c r="N273" s="38" t="s">
        <v>21</v>
      </c>
    </row>
    <row r="274" spans="1:20" s="12" customFormat="1" ht="70.5">
      <c r="A274" s="6" t="str">
        <f>IFERROR(VLOOKUP(D274,'Master sheet (Clientes)'!A$6:D$747,2,0)," ")</f>
        <v>PA</v>
      </c>
      <c r="B274" s="6" t="str">
        <f>IFERROR(VLOOKUP(D274,'Master sheet (Clientes)'!A$6:D$747,3,0)," ")</f>
        <v>Greystar</v>
      </c>
      <c r="C274" s="6" t="str">
        <f>IFERROR(VLOOKUP(D274,'Master sheet (Clientes)'!A$6:D$747,4,0)," ")</f>
        <v>A-V</v>
      </c>
      <c r="D274" s="6" t="s">
        <v>319</v>
      </c>
      <c r="E274" s="6">
        <v>3214</v>
      </c>
      <c r="F274" s="6"/>
      <c r="G274" s="6" t="s">
        <v>837</v>
      </c>
      <c r="H274" s="6" t="s">
        <v>1796</v>
      </c>
      <c r="I274" s="6" t="s">
        <v>1797</v>
      </c>
      <c r="J274" s="6" t="s">
        <v>48</v>
      </c>
      <c r="K274" s="6"/>
      <c r="L274" s="6"/>
      <c r="M274" s="6"/>
      <c r="N274" s="6"/>
      <c r="O274" s="1"/>
      <c r="P274" s="1"/>
      <c r="Q274" s="1"/>
      <c r="R274" s="11"/>
      <c r="S274" s="11"/>
      <c r="T274" s="11"/>
    </row>
    <row r="275" spans="1:20">
      <c r="A275" s="1"/>
      <c r="B275" s="1"/>
      <c r="C275" s="1"/>
      <c r="D275" s="1"/>
      <c r="E275" s="1"/>
      <c r="F275" s="1"/>
      <c r="G275" s="1"/>
      <c r="H275" s="1"/>
      <c r="I275" s="1"/>
      <c r="K275" s="1"/>
      <c r="L275" s="1"/>
      <c r="M275" s="1"/>
      <c r="N275" s="1"/>
    </row>
    <row r="276" spans="1:20">
      <c r="A276" s="1"/>
      <c r="B276" s="1"/>
      <c r="C276" s="1"/>
      <c r="D276" s="1"/>
      <c r="E276" s="1"/>
      <c r="F276" s="1"/>
      <c r="G276" s="1"/>
      <c r="H276" s="1"/>
      <c r="I276" s="1"/>
      <c r="K276" s="1"/>
      <c r="L276" s="1"/>
      <c r="M276" s="1"/>
      <c r="N276" s="1"/>
    </row>
    <row r="277" spans="1:20" s="5" customFormat="1">
      <c r="A277" s="135"/>
      <c r="B277" s="135"/>
      <c r="C277" s="135"/>
      <c r="D277" s="30" t="s">
        <v>37</v>
      </c>
      <c r="E277" s="30"/>
      <c r="F277" s="30"/>
      <c r="G277" s="30"/>
      <c r="H277" s="2"/>
      <c r="I277" s="3"/>
      <c r="J277" s="3"/>
      <c r="K277" s="2"/>
      <c r="L277" s="2"/>
      <c r="M277" s="3"/>
      <c r="N277" s="7"/>
      <c r="O277" s="35"/>
      <c r="P277" s="35"/>
      <c r="Q277" s="35"/>
    </row>
    <row r="278" spans="1:20" s="5" customFormat="1">
      <c r="A278" s="136"/>
      <c r="B278" s="136"/>
      <c r="C278" s="136"/>
      <c r="D278" s="137" t="s">
        <v>38</v>
      </c>
      <c r="E278" s="137"/>
      <c r="F278" s="137"/>
      <c r="G278" s="2"/>
      <c r="H278" s="2"/>
      <c r="I278" s="3"/>
      <c r="J278" s="3"/>
      <c r="K278" s="2"/>
      <c r="L278" s="2"/>
      <c r="M278" s="3"/>
      <c r="N278" s="7"/>
      <c r="O278" s="35"/>
      <c r="P278" s="35"/>
      <c r="Q278" s="35"/>
    </row>
    <row r="279" spans="1:20" s="5" customFormat="1">
      <c r="A279" s="138"/>
      <c r="B279" s="138"/>
      <c r="C279" s="138"/>
      <c r="D279" s="139" t="s">
        <v>39</v>
      </c>
      <c r="E279" s="139"/>
      <c r="F279" s="139"/>
      <c r="G279" s="2"/>
      <c r="H279" s="2"/>
      <c r="I279" s="3"/>
      <c r="J279" s="3"/>
      <c r="K279" s="2"/>
      <c r="L279" s="2"/>
      <c r="M279" s="3"/>
      <c r="N279" s="7"/>
      <c r="O279" s="35"/>
      <c r="P279" s="35"/>
      <c r="Q279" s="35"/>
    </row>
    <row r="280" spans="1:20" s="5" customFormat="1">
      <c r="A280" s="132"/>
      <c r="B280" s="132"/>
      <c r="C280" s="132"/>
      <c r="D280" s="133" t="s">
        <v>40</v>
      </c>
      <c r="E280" s="133"/>
      <c r="F280" s="133"/>
      <c r="G280" s="2"/>
      <c r="H280" s="2"/>
      <c r="I280" s="3"/>
      <c r="J280" s="3"/>
      <c r="K280" s="2"/>
      <c r="L280" s="2"/>
      <c r="M280" s="3"/>
      <c r="N280" s="7"/>
      <c r="O280" s="35"/>
      <c r="P280" s="35"/>
      <c r="Q280" s="35"/>
    </row>
    <row r="281" spans="1:20" s="5" customFormat="1">
      <c r="A281" s="134"/>
      <c r="B281" s="134"/>
      <c r="C281" s="134"/>
      <c r="D281" s="28" t="s">
        <v>41</v>
      </c>
      <c r="E281" s="29"/>
      <c r="F281" s="29"/>
      <c r="G281" s="30"/>
      <c r="H281" s="2"/>
      <c r="I281" s="3"/>
      <c r="J281" s="3"/>
      <c r="K281" s="2"/>
      <c r="L281" s="2"/>
      <c r="M281" s="3"/>
      <c r="N281" s="7"/>
      <c r="O281" s="35"/>
      <c r="P281" s="35"/>
      <c r="Q281" s="35"/>
    </row>
    <row r="282" spans="1:20">
      <c r="C282" s="30"/>
      <c r="D282" s="30"/>
      <c r="E282" s="30"/>
      <c r="F282" s="30"/>
      <c r="G282" s="30"/>
      <c r="H282" s="30"/>
    </row>
    <row r="283" spans="1:20">
      <c r="C283" s="28"/>
      <c r="E283" s="28"/>
      <c r="F283" s="29"/>
      <c r="G283" s="29"/>
      <c r="H283" s="30"/>
    </row>
  </sheetData>
  <mergeCells count="33">
    <mergeCell ref="A280:C280"/>
    <mergeCell ref="D280:F280"/>
    <mergeCell ref="A281:C281"/>
    <mergeCell ref="A277:C277"/>
    <mergeCell ref="A278:C278"/>
    <mergeCell ref="D278:F278"/>
    <mergeCell ref="A279:C279"/>
    <mergeCell ref="D279:F279"/>
    <mergeCell ref="D150:L150"/>
    <mergeCell ref="D151:L151"/>
    <mergeCell ref="D195:L195"/>
    <mergeCell ref="D196:L196"/>
    <mergeCell ref="D236:L236"/>
    <mergeCell ref="D57:L57"/>
    <mergeCell ref="D107:L107"/>
    <mergeCell ref="D108:L108"/>
    <mergeCell ref="A1:M1"/>
    <mergeCell ref="A3:L3"/>
    <mergeCell ref="A4:L4"/>
    <mergeCell ref="A5:L5"/>
    <mergeCell ref="A6:L6"/>
    <mergeCell ref="D56:L56"/>
    <mergeCell ref="A9:L9"/>
    <mergeCell ref="D10:L10"/>
    <mergeCell ref="D12:L12"/>
    <mergeCell ref="D13:L13"/>
    <mergeCell ref="A7:L7"/>
    <mergeCell ref="D245:I245"/>
    <mergeCell ref="D238:L238"/>
    <mergeCell ref="D240:L240"/>
    <mergeCell ref="D241:L241"/>
    <mergeCell ref="D243:L243"/>
    <mergeCell ref="D244:I244"/>
  </mergeCells>
  <phoneticPr fontId="12" type="noConversion"/>
  <pageMargins left="0.25" right="0.25" top="0.75" bottom="0.75" header="0.3" footer="0.3"/>
  <pageSetup scale="27" fitToHeight="0" orientation="landscape" r:id="rId1"/>
  <rowBreaks count="8" manualBreakCount="8">
    <brk id="41" max="12" man="1"/>
    <brk id="54" max="16383" man="1"/>
    <brk id="92" max="12" man="1"/>
    <brk id="105" max="16383" man="1"/>
    <brk id="134" max="12" man="1"/>
    <brk id="148" max="16383" man="1"/>
    <brk id="193" max="16383" man="1"/>
    <brk id="234"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88A5E4D6-4FFC-3D4A-A26C-E5C9186C28B6}">
          <x14:formula1>
            <xm:f>'Master sheet (Clientes)'!$A$6:$A$654</xm:f>
          </x14:formula1>
          <xm:sqref>D274 D168 D99 D51 D44:D45 D129:D134 D190 D48 D148 D105 D193 D54 D34:D35 D79:D80 D95:D96 D38:D41 D61:D62 D111:D118 D209:D210 D185:D187 D267 D264 D137:D145 D249 D252:D256 D179:D182 D225:D229 D232:D234 D216:D222 D16:D19 D29:D31 D88:D92 D83:D85 D65:D68 D71:D76 D154:D160 D175:D176 D165 D171:D172 D201:D206 D270:D271 D121:D126 D22:D23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DFA53-0053-5C4E-AEA3-77A8F481DBCE}">
  <dimension ref="A1:T194"/>
  <sheetViews>
    <sheetView topLeftCell="D1" zoomScale="60" zoomScaleNormal="60" workbookViewId="0">
      <selection activeCell="I57" sqref="I57"/>
    </sheetView>
  </sheetViews>
  <sheetFormatPr baseColWidth="10" defaultColWidth="10.83203125" defaultRowHeight="23.5"/>
  <cols>
    <col min="1" max="1" width="8" style="2" customWidth="1"/>
    <col min="2" max="2" width="27.33203125" style="2" customWidth="1"/>
    <col min="3" max="3" width="9.5" style="2" customWidth="1"/>
    <col min="4" max="4" width="43.83203125" style="2" customWidth="1"/>
    <col min="5" max="7" width="18.83203125" style="2" customWidth="1"/>
    <col min="8" max="8" width="153.33203125" style="2" customWidth="1"/>
    <col min="9" max="9" width="40.83203125" style="2" customWidth="1"/>
    <col min="10" max="10" width="24.5" style="3" bestFit="1" customWidth="1"/>
    <col min="11" max="12" width="23.1640625" style="3" customWidth="1"/>
    <col min="13" max="13" width="40.83203125" style="2" customWidth="1"/>
    <col min="14" max="14" width="22.83203125" style="3" customWidth="1"/>
    <col min="15" max="17" width="27.1640625" style="1" customWidth="1"/>
    <col min="18" max="16384" width="10.83203125" style="2"/>
  </cols>
  <sheetData>
    <row r="1" spans="1:20" s="1" customFormat="1" ht="36">
      <c r="A1" s="129" t="s">
        <v>51</v>
      </c>
      <c r="B1" s="129"/>
      <c r="C1" s="129"/>
      <c r="D1" s="129"/>
      <c r="E1" s="129"/>
      <c r="F1" s="129"/>
      <c r="G1" s="129"/>
      <c r="H1" s="129"/>
      <c r="I1" s="129"/>
      <c r="J1" s="129"/>
      <c r="K1" s="129"/>
      <c r="L1" s="129"/>
      <c r="M1" s="129"/>
      <c r="N1" s="32"/>
    </row>
    <row r="2" spans="1:20" s="1" customFormat="1"/>
    <row r="3" spans="1:20" s="1" customFormat="1" ht="26">
      <c r="A3" s="125" t="s">
        <v>1</v>
      </c>
      <c r="B3" s="125"/>
      <c r="C3" s="125"/>
      <c r="D3" s="125"/>
      <c r="E3" s="125"/>
      <c r="F3" s="125"/>
      <c r="G3" s="125"/>
      <c r="H3" s="125"/>
      <c r="I3" s="125"/>
      <c r="J3" s="125"/>
      <c r="K3" s="125"/>
      <c r="L3" s="125"/>
      <c r="M3" s="15"/>
      <c r="N3" s="15"/>
    </row>
    <row r="4" spans="1:20" s="1" customFormat="1" ht="26" customHeight="1">
      <c r="A4" s="130" t="s">
        <v>2</v>
      </c>
      <c r="B4" s="130"/>
      <c r="C4" s="130"/>
      <c r="D4" s="125"/>
      <c r="E4" s="125"/>
      <c r="F4" s="125"/>
      <c r="G4" s="125"/>
      <c r="H4" s="125"/>
      <c r="I4" s="125"/>
      <c r="J4" s="125"/>
      <c r="K4" s="125"/>
      <c r="L4" s="125"/>
      <c r="M4" s="15"/>
      <c r="N4" s="15"/>
    </row>
    <row r="5" spans="1:20" s="1" customFormat="1" ht="26" customHeight="1">
      <c r="A5" s="130" t="s">
        <v>3</v>
      </c>
      <c r="B5" s="130"/>
      <c r="C5" s="130"/>
      <c r="D5" s="125"/>
      <c r="E5" s="125"/>
      <c r="F5" s="125"/>
      <c r="G5" s="125"/>
      <c r="H5" s="125"/>
      <c r="I5" s="125"/>
      <c r="J5" s="125"/>
      <c r="K5" s="125"/>
      <c r="L5" s="125"/>
      <c r="M5" s="15"/>
      <c r="N5" s="15"/>
    </row>
    <row r="6" spans="1:20" s="1" customFormat="1" ht="26">
      <c r="A6" s="125" t="s">
        <v>1429</v>
      </c>
      <c r="B6" s="125"/>
      <c r="C6" s="125"/>
      <c r="D6" s="125"/>
      <c r="E6" s="125"/>
      <c r="F6" s="125"/>
      <c r="G6" s="125"/>
      <c r="H6" s="125"/>
      <c r="I6" s="125"/>
      <c r="J6" s="125"/>
      <c r="K6" s="125"/>
      <c r="L6" s="125"/>
      <c r="M6" s="15"/>
      <c r="N6" s="15"/>
    </row>
    <row r="7" spans="1:20" s="1" customFormat="1" ht="26">
      <c r="A7" s="125" t="s">
        <v>1671</v>
      </c>
      <c r="B7" s="125"/>
      <c r="C7" s="125"/>
      <c r="D7" s="125"/>
      <c r="E7" s="125"/>
      <c r="F7" s="125"/>
      <c r="G7" s="125"/>
      <c r="H7" s="125"/>
      <c r="I7" s="125"/>
      <c r="J7" s="125"/>
      <c r="K7" s="125"/>
      <c r="L7" s="125"/>
      <c r="M7" s="15"/>
      <c r="N7" s="15"/>
    </row>
    <row r="8" spans="1:20" s="1" customFormat="1" ht="26">
      <c r="A8" s="19"/>
      <c r="B8" s="19"/>
      <c r="C8" s="17"/>
      <c r="D8" s="17"/>
      <c r="E8" s="17"/>
      <c r="F8" s="17"/>
      <c r="G8" s="17"/>
      <c r="H8" s="17"/>
      <c r="I8" s="17"/>
      <c r="J8" s="17"/>
      <c r="K8" s="17"/>
      <c r="L8" s="17"/>
      <c r="M8" s="15"/>
      <c r="N8" s="15"/>
    </row>
    <row r="9" spans="1:20" s="1" customFormat="1" ht="26">
      <c r="A9" s="125"/>
      <c r="B9" s="125"/>
      <c r="C9" s="125"/>
      <c r="D9" s="125"/>
      <c r="E9" s="125"/>
      <c r="F9" s="125"/>
      <c r="G9" s="125"/>
      <c r="H9" s="125"/>
      <c r="I9" s="125"/>
      <c r="J9" s="125"/>
      <c r="K9" s="125"/>
      <c r="L9" s="125"/>
      <c r="M9" s="15"/>
      <c r="N9" s="15"/>
    </row>
    <row r="10" spans="1:20" ht="28.5">
      <c r="A10" s="34"/>
      <c r="B10" s="34"/>
      <c r="C10" s="34"/>
      <c r="D10" s="126" t="s">
        <v>5</v>
      </c>
      <c r="E10" s="126"/>
      <c r="F10" s="126"/>
      <c r="G10" s="126"/>
      <c r="H10" s="126"/>
      <c r="I10" s="126"/>
      <c r="J10" s="126"/>
      <c r="K10" s="126"/>
      <c r="L10" s="126"/>
      <c r="M10" s="18"/>
      <c r="N10" s="18"/>
    </row>
    <row r="11" spans="1:20" s="5" customFormat="1">
      <c r="A11" s="3"/>
      <c r="B11" s="3"/>
      <c r="C11" s="3"/>
      <c r="D11" s="3"/>
      <c r="E11" s="3"/>
      <c r="F11" s="3"/>
      <c r="G11" s="3"/>
      <c r="H11" s="3"/>
      <c r="I11" s="3"/>
      <c r="J11" s="3"/>
      <c r="K11" s="1"/>
      <c r="L11" s="1"/>
      <c r="M11" s="1"/>
      <c r="N11" s="1"/>
      <c r="O11" s="35"/>
      <c r="P11" s="35"/>
      <c r="Q11" s="35"/>
    </row>
    <row r="12" spans="1:20" s="5" customFormat="1" ht="26">
      <c r="A12" s="33"/>
      <c r="B12" s="33"/>
      <c r="C12" s="33"/>
      <c r="D12" s="127" t="s">
        <v>6</v>
      </c>
      <c r="E12" s="127"/>
      <c r="F12" s="127"/>
      <c r="G12" s="127"/>
      <c r="H12" s="127"/>
      <c r="I12" s="127"/>
      <c r="J12" s="127"/>
      <c r="K12" s="127"/>
      <c r="L12" s="127"/>
      <c r="M12" s="16"/>
      <c r="N12" s="16"/>
      <c r="O12" s="35"/>
      <c r="P12" s="35"/>
      <c r="Q12" s="35"/>
    </row>
    <row r="13" spans="1:20" s="5" customFormat="1" ht="26">
      <c r="A13" s="43"/>
      <c r="B13" s="43"/>
      <c r="C13" s="43"/>
      <c r="D13" s="128" t="s">
        <v>7</v>
      </c>
      <c r="E13" s="128"/>
      <c r="F13" s="128"/>
      <c r="G13" s="128"/>
      <c r="H13" s="128"/>
      <c r="I13" s="128"/>
      <c r="J13" s="128"/>
      <c r="K13" s="128"/>
      <c r="L13" s="128"/>
      <c r="M13" s="44"/>
      <c r="N13" s="44"/>
      <c r="O13" s="35"/>
      <c r="P13" s="35"/>
      <c r="Q13" s="35"/>
    </row>
    <row r="14" spans="1:20" s="1" customFormat="1">
      <c r="A14" s="3"/>
      <c r="B14" s="3"/>
      <c r="C14" s="3"/>
      <c r="D14" s="3"/>
      <c r="E14" s="3"/>
      <c r="F14" s="3"/>
      <c r="G14" s="3"/>
      <c r="H14" s="3"/>
      <c r="I14" s="3"/>
      <c r="J14" s="3"/>
    </row>
    <row r="15" spans="1:20" s="1" customFormat="1" ht="47">
      <c r="A15" s="4" t="s">
        <v>8</v>
      </c>
      <c r="B15" s="4" t="s">
        <v>9</v>
      </c>
      <c r="C15" s="4" t="s">
        <v>10</v>
      </c>
      <c r="D15" s="4" t="s">
        <v>11</v>
      </c>
      <c r="E15" s="4" t="s">
        <v>12</v>
      </c>
      <c r="F15" s="4" t="s">
        <v>13</v>
      </c>
      <c r="G15" s="38" t="s">
        <v>14</v>
      </c>
      <c r="H15" s="4" t="s">
        <v>15</v>
      </c>
      <c r="I15" s="38" t="s">
        <v>16</v>
      </c>
      <c r="J15" s="38" t="s">
        <v>17</v>
      </c>
      <c r="K15" s="38" t="s">
        <v>18</v>
      </c>
      <c r="L15" s="38" t="s">
        <v>19</v>
      </c>
      <c r="M15" s="38" t="s">
        <v>20</v>
      </c>
      <c r="N15" s="38" t="s">
        <v>21</v>
      </c>
    </row>
    <row r="16" spans="1:20" s="52" customFormat="1" ht="70.5">
      <c r="A16" s="6" t="str">
        <f>IFERROR(VLOOKUP(D16,'Master sheet (Clientes)'!A$6:D$747,2,0)," ")</f>
        <v>NJ</v>
      </c>
      <c r="B16" s="6" t="str">
        <f>IFERROR(VLOOKUP(D16,'Master sheet (Clientes)'!A$6:D$747,3,0)," ")</f>
        <v>Vivmark Residential</v>
      </c>
      <c r="C16" s="6" t="str">
        <f>IFERROR(VLOOKUP(D16,'Master sheet (Clientes)'!A$6:D$747,4,0)," ")</f>
        <v>N-O</v>
      </c>
      <c r="D16" s="6" t="s">
        <v>89</v>
      </c>
      <c r="E16" s="6">
        <v>532</v>
      </c>
      <c r="F16" s="6" t="s">
        <v>843</v>
      </c>
      <c r="G16" s="6" t="s">
        <v>837</v>
      </c>
      <c r="H16" s="6" t="s">
        <v>844</v>
      </c>
      <c r="I16" s="77" t="s">
        <v>845</v>
      </c>
      <c r="J16" s="6" t="s">
        <v>48</v>
      </c>
      <c r="K16" s="6"/>
      <c r="L16" s="6"/>
      <c r="M16" s="6"/>
      <c r="N16" s="6"/>
      <c r="O16" s="1"/>
      <c r="P16" s="1"/>
      <c r="Q16" s="1"/>
      <c r="R16" s="11"/>
      <c r="S16" s="11"/>
      <c r="T16" s="11"/>
    </row>
    <row r="17" spans="1:20" s="12" customFormat="1" ht="70.5">
      <c r="A17" s="6" t="str">
        <f>IFERROR(VLOOKUP(D17,'Master sheet (Clientes)'!A$6:D$747,2,0)," ")</f>
        <v>NJ</v>
      </c>
      <c r="B17" s="6" t="str">
        <f>IFERROR(VLOOKUP(D17,'Master sheet (Clientes)'!A$6:D$747,3,0)," ")</f>
        <v>Skylight</v>
      </c>
      <c r="C17" s="6" t="str">
        <f>IFERROR(VLOOKUP(D17,'Master sheet (Clientes)'!A$6:D$747,4,0)," ")</f>
        <v>N-O</v>
      </c>
      <c r="D17" s="6" t="s">
        <v>730</v>
      </c>
      <c r="E17" s="6" t="s">
        <v>846</v>
      </c>
      <c r="F17" s="6"/>
      <c r="G17" s="6" t="s">
        <v>837</v>
      </c>
      <c r="H17" s="6" t="s">
        <v>847</v>
      </c>
      <c r="I17" s="77" t="s">
        <v>1156</v>
      </c>
      <c r="J17" s="6" t="s">
        <v>48</v>
      </c>
      <c r="K17" s="6"/>
      <c r="L17" s="6"/>
      <c r="M17" s="6"/>
      <c r="N17" s="6"/>
      <c r="O17" s="1"/>
      <c r="P17" s="1"/>
      <c r="Q17" s="1"/>
      <c r="R17" s="11"/>
      <c r="S17" s="11"/>
      <c r="T17" s="11"/>
    </row>
    <row r="18" spans="1:20" s="52" customFormat="1" ht="70.5">
      <c r="A18" s="6" t="str">
        <f>IFERROR(VLOOKUP(D18,'Master sheet (Clientes)'!A$6:D$747,2,0)," ")</f>
        <v>NJ</v>
      </c>
      <c r="B18" s="6" t="str">
        <f>IFERROR(VLOOKUP(D18,'Master sheet (Clientes)'!A$6:D$747,3,0)," ")</f>
        <v>Greystar</v>
      </c>
      <c r="C18" s="6" t="str">
        <f>IFERROR(VLOOKUP(D18,'Master sheet (Clientes)'!A$6:D$747,4,0)," ")</f>
        <v>A-V</v>
      </c>
      <c r="D18" s="6" t="s">
        <v>786</v>
      </c>
      <c r="E18" s="6">
        <v>702</v>
      </c>
      <c r="F18" s="6" t="s">
        <v>854</v>
      </c>
      <c r="G18" s="6" t="s">
        <v>853</v>
      </c>
      <c r="H18" s="6" t="s">
        <v>1736</v>
      </c>
      <c r="I18" s="6" t="s">
        <v>1522</v>
      </c>
      <c r="J18" s="6" t="s">
        <v>48</v>
      </c>
      <c r="K18" s="6"/>
      <c r="L18" s="6"/>
      <c r="M18" s="6"/>
      <c r="N18" s="6"/>
      <c r="O18" s="13"/>
      <c r="P18" s="13"/>
      <c r="Q18" s="13"/>
      <c r="R18" s="51"/>
      <c r="S18" s="51"/>
      <c r="T18" s="51"/>
    </row>
    <row r="19" spans="1:20" s="52" customFormat="1">
      <c r="A19" s="6" t="str">
        <f>IFERROR(VLOOKUP(D19,'Master sheet (Clientes)'!A$6:D$747,2,0)," ")</f>
        <v xml:space="preserve"> </v>
      </c>
      <c r="B19" s="6" t="str">
        <f>IFERROR(VLOOKUP(D19,'Master sheet (Clientes)'!A$6:D$747,3,0)," ")</f>
        <v xml:space="preserve"> </v>
      </c>
      <c r="C19" s="6" t="str">
        <f>IFERROR(VLOOKUP(D19,'Master sheet (Clientes)'!A$6:D$747,4,0)," ")</f>
        <v xml:space="preserve"> </v>
      </c>
      <c r="D19" s="6"/>
      <c r="E19" s="6"/>
      <c r="F19" s="6"/>
      <c r="G19" s="6"/>
      <c r="H19" s="6"/>
      <c r="I19" s="6"/>
      <c r="J19" s="6"/>
      <c r="K19" s="6"/>
      <c r="L19" s="6"/>
      <c r="M19" s="6"/>
      <c r="N19" s="6"/>
      <c r="O19" s="13"/>
      <c r="P19" s="13"/>
      <c r="Q19" s="13"/>
      <c r="R19" s="51"/>
      <c r="S19" s="51"/>
      <c r="T19" s="51"/>
    </row>
    <row r="20" spans="1:20" s="52" customFormat="1">
      <c r="A20" s="6" t="str">
        <f>IFERROR(VLOOKUP(D20,'Master sheet (Clientes)'!A$6:D$747,2,0)," ")</f>
        <v xml:space="preserve"> </v>
      </c>
      <c r="B20" s="6" t="str">
        <f>IFERROR(VLOOKUP(D20,'Master sheet (Clientes)'!A$6:D$747,3,0)," ")</f>
        <v xml:space="preserve"> </v>
      </c>
      <c r="C20" s="6" t="str">
        <f>IFERROR(VLOOKUP(D20,'Master sheet (Clientes)'!A$6:D$747,4,0)," ")</f>
        <v xml:space="preserve"> </v>
      </c>
      <c r="D20" s="6"/>
      <c r="E20" s="6"/>
      <c r="F20" s="6"/>
      <c r="G20" s="6"/>
      <c r="H20" s="6"/>
      <c r="I20" s="6"/>
      <c r="J20" s="6"/>
      <c r="K20" s="6"/>
      <c r="L20" s="6"/>
      <c r="M20" s="6"/>
      <c r="N20" s="6"/>
      <c r="O20" s="13"/>
      <c r="P20" s="13"/>
      <c r="Q20" s="13"/>
      <c r="R20" s="51"/>
      <c r="S20" s="51"/>
      <c r="T20" s="51"/>
    </row>
    <row r="21" spans="1:20" s="52" customFormat="1">
      <c r="A21" s="6" t="str">
        <f>IFERROR(VLOOKUP(D21,'Master sheet (Clientes)'!A$6:D$747,2,0)," ")</f>
        <v xml:space="preserve"> </v>
      </c>
      <c r="B21" s="6" t="str">
        <f>IFERROR(VLOOKUP(D21,'Master sheet (Clientes)'!A$6:D$747,3,0)," ")</f>
        <v xml:space="preserve"> </v>
      </c>
      <c r="C21" s="6" t="str">
        <f>IFERROR(VLOOKUP(D21,'Master sheet (Clientes)'!A$6:D$747,4,0)," ")</f>
        <v xml:space="preserve"> </v>
      </c>
      <c r="D21" s="6"/>
      <c r="E21" s="6"/>
      <c r="F21" s="6"/>
      <c r="G21" s="6"/>
      <c r="H21" s="6"/>
      <c r="I21" s="6"/>
      <c r="J21" s="6"/>
      <c r="K21" s="6"/>
      <c r="L21" s="6"/>
      <c r="M21" s="6"/>
      <c r="N21" s="6"/>
      <c r="O21" s="13"/>
      <c r="P21" s="13"/>
      <c r="Q21" s="13"/>
      <c r="R21" s="51"/>
      <c r="S21" s="51"/>
      <c r="T21" s="51"/>
    </row>
    <row r="22" spans="1:20" s="52" customFormat="1">
      <c r="A22" s="6" t="str">
        <f>IFERROR(VLOOKUP(D22,'Master sheet (Clientes)'!A$6:D$747,2,0)," ")</f>
        <v xml:space="preserve"> </v>
      </c>
      <c r="B22" s="6" t="str">
        <f>IFERROR(VLOOKUP(D22,'Master sheet (Clientes)'!A$6:D$747,3,0)," ")</f>
        <v xml:space="preserve"> </v>
      </c>
      <c r="C22" s="6" t="str">
        <f>IFERROR(VLOOKUP(D22,'Master sheet (Clientes)'!A$6:D$747,4,0)," ")</f>
        <v xml:space="preserve"> </v>
      </c>
      <c r="D22" s="6"/>
      <c r="E22" s="6"/>
      <c r="F22" s="6"/>
      <c r="G22" s="6"/>
      <c r="H22" s="6"/>
      <c r="I22" s="6"/>
      <c r="J22" s="6"/>
      <c r="K22" s="6"/>
      <c r="L22" s="6"/>
      <c r="M22" s="6"/>
      <c r="N22" s="6"/>
      <c r="O22" s="13"/>
      <c r="P22" s="13"/>
      <c r="Q22" s="13"/>
      <c r="R22" s="51"/>
      <c r="S22" s="51"/>
      <c r="T22" s="51"/>
    </row>
    <row r="23" spans="1:20" s="12" customFormat="1">
      <c r="A23" s="6" t="str">
        <f>IFERROR(VLOOKUP(D23,'Master sheet (Clientes)'!A$6:D$747,2,0)," ")</f>
        <v xml:space="preserve"> </v>
      </c>
      <c r="B23" s="6" t="str">
        <f>IFERROR(VLOOKUP(D23,'Master sheet (Clientes)'!A$6:D$747,3,0)," ")</f>
        <v xml:space="preserve"> </v>
      </c>
      <c r="C23" s="6" t="str">
        <f>IFERROR(VLOOKUP(D23,'Master sheet (Clientes)'!A$6:D$747,4,0)," ")</f>
        <v xml:space="preserve"> </v>
      </c>
      <c r="D23" s="6"/>
      <c r="E23" s="6"/>
      <c r="F23" s="6"/>
      <c r="G23" s="6"/>
      <c r="H23" s="6"/>
      <c r="I23" s="6"/>
      <c r="J23" s="6"/>
      <c r="K23" s="6"/>
      <c r="L23" s="6"/>
      <c r="M23" s="6"/>
      <c r="N23" s="6"/>
      <c r="O23" s="1"/>
      <c r="P23" s="1"/>
      <c r="Q23" s="1"/>
      <c r="R23" s="11"/>
      <c r="S23" s="11"/>
      <c r="T23" s="11"/>
    </row>
    <row r="24" spans="1:20" s="9" customFormat="1">
      <c r="A24" s="1"/>
      <c r="B24" s="1"/>
      <c r="C24" s="1"/>
      <c r="D24" s="1"/>
      <c r="E24" s="1"/>
      <c r="F24" s="1"/>
      <c r="G24" s="1"/>
      <c r="H24" s="1"/>
      <c r="I24" s="1"/>
      <c r="J24" s="1"/>
      <c r="K24" s="1"/>
      <c r="L24" s="1"/>
      <c r="M24" s="1"/>
      <c r="N24" s="1"/>
      <c r="O24" s="13"/>
      <c r="P24" s="13"/>
      <c r="Q24" s="13"/>
    </row>
    <row r="25" spans="1:20" s="1" customFormat="1" ht="47">
      <c r="A25" s="4" t="s">
        <v>8</v>
      </c>
      <c r="B25" s="4" t="s">
        <v>9</v>
      </c>
      <c r="C25" s="4" t="s">
        <v>10</v>
      </c>
      <c r="D25" s="4" t="s">
        <v>11</v>
      </c>
      <c r="E25" s="4" t="s">
        <v>12</v>
      </c>
      <c r="F25" s="4" t="s">
        <v>13</v>
      </c>
      <c r="G25" s="38" t="s">
        <v>14</v>
      </c>
      <c r="H25" s="4" t="s">
        <v>15</v>
      </c>
      <c r="I25" s="38" t="s">
        <v>16</v>
      </c>
      <c r="J25" s="38" t="s">
        <v>17</v>
      </c>
      <c r="K25" s="38" t="s">
        <v>18</v>
      </c>
      <c r="L25" s="38" t="s">
        <v>19</v>
      </c>
      <c r="M25" s="38" t="s">
        <v>20</v>
      </c>
      <c r="N25" s="38" t="s">
        <v>21</v>
      </c>
    </row>
    <row r="26" spans="1:20" s="42" customFormat="1" ht="45">
      <c r="A26" s="8" t="str">
        <f>IFERROR(VLOOKUP(D26,'Master sheet (Clientes)'!A$6:D$747,2,0)," ")</f>
        <v>NJ</v>
      </c>
      <c r="B26" s="8" t="str">
        <f>IFERROR(VLOOKUP(D26,'Master sheet (Clientes)'!A$6:D$747,3,0)," ")</f>
        <v>No Charge / Courtesy Job</v>
      </c>
      <c r="C26" s="8" t="str">
        <f>IFERROR(VLOOKUP(D26,'Master sheet (Clientes)'!A$6:D$747,4,0)," ")</f>
        <v>N/A</v>
      </c>
      <c r="D26" s="8" t="s">
        <v>465</v>
      </c>
      <c r="E26" s="8"/>
      <c r="F26" s="8"/>
      <c r="G26" s="8"/>
      <c r="H26" s="8" t="s">
        <v>1506</v>
      </c>
      <c r="I26" s="8" t="s">
        <v>831</v>
      </c>
      <c r="J26" s="8" t="s">
        <v>48</v>
      </c>
      <c r="K26" s="8"/>
      <c r="L26" s="8"/>
      <c r="M26" s="8" t="s">
        <v>1282</v>
      </c>
      <c r="N26" s="8"/>
      <c r="O26" s="14"/>
      <c r="P26" s="14"/>
      <c r="Q26" s="14"/>
      <c r="R26" s="41"/>
      <c r="S26" s="41"/>
      <c r="T26" s="41"/>
    </row>
    <row r="27" spans="1:20" s="12" customFormat="1">
      <c r="A27" s="6" t="str">
        <f>IFERROR(VLOOKUP(D27,'Master sheet (Clientes)'!A$6:D$747,2,0)," ")</f>
        <v xml:space="preserve"> </v>
      </c>
      <c r="B27" s="6" t="str">
        <f>IFERROR(VLOOKUP(D27,'Master sheet (Clientes)'!A$6:D$747,3,0)," ")</f>
        <v xml:space="preserve"> </v>
      </c>
      <c r="C27" s="6" t="str">
        <f>IFERROR(VLOOKUP(D27,'Master sheet (Clientes)'!A$6:D$747,4,0)," ")</f>
        <v xml:space="preserve"> </v>
      </c>
      <c r="D27" s="6"/>
      <c r="E27" s="6"/>
      <c r="F27" s="6"/>
      <c r="G27" s="6"/>
      <c r="H27" s="6"/>
      <c r="I27" s="6"/>
      <c r="J27" s="6"/>
      <c r="K27" s="6"/>
      <c r="L27" s="6"/>
      <c r="M27" s="6"/>
      <c r="N27" s="6"/>
      <c r="O27" s="1"/>
      <c r="P27" s="1"/>
      <c r="Q27" s="1"/>
      <c r="R27" s="11"/>
      <c r="S27" s="11"/>
      <c r="T27" s="11"/>
    </row>
    <row r="28" spans="1:20" s="12" customFormat="1">
      <c r="A28" s="6" t="str">
        <f>IFERROR(VLOOKUP(D28,'Master sheet (Clientes)'!A$6:D$747,2,0)," ")</f>
        <v xml:space="preserve"> </v>
      </c>
      <c r="B28" s="6" t="str">
        <f>IFERROR(VLOOKUP(D28,'Master sheet (Clientes)'!A$6:D$747,3,0)," ")</f>
        <v xml:space="preserve"> </v>
      </c>
      <c r="C28" s="6" t="str">
        <f>IFERROR(VLOOKUP(D28,'Master sheet (Clientes)'!A$6:D$747,4,0)," ")</f>
        <v xml:space="preserve"> </v>
      </c>
      <c r="D28" s="6"/>
      <c r="E28" s="6"/>
      <c r="F28" s="6"/>
      <c r="G28" s="6"/>
      <c r="H28" s="6"/>
      <c r="I28" s="6"/>
      <c r="J28" s="6"/>
      <c r="K28" s="6"/>
      <c r="L28" s="6"/>
      <c r="M28" s="6"/>
      <c r="N28" s="6"/>
      <c r="O28" s="1"/>
      <c r="P28" s="1"/>
      <c r="Q28" s="1"/>
      <c r="R28" s="11"/>
      <c r="S28" s="11"/>
      <c r="T28" s="11"/>
    </row>
    <row r="29" spans="1:20" s="12" customFormat="1">
      <c r="A29" s="6" t="str">
        <f>IFERROR(VLOOKUP(D29,'Master sheet (Clientes)'!A$6:D$747,2,0)," ")</f>
        <v xml:space="preserve"> </v>
      </c>
      <c r="B29" s="6" t="str">
        <f>IFERROR(VLOOKUP(D29,'Master sheet (Clientes)'!A$6:D$747,3,0)," ")</f>
        <v xml:space="preserve"> </v>
      </c>
      <c r="C29" s="6" t="str">
        <f>IFERROR(VLOOKUP(D29,'Master sheet (Clientes)'!A$6:D$747,4,0)," ")</f>
        <v xml:space="preserve"> </v>
      </c>
      <c r="D29" s="6"/>
      <c r="E29" s="6"/>
      <c r="F29" s="6"/>
      <c r="G29" s="6"/>
      <c r="H29" s="6"/>
      <c r="I29" s="6"/>
      <c r="J29" s="6"/>
      <c r="K29" s="6"/>
      <c r="L29" s="6"/>
      <c r="M29" s="6"/>
      <c r="N29" s="6"/>
      <c r="O29" s="1"/>
      <c r="P29" s="1"/>
      <c r="Q29" s="1"/>
      <c r="R29" s="11"/>
      <c r="S29" s="11"/>
      <c r="T29" s="11"/>
    </row>
    <row r="30" spans="1:20">
      <c r="A30" s="1"/>
      <c r="B30" s="1"/>
      <c r="C30" s="1"/>
      <c r="D30" s="1"/>
      <c r="E30" s="1"/>
      <c r="F30" s="1"/>
      <c r="G30" s="1"/>
      <c r="H30" s="1"/>
      <c r="I30" s="1"/>
      <c r="J30" s="1"/>
      <c r="K30" s="1"/>
      <c r="L30" s="1"/>
      <c r="M30" s="1"/>
      <c r="N30" s="1"/>
    </row>
    <row r="31" spans="1:20" s="1" customFormat="1" ht="47">
      <c r="A31" s="4" t="s">
        <v>8</v>
      </c>
      <c r="B31" s="4" t="s">
        <v>9</v>
      </c>
      <c r="C31" s="4" t="s">
        <v>10</v>
      </c>
      <c r="D31" s="4" t="s">
        <v>11</v>
      </c>
      <c r="E31" s="4" t="s">
        <v>12</v>
      </c>
      <c r="F31" s="4" t="s">
        <v>13</v>
      </c>
      <c r="G31" s="38" t="s">
        <v>14</v>
      </c>
      <c r="H31" s="4" t="s">
        <v>15</v>
      </c>
      <c r="I31" s="38" t="s">
        <v>16</v>
      </c>
      <c r="J31" s="38" t="s">
        <v>17</v>
      </c>
      <c r="K31" s="38" t="s">
        <v>18</v>
      </c>
      <c r="L31" s="38" t="s">
        <v>19</v>
      </c>
      <c r="M31" s="38" t="s">
        <v>20</v>
      </c>
      <c r="N31" s="38" t="s">
        <v>21</v>
      </c>
    </row>
    <row r="32" spans="1:20" s="12" customFormat="1" ht="70.5">
      <c r="A32" s="6" t="str">
        <f>IFERROR(VLOOKUP(D32,'Master sheet (Clientes)'!A$6:D$747,2,0)," ")</f>
        <v>NJ</v>
      </c>
      <c r="B32" s="6" t="str">
        <f>IFERROR(VLOOKUP(D32,'Master sheet (Clientes)'!A$6:D$747,3,0)," ")</f>
        <v>Greystar</v>
      </c>
      <c r="C32" s="6" t="str">
        <f>IFERROR(VLOOKUP(D32,'Master sheet (Clientes)'!A$6:D$747,4,0)," ")</f>
        <v>A-V</v>
      </c>
      <c r="D32" s="6" t="s">
        <v>786</v>
      </c>
      <c r="E32" s="6">
        <v>520</v>
      </c>
      <c r="F32" s="6" t="s">
        <v>1455</v>
      </c>
      <c r="G32" s="6" t="s">
        <v>853</v>
      </c>
      <c r="H32" s="6" t="s">
        <v>1474</v>
      </c>
      <c r="I32" s="77" t="s">
        <v>1852</v>
      </c>
      <c r="J32" s="6" t="s">
        <v>48</v>
      </c>
      <c r="K32" s="6"/>
      <c r="L32" s="6"/>
      <c r="M32" s="6"/>
      <c r="N32" s="6"/>
      <c r="O32" s="1"/>
      <c r="P32" s="1"/>
      <c r="Q32" s="1"/>
      <c r="R32" s="11"/>
      <c r="S32" s="11"/>
      <c r="T32" s="11"/>
    </row>
    <row r="33" spans="1:20" s="12" customFormat="1" ht="70.5">
      <c r="A33" s="6" t="str">
        <f>IFERROR(VLOOKUP(D33,'Master sheet (Clientes)'!A$6:D$747,2,0)," ")</f>
        <v>NJ</v>
      </c>
      <c r="B33" s="6" t="str">
        <f>IFERROR(VLOOKUP(D33,'Master sheet (Clientes)'!A$6:D$747,3,0)," ")</f>
        <v>Greystar</v>
      </c>
      <c r="C33" s="6" t="str">
        <f>IFERROR(VLOOKUP(D33,'Master sheet (Clientes)'!A$6:D$747,4,0)," ")</f>
        <v>A-V</v>
      </c>
      <c r="D33" s="6" t="s">
        <v>786</v>
      </c>
      <c r="E33" s="6">
        <v>515</v>
      </c>
      <c r="F33" s="6" t="s">
        <v>45</v>
      </c>
      <c r="G33" s="6" t="s">
        <v>853</v>
      </c>
      <c r="H33" s="6" t="s">
        <v>1474</v>
      </c>
      <c r="I33" s="77" t="s">
        <v>1852</v>
      </c>
      <c r="J33" s="6" t="s">
        <v>48</v>
      </c>
      <c r="K33" s="6"/>
      <c r="L33" s="6"/>
      <c r="M33" s="6"/>
      <c r="N33" s="6"/>
      <c r="O33" s="1"/>
      <c r="P33" s="1"/>
      <c r="Q33" s="1"/>
      <c r="R33" s="11"/>
      <c r="S33" s="11"/>
      <c r="T33" s="11"/>
    </row>
    <row r="34" spans="1:20" s="12" customFormat="1" ht="70.5">
      <c r="A34" s="6" t="str">
        <f>IFERROR(VLOOKUP(D34,'Master sheet (Clientes)'!A$6:D$747,2,0)," ")</f>
        <v>NJ</v>
      </c>
      <c r="B34" s="6" t="str">
        <f>IFERROR(VLOOKUP(D34,'Master sheet (Clientes)'!A$6:D$747,3,0)," ")</f>
        <v>Greystar</v>
      </c>
      <c r="C34" s="6" t="str">
        <f>IFERROR(VLOOKUP(D34,'Master sheet (Clientes)'!A$6:D$747,4,0)," ")</f>
        <v>A-V</v>
      </c>
      <c r="D34" s="6" t="s">
        <v>786</v>
      </c>
      <c r="E34" s="6">
        <v>702</v>
      </c>
      <c r="F34" s="6" t="s">
        <v>854</v>
      </c>
      <c r="G34" s="6" t="s">
        <v>853</v>
      </c>
      <c r="H34" s="6" t="s">
        <v>1622</v>
      </c>
      <c r="I34" s="6" t="s">
        <v>950</v>
      </c>
      <c r="J34" s="6" t="s">
        <v>48</v>
      </c>
      <c r="K34" s="6"/>
      <c r="L34" s="6"/>
      <c r="M34" s="6"/>
      <c r="N34" s="6"/>
      <c r="O34" s="1"/>
      <c r="P34" s="1"/>
      <c r="Q34" s="1"/>
      <c r="R34" s="11"/>
      <c r="S34" s="11"/>
      <c r="T34" s="11"/>
    </row>
    <row r="35" spans="1:20" s="12" customFormat="1">
      <c r="A35" s="6" t="str">
        <f>IFERROR(VLOOKUP(D35,'Master sheet (Clientes)'!A$6:D$747,2,0)," ")</f>
        <v xml:space="preserve"> </v>
      </c>
      <c r="B35" s="6" t="str">
        <f>IFERROR(VLOOKUP(D35,'Master sheet (Clientes)'!A$6:D$747,3,0)," ")</f>
        <v xml:space="preserve"> </v>
      </c>
      <c r="C35" s="6" t="str">
        <f>IFERROR(VLOOKUP(D35,'Master sheet (Clientes)'!A$6:D$747,4,0)," ")</f>
        <v xml:space="preserve"> </v>
      </c>
      <c r="D35" s="6"/>
      <c r="E35" s="6"/>
      <c r="F35" s="6"/>
      <c r="G35" s="6"/>
      <c r="H35" s="6"/>
      <c r="I35" s="6"/>
      <c r="J35" s="6"/>
      <c r="K35" s="6"/>
      <c r="L35" s="6"/>
      <c r="M35" s="6"/>
      <c r="N35" s="6"/>
      <c r="O35" s="1"/>
      <c r="P35" s="1"/>
      <c r="Q35" s="1"/>
      <c r="R35" s="11"/>
      <c r="S35" s="11"/>
      <c r="T35" s="11"/>
    </row>
    <row r="36" spans="1:20" s="12" customFormat="1">
      <c r="A36" s="6" t="str">
        <f>IFERROR(VLOOKUP(D36,'Master sheet (Clientes)'!A$6:D$747,2,0)," ")</f>
        <v xml:space="preserve"> </v>
      </c>
      <c r="B36" s="6" t="str">
        <f>IFERROR(VLOOKUP(D36,'Master sheet (Clientes)'!A$6:D$747,3,0)," ")</f>
        <v xml:space="preserve"> </v>
      </c>
      <c r="C36" s="6" t="str">
        <f>IFERROR(VLOOKUP(D36,'Master sheet (Clientes)'!A$6:D$747,4,0)," ")</f>
        <v xml:space="preserve"> </v>
      </c>
      <c r="D36" s="6"/>
      <c r="E36" s="6"/>
      <c r="F36" s="6"/>
      <c r="G36" s="6"/>
      <c r="H36" s="6"/>
      <c r="I36" s="6"/>
      <c r="J36" s="6"/>
      <c r="K36" s="6"/>
      <c r="L36" s="6"/>
      <c r="M36" s="6"/>
      <c r="N36" s="6"/>
      <c r="O36" s="1"/>
      <c r="P36" s="1"/>
      <c r="Q36" s="1"/>
      <c r="R36" s="11"/>
      <c r="S36" s="11"/>
      <c r="T36" s="11"/>
    </row>
    <row r="37" spans="1:20">
      <c r="A37" s="1"/>
      <c r="B37" s="1"/>
      <c r="C37" s="1"/>
      <c r="D37" s="1"/>
      <c r="E37" s="1"/>
      <c r="F37" s="1"/>
      <c r="G37" s="1"/>
      <c r="H37" s="1"/>
      <c r="I37" s="1"/>
      <c r="J37" s="1"/>
      <c r="K37" s="1"/>
      <c r="L37" s="1"/>
      <c r="M37" s="1"/>
      <c r="N37" s="1"/>
    </row>
    <row r="38" spans="1:20" s="1" customFormat="1" ht="47">
      <c r="A38" s="4" t="s">
        <v>8</v>
      </c>
      <c r="B38" s="4" t="s">
        <v>9</v>
      </c>
      <c r="C38" s="4" t="s">
        <v>10</v>
      </c>
      <c r="D38" s="4" t="s">
        <v>11</v>
      </c>
      <c r="E38" s="4" t="s">
        <v>12</v>
      </c>
      <c r="F38" s="4" t="s">
        <v>13</v>
      </c>
      <c r="G38" s="38" t="s">
        <v>14</v>
      </c>
      <c r="H38" s="4" t="s">
        <v>15</v>
      </c>
      <c r="I38" s="38" t="s">
        <v>16</v>
      </c>
      <c r="J38" s="38" t="s">
        <v>17</v>
      </c>
      <c r="K38" s="38" t="s">
        <v>18</v>
      </c>
      <c r="L38" s="38" t="s">
        <v>19</v>
      </c>
      <c r="M38" s="38" t="s">
        <v>20</v>
      </c>
      <c r="N38" s="38" t="s">
        <v>21</v>
      </c>
    </row>
    <row r="39" spans="1:20" s="12" customFormat="1">
      <c r="A39" s="6" t="str">
        <f>IFERROR(VLOOKUP(D39,'Master sheet (Clientes)'!A$6:D$747,2,0)," ")</f>
        <v xml:space="preserve"> </v>
      </c>
      <c r="B39" s="6" t="str">
        <f>IFERROR(VLOOKUP(D39,'Master sheet (Clientes)'!A$6:D$747,3,0)," ")</f>
        <v xml:space="preserve"> </v>
      </c>
      <c r="C39" s="6" t="str">
        <f>IFERROR(VLOOKUP(D39,'Master sheet (Clientes)'!A$6:D$747,4,0)," ")</f>
        <v xml:space="preserve"> </v>
      </c>
      <c r="D39" s="6"/>
      <c r="E39" s="6"/>
      <c r="F39" s="6"/>
      <c r="G39" s="6"/>
      <c r="H39" s="6"/>
      <c r="I39" s="6"/>
      <c r="J39" s="6"/>
      <c r="K39" s="6"/>
      <c r="L39" s="6"/>
      <c r="M39" s="6"/>
      <c r="N39" s="6"/>
      <c r="O39" s="1"/>
      <c r="P39" s="1"/>
      <c r="Q39" s="1"/>
      <c r="R39" s="11"/>
      <c r="S39" s="11"/>
      <c r="T39" s="11"/>
    </row>
    <row r="40" spans="1:20" s="12" customFormat="1">
      <c r="A40" s="6" t="str">
        <f>IFERROR(VLOOKUP(D40,'Master sheet (Clientes)'!A$6:D$747,2,0)," ")</f>
        <v xml:space="preserve"> </v>
      </c>
      <c r="B40" s="6" t="str">
        <f>IFERROR(VLOOKUP(D40,'Master sheet (Clientes)'!A$6:D$747,3,0)," ")</f>
        <v xml:space="preserve"> </v>
      </c>
      <c r="C40" s="6" t="str">
        <f>IFERROR(VLOOKUP(D40,'Master sheet (Clientes)'!A$6:D$747,4,0)," ")</f>
        <v xml:space="preserve"> </v>
      </c>
      <c r="D40" s="6"/>
      <c r="E40" s="6"/>
      <c r="F40" s="6"/>
      <c r="G40" s="6"/>
      <c r="H40" s="6"/>
      <c r="I40" s="6"/>
      <c r="J40" s="6"/>
      <c r="K40" s="6"/>
      <c r="L40" s="6"/>
      <c r="M40" s="6"/>
      <c r="N40" s="6"/>
      <c r="O40" s="1"/>
      <c r="P40" s="1"/>
      <c r="Q40" s="1"/>
      <c r="R40" s="11"/>
      <c r="S40" s="11"/>
      <c r="T40" s="11"/>
    </row>
    <row r="41" spans="1:20" s="12" customFormat="1">
      <c r="A41" s="6" t="str">
        <f>IFERROR(VLOOKUP(D41,'Master sheet (Clientes)'!A$6:D$747,2,0)," ")</f>
        <v xml:space="preserve"> </v>
      </c>
      <c r="B41" s="6" t="str">
        <f>IFERROR(VLOOKUP(D41,'Master sheet (Clientes)'!A$6:D$747,3,0)," ")</f>
        <v xml:space="preserve"> </v>
      </c>
      <c r="C41" s="6" t="str">
        <f>IFERROR(VLOOKUP(D41,'Master sheet (Clientes)'!A$6:D$747,4,0)," ")</f>
        <v xml:space="preserve"> </v>
      </c>
      <c r="D41" s="6"/>
      <c r="E41" s="6"/>
      <c r="F41" s="6"/>
      <c r="G41" s="6"/>
      <c r="H41" s="6"/>
      <c r="I41" s="6"/>
      <c r="J41" s="6"/>
      <c r="K41" s="6"/>
      <c r="L41" s="6"/>
      <c r="M41" s="6"/>
      <c r="N41" s="6"/>
      <c r="O41" s="1"/>
      <c r="P41" s="1"/>
      <c r="Q41" s="1"/>
      <c r="R41" s="11"/>
      <c r="S41" s="11"/>
      <c r="T41" s="11"/>
    </row>
    <row r="42" spans="1:20">
      <c r="A42" s="1"/>
      <c r="B42" s="1"/>
      <c r="C42" s="1"/>
      <c r="D42" s="1"/>
      <c r="E42" s="1"/>
      <c r="F42" s="1"/>
      <c r="G42" s="1"/>
      <c r="H42" s="1"/>
      <c r="I42" s="1"/>
      <c r="J42" s="1"/>
      <c r="K42" s="1"/>
      <c r="L42" s="1"/>
      <c r="M42" s="1"/>
      <c r="N42" s="1"/>
    </row>
    <row r="43" spans="1:20" ht="47">
      <c r="A43" s="4" t="s">
        <v>8</v>
      </c>
      <c r="B43" s="4" t="s">
        <v>9</v>
      </c>
      <c r="C43" s="4" t="s">
        <v>10</v>
      </c>
      <c r="D43" s="4" t="s">
        <v>11</v>
      </c>
      <c r="E43" s="4" t="s">
        <v>12</v>
      </c>
      <c r="F43" s="4" t="s">
        <v>13</v>
      </c>
      <c r="G43" s="38" t="s">
        <v>14</v>
      </c>
      <c r="H43" s="4" t="s">
        <v>22</v>
      </c>
      <c r="I43" s="38" t="s">
        <v>23</v>
      </c>
      <c r="J43" s="38" t="s">
        <v>17</v>
      </c>
      <c r="K43" s="38" t="s">
        <v>18</v>
      </c>
      <c r="L43" s="38" t="s">
        <v>19</v>
      </c>
      <c r="M43" s="38" t="s">
        <v>20</v>
      </c>
      <c r="N43" s="38" t="s">
        <v>21</v>
      </c>
    </row>
    <row r="44" spans="1:20">
      <c r="A44" s="21" t="str">
        <f>IFERROR(VLOOKUP(D44,'Master sheet (Clientes)'!A$6:D$747,2,0)," ")</f>
        <v xml:space="preserve"> </v>
      </c>
      <c r="B44" s="21" t="str">
        <f>IFERROR(VLOOKUP(D44,'Master sheet (Clientes)'!A$6:D$747,3,0)," ")</f>
        <v xml:space="preserve"> </v>
      </c>
      <c r="C44" s="21" t="str">
        <f>IFERROR(VLOOKUP(D44,'Master sheet (Clientes)'!A$6:D$747,4,0)," ")</f>
        <v xml:space="preserve"> </v>
      </c>
      <c r="D44" s="21"/>
      <c r="E44" s="53"/>
      <c r="F44" s="21"/>
      <c r="G44" s="53"/>
      <c r="H44" s="21"/>
      <c r="I44" s="53"/>
      <c r="J44" s="21"/>
      <c r="K44" s="21"/>
      <c r="L44" s="21"/>
      <c r="M44" s="21"/>
      <c r="N44" s="21"/>
    </row>
    <row r="45" spans="1:20">
      <c r="A45" s="13"/>
      <c r="B45" s="13"/>
      <c r="C45" s="13"/>
      <c r="D45" s="13"/>
      <c r="E45" s="13"/>
      <c r="F45" s="13"/>
      <c r="G45" s="13"/>
      <c r="H45" s="13"/>
      <c r="I45" s="13"/>
      <c r="J45" s="13"/>
      <c r="K45" s="1"/>
      <c r="L45" s="1"/>
      <c r="M45" s="1"/>
      <c r="N45" s="1"/>
    </row>
    <row r="46" spans="1:20" ht="26">
      <c r="A46" s="33"/>
      <c r="B46" s="33"/>
      <c r="C46" s="33"/>
      <c r="D46" s="127" t="s">
        <v>24</v>
      </c>
      <c r="E46" s="127"/>
      <c r="F46" s="127"/>
      <c r="G46" s="127"/>
      <c r="H46" s="127"/>
      <c r="I46" s="127"/>
      <c r="J46" s="127"/>
      <c r="K46" s="127"/>
      <c r="L46" s="127"/>
      <c r="M46" s="16"/>
      <c r="N46" s="16"/>
    </row>
    <row r="47" spans="1:20" s="5" customFormat="1" ht="26">
      <c r="A47" s="43"/>
      <c r="B47" s="43"/>
      <c r="C47" s="43"/>
      <c r="D47" s="128" t="s">
        <v>25</v>
      </c>
      <c r="E47" s="128"/>
      <c r="F47" s="128"/>
      <c r="G47" s="128"/>
      <c r="H47" s="128"/>
      <c r="I47" s="128"/>
      <c r="J47" s="128"/>
      <c r="K47" s="128"/>
      <c r="L47" s="128"/>
      <c r="M47" s="44"/>
      <c r="N47" s="44"/>
      <c r="O47" s="35"/>
      <c r="P47" s="35"/>
      <c r="Q47" s="35"/>
    </row>
    <row r="48" spans="1:20" s="1" customFormat="1">
      <c r="A48" s="3"/>
      <c r="B48" s="3"/>
      <c r="C48" s="3"/>
      <c r="D48" s="3"/>
      <c r="E48" s="3"/>
      <c r="F48" s="3"/>
      <c r="G48" s="3"/>
      <c r="H48" s="3"/>
      <c r="I48" s="3"/>
      <c r="J48" s="3"/>
    </row>
    <row r="49" spans="1:20" s="1" customFormat="1" ht="47">
      <c r="A49" s="4" t="s">
        <v>8</v>
      </c>
      <c r="B49" s="4" t="s">
        <v>9</v>
      </c>
      <c r="C49" s="4" t="s">
        <v>10</v>
      </c>
      <c r="D49" s="4" t="s">
        <v>11</v>
      </c>
      <c r="E49" s="4" t="s">
        <v>12</v>
      </c>
      <c r="F49" s="4" t="s">
        <v>13</v>
      </c>
      <c r="G49" s="38" t="s">
        <v>14</v>
      </c>
      <c r="H49" s="4" t="s">
        <v>15</v>
      </c>
      <c r="I49" s="38" t="s">
        <v>16</v>
      </c>
      <c r="J49" s="38" t="s">
        <v>17</v>
      </c>
      <c r="K49" s="38" t="s">
        <v>18</v>
      </c>
      <c r="L49" s="38" t="s">
        <v>19</v>
      </c>
      <c r="M49" s="38" t="s">
        <v>20</v>
      </c>
      <c r="N49" s="38" t="s">
        <v>21</v>
      </c>
    </row>
    <row r="50" spans="1:20" ht="47">
      <c r="A50" s="6" t="str">
        <f>IFERROR(VLOOKUP(D50,'Master sheet (Clientes)'!A$6:D$747,2,0)," ")</f>
        <v>NJ</v>
      </c>
      <c r="B50" s="6" t="str">
        <f>IFERROR(VLOOKUP(D50,'Master sheet (Clientes)'!A$6:D$747,3,0)," ")</f>
        <v>Greystar</v>
      </c>
      <c r="C50" s="6" t="str">
        <f>IFERROR(VLOOKUP(D50,'Master sheet (Clientes)'!A$6:D$747,4,0)," ")</f>
        <v>A-V</v>
      </c>
      <c r="D50" s="6" t="s">
        <v>324</v>
      </c>
      <c r="E50" s="6">
        <v>910</v>
      </c>
      <c r="F50" s="6"/>
      <c r="G50" s="6" t="s">
        <v>837</v>
      </c>
      <c r="H50" s="78" t="s">
        <v>903</v>
      </c>
      <c r="I50" s="79" t="s">
        <v>904</v>
      </c>
      <c r="J50" s="21" t="s">
        <v>905</v>
      </c>
      <c r="K50" s="6"/>
      <c r="L50" s="6"/>
      <c r="M50" s="6"/>
      <c r="N50" s="6"/>
    </row>
    <row r="51" spans="1:20" s="12" customFormat="1" ht="70.5">
      <c r="A51" s="6" t="str">
        <f>IFERROR(VLOOKUP(D51,'Master sheet (Clientes)'!A$6:D$747,2,0)," ")</f>
        <v>NJ</v>
      </c>
      <c r="B51" s="6" t="str">
        <f>IFERROR(VLOOKUP(D51,'Master sheet (Clientes)'!A$6:D$747,3,0)," ")</f>
        <v>Vivmark Residential</v>
      </c>
      <c r="C51" s="6" t="str">
        <f>IFERROR(VLOOKUP(D51,'Master sheet (Clientes)'!A$6:D$747,4,0)," ")</f>
        <v>A-V</v>
      </c>
      <c r="D51" s="6" t="s">
        <v>286</v>
      </c>
      <c r="E51" s="6">
        <v>602</v>
      </c>
      <c r="F51" s="6"/>
      <c r="G51" s="6" t="s">
        <v>837</v>
      </c>
      <c r="H51" s="6" t="s">
        <v>912</v>
      </c>
      <c r="I51" s="77" t="s">
        <v>914</v>
      </c>
      <c r="J51" s="6" t="s">
        <v>48</v>
      </c>
      <c r="K51" s="6" t="s">
        <v>913</v>
      </c>
      <c r="L51" s="6"/>
      <c r="M51" s="6"/>
      <c r="N51" s="6"/>
      <c r="O51" s="1"/>
      <c r="P51" s="1"/>
      <c r="Q51" s="1"/>
      <c r="R51" s="11"/>
      <c r="S51" s="11"/>
      <c r="T51" s="11"/>
    </row>
    <row r="52" spans="1:20" s="12" customFormat="1" ht="47">
      <c r="A52" s="6" t="str">
        <f>IFERROR(VLOOKUP(D52,'Master sheet (Clientes)'!A$6:D$747,2,0)," ")</f>
        <v>NJ</v>
      </c>
      <c r="B52" s="6" t="str">
        <f>IFERROR(VLOOKUP(D52,'Master sheet (Clientes)'!A$6:D$747,3,0)," ")</f>
        <v>Skylight</v>
      </c>
      <c r="C52" s="6" t="str">
        <f>IFERROR(VLOOKUP(D52,'Master sheet (Clientes)'!A$6:D$747,4,0)," ")</f>
        <v>N-O</v>
      </c>
      <c r="D52" s="6" t="s">
        <v>712</v>
      </c>
      <c r="E52" s="6" t="s">
        <v>1589</v>
      </c>
      <c r="F52" s="6" t="s">
        <v>45</v>
      </c>
      <c r="G52" s="6" t="s">
        <v>853</v>
      </c>
      <c r="H52" s="6" t="s">
        <v>1764</v>
      </c>
      <c r="I52" s="6" t="s">
        <v>1787</v>
      </c>
      <c r="J52" s="6" t="s">
        <v>48</v>
      </c>
      <c r="K52" s="6"/>
      <c r="L52" s="6"/>
      <c r="M52" s="6"/>
      <c r="N52" s="6"/>
      <c r="O52" s="1"/>
      <c r="P52" s="1"/>
      <c r="Q52" s="1"/>
      <c r="R52" s="11"/>
      <c r="S52" s="11"/>
      <c r="T52" s="11"/>
    </row>
    <row r="53" spans="1:20" s="52" customFormat="1" ht="47">
      <c r="A53" s="6" t="str">
        <f>IFERROR(VLOOKUP(D53,'Master sheet (Clientes)'!A$6:D$747,2,0)," ")</f>
        <v>NJ</v>
      </c>
      <c r="B53" s="6" t="str">
        <f>IFERROR(VLOOKUP(D53,'Master sheet (Clientes)'!A$6:D$747,3,0)," ")</f>
        <v>Skylight</v>
      </c>
      <c r="C53" s="6" t="str">
        <f>IFERROR(VLOOKUP(D53,'Master sheet (Clientes)'!A$6:D$747,4,0)," ")</f>
        <v>N-O</v>
      </c>
      <c r="D53" s="6" t="s">
        <v>722</v>
      </c>
      <c r="E53" s="6">
        <v>4</v>
      </c>
      <c r="F53" s="6" t="s">
        <v>854</v>
      </c>
      <c r="G53" s="6" t="s">
        <v>853</v>
      </c>
      <c r="H53" s="6" t="s">
        <v>1764</v>
      </c>
      <c r="I53" s="6" t="s">
        <v>1523</v>
      </c>
      <c r="J53" s="6" t="s">
        <v>48</v>
      </c>
      <c r="K53" s="6"/>
      <c r="L53" s="6"/>
      <c r="M53" s="6"/>
      <c r="N53" s="6"/>
      <c r="O53" s="13"/>
      <c r="P53" s="13"/>
      <c r="Q53" s="13"/>
      <c r="R53" s="51"/>
      <c r="S53" s="51"/>
      <c r="T53" s="51"/>
    </row>
    <row r="54" spans="1:20" ht="70.5">
      <c r="A54" s="6" t="str">
        <f>IFERROR(VLOOKUP(D54,'Master sheet (Clientes)'!A$6:D$747,2,0)," ")</f>
        <v>NJ</v>
      </c>
      <c r="B54" s="6" t="str">
        <f>IFERROR(VLOOKUP(D54,'Master sheet (Clientes)'!A$6:D$747,3,0)," ")</f>
        <v>Greystar</v>
      </c>
      <c r="C54" s="6" t="str">
        <f>IFERROR(VLOOKUP(D54,'Master sheet (Clientes)'!A$6:D$747,4,0)," ")</f>
        <v>A-V</v>
      </c>
      <c r="D54" s="6" t="s">
        <v>321</v>
      </c>
      <c r="E54" s="6">
        <v>224</v>
      </c>
      <c r="F54" s="6" t="s">
        <v>854</v>
      </c>
      <c r="G54" s="6" t="s">
        <v>46</v>
      </c>
      <c r="H54" s="6" t="s">
        <v>1729</v>
      </c>
      <c r="I54" s="6" t="s">
        <v>1519</v>
      </c>
      <c r="J54" s="6" t="s">
        <v>855</v>
      </c>
      <c r="K54" s="6"/>
      <c r="L54" s="6"/>
      <c r="M54" s="6"/>
      <c r="N54" s="6"/>
    </row>
    <row r="55" spans="1:20" ht="70.5">
      <c r="A55" s="6" t="str">
        <f>IFERROR(VLOOKUP(D55,'Master sheet (Clientes)'!A$6:D$747,2,0)," ")</f>
        <v>NJ</v>
      </c>
      <c r="B55" s="6" t="str">
        <f>IFERROR(VLOOKUP(D55,'Master sheet (Clientes)'!A$6:D$747,3,0)," ")</f>
        <v>Windsor Communities</v>
      </c>
      <c r="C55" s="6" t="str">
        <f>IFERROR(VLOOKUP(D55,'Master sheet (Clientes)'!A$6:D$747,4,0)," ")</f>
        <v>A-V</v>
      </c>
      <c r="D55" s="6" t="s">
        <v>789</v>
      </c>
      <c r="E55" s="6">
        <v>1436</v>
      </c>
      <c r="F55" s="6" t="s">
        <v>946</v>
      </c>
      <c r="G55" s="6" t="s">
        <v>46</v>
      </c>
      <c r="H55" s="6" t="s">
        <v>1485</v>
      </c>
      <c r="I55" s="6" t="s">
        <v>1853</v>
      </c>
      <c r="J55" s="6" t="s">
        <v>48</v>
      </c>
      <c r="K55" s="6"/>
      <c r="L55" s="6"/>
      <c r="M55" s="6"/>
      <c r="N55" s="6"/>
    </row>
    <row r="56" spans="1:20" ht="47">
      <c r="A56" s="6" t="str">
        <f>IFERROR(VLOOKUP(D56,'Master sheet (Clientes)'!A$6:D$747,2,0)," ")</f>
        <v>NJ</v>
      </c>
      <c r="B56" s="6" t="str">
        <f>IFERROR(VLOOKUP(D56,'Master sheet (Clientes)'!A$6:D$747,3,0)," ")</f>
        <v>Greystar</v>
      </c>
      <c r="C56" s="6" t="str">
        <f>IFERROR(VLOOKUP(D56,'Master sheet (Clientes)'!A$6:D$747,4,0)," ")</f>
        <v>A-V</v>
      </c>
      <c r="D56" s="6" t="s">
        <v>331</v>
      </c>
      <c r="E56" s="6">
        <v>306</v>
      </c>
      <c r="F56" s="6" t="s">
        <v>946</v>
      </c>
      <c r="G56" s="6" t="s">
        <v>46</v>
      </c>
      <c r="H56" s="6" t="s">
        <v>1730</v>
      </c>
      <c r="I56" s="6" t="s">
        <v>1789</v>
      </c>
      <c r="J56" s="6" t="s">
        <v>48</v>
      </c>
      <c r="K56" s="6"/>
      <c r="L56" s="6"/>
      <c r="M56" s="6"/>
      <c r="N56" s="6"/>
    </row>
    <row r="57" spans="1:20" ht="47">
      <c r="A57" s="6" t="str">
        <f>IFERROR(VLOOKUP(D57,'Master sheet (Clientes)'!A$6:D$747,2,0)," ")</f>
        <v>NJ</v>
      </c>
      <c r="B57" s="6" t="str">
        <f>IFERROR(VLOOKUP(D57,'Master sheet (Clientes)'!A$6:D$747,3,0)," ")</f>
        <v>Greystar</v>
      </c>
      <c r="C57" s="6" t="str">
        <f>IFERROR(VLOOKUP(D57,'Master sheet (Clientes)'!A$6:D$747,4,0)," ")</f>
        <v>A-V</v>
      </c>
      <c r="D57" s="6" t="s">
        <v>331</v>
      </c>
      <c r="E57" s="6">
        <v>727</v>
      </c>
      <c r="F57" s="6" t="s">
        <v>854</v>
      </c>
      <c r="G57" s="6" t="s">
        <v>46</v>
      </c>
      <c r="H57" s="6" t="s">
        <v>1730</v>
      </c>
      <c r="I57" s="6" t="s">
        <v>1793</v>
      </c>
      <c r="J57" s="6" t="s">
        <v>48</v>
      </c>
      <c r="K57" s="6"/>
      <c r="L57" s="6"/>
      <c r="M57" s="6"/>
      <c r="N57" s="6"/>
    </row>
    <row r="58" spans="1:20" ht="47">
      <c r="A58" s="6" t="str">
        <f>IFERROR(VLOOKUP(D58,'Master sheet (Clientes)'!A$6:D$747,2,0)," ")</f>
        <v>NJ</v>
      </c>
      <c r="B58" s="6" t="str">
        <f>IFERROR(VLOOKUP(D58,'Master sheet (Clientes)'!A$6:D$747,3,0)," ")</f>
        <v>Greystar</v>
      </c>
      <c r="C58" s="6" t="str">
        <f>IFERROR(VLOOKUP(D58,'Master sheet (Clientes)'!A$6:D$747,4,0)," ")</f>
        <v>A-V</v>
      </c>
      <c r="D58" s="6" t="s">
        <v>309</v>
      </c>
      <c r="E58" s="6">
        <v>704</v>
      </c>
      <c r="F58" s="6" t="s">
        <v>45</v>
      </c>
      <c r="G58" s="6" t="s">
        <v>46</v>
      </c>
      <c r="H58" s="6" t="s">
        <v>1730</v>
      </c>
      <c r="I58" s="6" t="s">
        <v>1794</v>
      </c>
      <c r="J58" s="6" t="s">
        <v>48</v>
      </c>
      <c r="K58" s="6"/>
      <c r="L58" s="6"/>
      <c r="M58" s="6"/>
      <c r="N58" s="6"/>
    </row>
    <row r="59" spans="1:20">
      <c r="A59" s="1"/>
      <c r="B59" s="1"/>
      <c r="C59" s="1"/>
      <c r="D59" s="1"/>
      <c r="E59" s="1"/>
      <c r="F59" s="1"/>
      <c r="G59" s="1"/>
      <c r="H59" s="1"/>
      <c r="I59" s="1"/>
      <c r="J59" s="1"/>
      <c r="K59" s="1"/>
      <c r="L59" s="1"/>
      <c r="M59" s="1"/>
      <c r="N59" s="1"/>
    </row>
    <row r="60" spans="1:20" s="1" customFormat="1" ht="47">
      <c r="A60" s="4" t="s">
        <v>8</v>
      </c>
      <c r="B60" s="4" t="s">
        <v>9</v>
      </c>
      <c r="C60" s="4" t="s">
        <v>10</v>
      </c>
      <c r="D60" s="4" t="s">
        <v>11</v>
      </c>
      <c r="E60" s="4" t="s">
        <v>12</v>
      </c>
      <c r="F60" s="4" t="s">
        <v>13</v>
      </c>
      <c r="G60" s="38" t="s">
        <v>14</v>
      </c>
      <c r="H60" s="4" t="s">
        <v>15</v>
      </c>
      <c r="I60" s="38" t="s">
        <v>16</v>
      </c>
      <c r="J60" s="38" t="s">
        <v>17</v>
      </c>
      <c r="K60" s="38" t="s">
        <v>18</v>
      </c>
      <c r="L60" s="38" t="s">
        <v>19</v>
      </c>
      <c r="M60" s="38" t="s">
        <v>20</v>
      </c>
      <c r="N60" s="38" t="s">
        <v>21</v>
      </c>
    </row>
    <row r="61" spans="1:20" ht="70.5">
      <c r="A61" s="6" t="str">
        <f>IFERROR(VLOOKUP(D61,'Master sheet (Clientes)'!A$6:D$747,2,0)," ")</f>
        <v>NJ</v>
      </c>
      <c r="B61" s="6" t="str">
        <f>IFERROR(VLOOKUP(D61,'Master sheet (Clientes)'!A$6:D$747,3,0)," ")</f>
        <v>Vivmark Residential</v>
      </c>
      <c r="C61" s="6" t="str">
        <f>IFERROR(VLOOKUP(D61,'Master sheet (Clientes)'!A$6:D$747,4,0)," ")</f>
        <v>A-V</v>
      </c>
      <c r="D61" s="6" t="s">
        <v>290</v>
      </c>
      <c r="E61" s="6" t="s">
        <v>1431</v>
      </c>
      <c r="F61" s="6" t="s">
        <v>45</v>
      </c>
      <c r="G61" s="6" t="s">
        <v>853</v>
      </c>
      <c r="H61" s="6" t="s">
        <v>857</v>
      </c>
      <c r="I61" s="6" t="s">
        <v>901</v>
      </c>
      <c r="J61" s="6" t="s">
        <v>863</v>
      </c>
      <c r="K61" s="6"/>
      <c r="L61" s="6"/>
      <c r="M61" s="6"/>
      <c r="N61" s="6"/>
    </row>
    <row r="62" spans="1:20" ht="70.5">
      <c r="A62" s="6" t="str">
        <f>IFERROR(VLOOKUP(D62,'Master sheet (Clientes)'!A$6:D$747,2,0)," ")</f>
        <v>NJ</v>
      </c>
      <c r="B62" s="6" t="str">
        <f>IFERROR(VLOOKUP(D62,'Master sheet (Clientes)'!A$6:D$747,3,0)," ")</f>
        <v>Vivmark Residential</v>
      </c>
      <c r="C62" s="6" t="str">
        <f>IFERROR(VLOOKUP(D62,'Master sheet (Clientes)'!A$6:D$747,4,0)," ")</f>
        <v>A-V</v>
      </c>
      <c r="D62" s="6" t="s">
        <v>286</v>
      </c>
      <c r="E62" s="6">
        <v>1410</v>
      </c>
      <c r="F62" s="6" t="s">
        <v>45</v>
      </c>
      <c r="G62" s="6" t="s">
        <v>46</v>
      </c>
      <c r="H62" s="6" t="s">
        <v>47</v>
      </c>
      <c r="I62" s="6" t="s">
        <v>901</v>
      </c>
      <c r="J62" s="6" t="s">
        <v>1440</v>
      </c>
      <c r="K62" s="6"/>
      <c r="L62" s="6"/>
      <c r="M62" s="6"/>
      <c r="N62" s="6"/>
    </row>
    <row r="63" spans="1:20">
      <c r="A63" s="1"/>
      <c r="B63" s="1"/>
      <c r="C63" s="1"/>
      <c r="D63" s="1"/>
      <c r="E63" s="1"/>
      <c r="F63" s="1"/>
      <c r="G63" s="1"/>
      <c r="H63" s="1"/>
      <c r="I63" s="1"/>
      <c r="J63" s="1"/>
      <c r="K63" s="1"/>
      <c r="L63" s="1"/>
      <c r="M63" s="1"/>
      <c r="N63" s="1"/>
    </row>
    <row r="64" spans="1:20" s="1" customFormat="1" ht="47">
      <c r="A64" s="4" t="s">
        <v>8</v>
      </c>
      <c r="B64" s="4" t="s">
        <v>9</v>
      </c>
      <c r="C64" s="4" t="s">
        <v>10</v>
      </c>
      <c r="D64" s="4" t="s">
        <v>11</v>
      </c>
      <c r="E64" s="4" t="s">
        <v>12</v>
      </c>
      <c r="F64" s="4" t="s">
        <v>13</v>
      </c>
      <c r="G64" s="38" t="s">
        <v>14</v>
      </c>
      <c r="H64" s="4" t="s">
        <v>15</v>
      </c>
      <c r="I64" s="38" t="s">
        <v>16</v>
      </c>
      <c r="J64" s="38" t="s">
        <v>17</v>
      </c>
      <c r="K64" s="38" t="s">
        <v>18</v>
      </c>
      <c r="L64" s="38" t="s">
        <v>19</v>
      </c>
      <c r="M64" s="38" t="s">
        <v>20</v>
      </c>
      <c r="N64" s="38" t="s">
        <v>21</v>
      </c>
    </row>
    <row r="65" spans="1:17" ht="47">
      <c r="A65" s="6" t="str">
        <f>IFERROR(VLOOKUP(D65,'Master sheet (Clientes)'!A$6:D$747,2,0)," ")</f>
        <v>NJ</v>
      </c>
      <c r="B65" s="6" t="str">
        <f>IFERROR(VLOOKUP(D65,'Master sheet (Clientes)'!A$6:D$747,3,0)," ")</f>
        <v>Two Coast Living</v>
      </c>
      <c r="C65" s="6" t="str">
        <f>IFERROR(VLOOKUP(D65,'Master sheet (Clientes)'!A$6:D$747,4,0)," ")</f>
        <v>N-O</v>
      </c>
      <c r="D65" s="6" t="s">
        <v>761</v>
      </c>
      <c r="E65" s="6">
        <v>1510</v>
      </c>
      <c r="F65" s="6" t="s">
        <v>854</v>
      </c>
      <c r="G65" s="6" t="s">
        <v>853</v>
      </c>
      <c r="H65" s="6" t="s">
        <v>1418</v>
      </c>
      <c r="I65" s="6" t="s">
        <v>896</v>
      </c>
      <c r="J65" s="6" t="s">
        <v>1762</v>
      </c>
      <c r="K65" s="6"/>
      <c r="L65" s="6"/>
      <c r="M65" s="6"/>
      <c r="N65" s="6"/>
    </row>
    <row r="66" spans="1:17" ht="47">
      <c r="A66" s="6" t="str">
        <f>IFERROR(VLOOKUP(D66,'Master sheet (Clientes)'!A$6:D$747,2,0)," ")</f>
        <v>NJ</v>
      </c>
      <c r="B66" s="6" t="str">
        <f>IFERROR(VLOOKUP(D66,'Master sheet (Clientes)'!A$6:D$747,3,0)," ")</f>
        <v>Two Coast Living</v>
      </c>
      <c r="C66" s="6" t="str">
        <f>IFERROR(VLOOKUP(D66,'Master sheet (Clientes)'!A$6:D$747,4,0)," ")</f>
        <v>N-O</v>
      </c>
      <c r="D66" s="6" t="s">
        <v>761</v>
      </c>
      <c r="E66" s="6">
        <v>702</v>
      </c>
      <c r="F66" s="6" t="s">
        <v>854</v>
      </c>
      <c r="G66" s="6" t="s">
        <v>853</v>
      </c>
      <c r="H66" s="6" t="s">
        <v>1418</v>
      </c>
      <c r="I66" s="6" t="s">
        <v>896</v>
      </c>
      <c r="J66" s="6" t="s">
        <v>1763</v>
      </c>
      <c r="K66" s="6"/>
      <c r="L66" s="6"/>
      <c r="M66" s="6"/>
      <c r="N66" s="6"/>
    </row>
    <row r="67" spans="1:17">
      <c r="A67" s="1"/>
      <c r="B67" s="1"/>
      <c r="C67" s="1"/>
      <c r="D67" s="1"/>
      <c r="E67" s="1"/>
      <c r="F67" s="1"/>
      <c r="G67" s="1"/>
      <c r="H67" s="1"/>
      <c r="I67" s="1"/>
      <c r="J67" s="1"/>
      <c r="K67" s="1"/>
      <c r="L67" s="1"/>
      <c r="M67" s="1"/>
      <c r="N67" s="1"/>
    </row>
    <row r="68" spans="1:17" s="1" customFormat="1" ht="47">
      <c r="A68" s="4" t="s">
        <v>8</v>
      </c>
      <c r="B68" s="4" t="s">
        <v>9</v>
      </c>
      <c r="C68" s="4" t="s">
        <v>10</v>
      </c>
      <c r="D68" s="4" t="s">
        <v>11</v>
      </c>
      <c r="E68" s="4" t="s">
        <v>12</v>
      </c>
      <c r="F68" s="4" t="s">
        <v>13</v>
      </c>
      <c r="G68" s="38" t="s">
        <v>14</v>
      </c>
      <c r="H68" s="4" t="s">
        <v>15</v>
      </c>
      <c r="I68" s="38" t="s">
        <v>16</v>
      </c>
      <c r="J68" s="38" t="s">
        <v>17</v>
      </c>
      <c r="K68" s="38" t="s">
        <v>18</v>
      </c>
      <c r="L68" s="38" t="s">
        <v>19</v>
      </c>
      <c r="M68" s="38" t="s">
        <v>20</v>
      </c>
      <c r="N68" s="38" t="s">
        <v>21</v>
      </c>
    </row>
    <row r="69" spans="1:17" s="9" customFormat="1" ht="75.5">
      <c r="A69" s="6" t="str">
        <f>IFERROR(VLOOKUP(D69,'Master sheet (Clientes)'!A$6:D$747,2,0)," ")</f>
        <v>NJ</v>
      </c>
      <c r="B69" s="6" t="str">
        <f>IFERROR(VLOOKUP(D69,'Master sheet (Clientes)'!A$6:D$747,3,0)," ")</f>
        <v>Vivmark Residential</v>
      </c>
      <c r="C69" s="6" t="str">
        <f>IFERROR(VLOOKUP(D69,'Master sheet (Clientes)'!A$6:D$747,4,0)," ")</f>
        <v>A-V</v>
      </c>
      <c r="D69" s="6" t="s">
        <v>292</v>
      </c>
      <c r="E69" s="6">
        <v>754</v>
      </c>
      <c r="F69" s="6"/>
      <c r="G69" s="6" t="s">
        <v>917</v>
      </c>
      <c r="H69" s="6" t="s">
        <v>1812</v>
      </c>
      <c r="I69" s="6" t="s">
        <v>883</v>
      </c>
      <c r="J69" s="6" t="s">
        <v>1593</v>
      </c>
      <c r="K69" s="6"/>
      <c r="L69" s="6"/>
      <c r="M69" s="6"/>
      <c r="N69" s="6"/>
      <c r="O69" s="13"/>
      <c r="P69" s="13"/>
      <c r="Q69" s="13"/>
    </row>
    <row r="70" spans="1:17">
      <c r="A70" s="6" t="str">
        <f>IFERROR(VLOOKUP(D70,'Master sheet (Clientes)'!A$6:D$747,2,0)," ")</f>
        <v xml:space="preserve"> </v>
      </c>
      <c r="B70" s="6" t="str">
        <f>IFERROR(VLOOKUP(D70,'Master sheet (Clientes)'!A$6:D$747,3,0)," ")</f>
        <v xml:space="preserve"> </v>
      </c>
      <c r="C70" s="6" t="str">
        <f>IFERROR(VLOOKUP(D70,'Master sheet (Clientes)'!A$6:D$747,4,0)," ")</f>
        <v xml:space="preserve"> </v>
      </c>
      <c r="D70" s="6"/>
      <c r="E70" s="6"/>
      <c r="F70" s="6"/>
      <c r="G70" s="6"/>
      <c r="H70" s="6"/>
      <c r="I70" s="6"/>
      <c r="J70" s="6"/>
      <c r="K70" s="6"/>
      <c r="L70" s="6"/>
      <c r="M70" s="6"/>
      <c r="N70" s="6"/>
    </row>
    <row r="71" spans="1:17">
      <c r="A71" s="6" t="str">
        <f>IFERROR(VLOOKUP(D71,'Master sheet (Clientes)'!A$6:D$747,2,0)," ")</f>
        <v xml:space="preserve"> </v>
      </c>
      <c r="B71" s="6" t="str">
        <f>IFERROR(VLOOKUP(D71,'Master sheet (Clientes)'!A$6:D$747,3,0)," ")</f>
        <v xml:space="preserve"> </v>
      </c>
      <c r="C71" s="6" t="str">
        <f>IFERROR(VLOOKUP(D71,'Master sheet (Clientes)'!A$6:D$747,4,0)," ")</f>
        <v xml:space="preserve"> </v>
      </c>
      <c r="D71" s="6"/>
      <c r="E71" s="6"/>
      <c r="F71" s="6"/>
      <c r="G71" s="6"/>
      <c r="H71" s="6"/>
      <c r="I71" s="6"/>
      <c r="J71" s="6"/>
      <c r="K71" s="6"/>
      <c r="L71" s="6"/>
      <c r="M71" s="6"/>
      <c r="N71" s="6"/>
    </row>
    <row r="72" spans="1:17">
      <c r="A72" s="6" t="str">
        <f>IFERROR(VLOOKUP(D72,'Master sheet (Clientes)'!A$6:D$747,2,0)," ")</f>
        <v xml:space="preserve"> </v>
      </c>
      <c r="B72" s="6" t="str">
        <f>IFERROR(VLOOKUP(D72,'Master sheet (Clientes)'!A$6:D$747,3,0)," ")</f>
        <v xml:space="preserve"> </v>
      </c>
      <c r="C72" s="6" t="str">
        <f>IFERROR(VLOOKUP(D72,'Master sheet (Clientes)'!A$6:D$747,4,0)," ")</f>
        <v xml:space="preserve"> </v>
      </c>
      <c r="D72" s="6"/>
      <c r="E72" s="6"/>
      <c r="F72" s="6"/>
      <c r="G72" s="6"/>
      <c r="H72" s="6"/>
      <c r="I72" s="6"/>
      <c r="J72" s="6"/>
      <c r="K72" s="6"/>
      <c r="L72" s="6"/>
      <c r="M72" s="6"/>
      <c r="N72" s="6"/>
    </row>
    <row r="73" spans="1:17">
      <c r="A73" s="1"/>
      <c r="B73" s="1"/>
      <c r="C73" s="1"/>
      <c r="D73" s="1"/>
      <c r="E73" s="1"/>
      <c r="F73" s="1"/>
      <c r="G73" s="1"/>
      <c r="H73" s="1"/>
      <c r="I73" s="1"/>
      <c r="J73" s="1"/>
      <c r="K73" s="1"/>
      <c r="L73" s="1"/>
      <c r="M73" s="1"/>
      <c r="N73" s="1"/>
    </row>
    <row r="74" spans="1:17" ht="47">
      <c r="A74" s="4" t="s">
        <v>8</v>
      </c>
      <c r="B74" s="4" t="s">
        <v>9</v>
      </c>
      <c r="C74" s="4" t="s">
        <v>10</v>
      </c>
      <c r="D74" s="4" t="s">
        <v>11</v>
      </c>
      <c r="E74" s="4" t="s">
        <v>12</v>
      </c>
      <c r="F74" s="4" t="s">
        <v>13</v>
      </c>
      <c r="G74" s="38" t="s">
        <v>14</v>
      </c>
      <c r="H74" s="4" t="s">
        <v>22</v>
      </c>
      <c r="I74" s="38" t="s">
        <v>23</v>
      </c>
      <c r="J74" s="38" t="s">
        <v>17</v>
      </c>
      <c r="K74" s="38" t="s">
        <v>18</v>
      </c>
      <c r="L74" s="38" t="s">
        <v>19</v>
      </c>
      <c r="M74" s="38" t="s">
        <v>20</v>
      </c>
      <c r="N74" s="38" t="s">
        <v>21</v>
      </c>
    </row>
    <row r="75" spans="1:17">
      <c r="A75" s="21" t="str">
        <f>IFERROR(VLOOKUP(D75,'Master sheet (Clientes)'!A$6:D$747,2,0)," ")</f>
        <v xml:space="preserve"> </v>
      </c>
      <c r="B75" s="21" t="str">
        <f>IFERROR(VLOOKUP(D75,'Master sheet (Clientes)'!A$6:D$747,3,0)," ")</f>
        <v xml:space="preserve"> </v>
      </c>
      <c r="C75" s="21" t="str">
        <f>IFERROR(VLOOKUP(D75,'Master sheet (Clientes)'!A$6:D$747,4,0)," ")</f>
        <v xml:space="preserve"> </v>
      </c>
      <c r="D75" s="21"/>
      <c r="E75" s="53"/>
      <c r="F75" s="21"/>
      <c r="G75" s="53"/>
      <c r="H75" s="21"/>
      <c r="I75" s="53"/>
      <c r="J75" s="21"/>
      <c r="K75" s="21"/>
      <c r="L75" s="21"/>
      <c r="M75" s="21"/>
      <c r="N75" s="21"/>
    </row>
    <row r="76" spans="1:17">
      <c r="A76" s="13"/>
      <c r="B76" s="13"/>
      <c r="C76" s="13"/>
      <c r="D76" s="13"/>
      <c r="E76" s="13"/>
      <c r="F76" s="13"/>
      <c r="G76" s="13"/>
      <c r="H76" s="13"/>
      <c r="I76" s="13"/>
      <c r="J76" s="13"/>
      <c r="K76" s="1"/>
      <c r="L76" s="1"/>
      <c r="M76" s="1"/>
      <c r="N76" s="1"/>
    </row>
    <row r="77" spans="1:17" ht="26">
      <c r="A77" s="33"/>
      <c r="B77" s="33"/>
      <c r="C77" s="33"/>
      <c r="D77" s="127" t="s">
        <v>26</v>
      </c>
      <c r="E77" s="127"/>
      <c r="F77" s="127"/>
      <c r="G77" s="127"/>
      <c r="H77" s="127"/>
      <c r="I77" s="127"/>
      <c r="J77" s="127"/>
      <c r="K77" s="127"/>
      <c r="L77" s="127"/>
      <c r="M77" s="16"/>
      <c r="N77" s="16"/>
    </row>
    <row r="78" spans="1:17" s="5" customFormat="1" ht="26">
      <c r="A78" s="43"/>
      <c r="B78" s="43"/>
      <c r="C78" s="43"/>
      <c r="D78" s="128" t="s">
        <v>27</v>
      </c>
      <c r="E78" s="128"/>
      <c r="F78" s="128"/>
      <c r="G78" s="128"/>
      <c r="H78" s="128"/>
      <c r="I78" s="128"/>
      <c r="J78" s="128"/>
      <c r="K78" s="128"/>
      <c r="L78" s="128"/>
      <c r="M78" s="44"/>
      <c r="N78" s="44"/>
      <c r="O78" s="35"/>
      <c r="P78" s="35"/>
      <c r="Q78" s="35"/>
    </row>
    <row r="79" spans="1:17" s="1" customFormat="1">
      <c r="A79" s="3"/>
      <c r="B79" s="3"/>
      <c r="C79" s="3"/>
      <c r="D79" s="3"/>
      <c r="E79" s="3"/>
      <c r="F79" s="3"/>
      <c r="G79" s="3"/>
      <c r="H79" s="3"/>
      <c r="I79" s="3"/>
      <c r="J79" s="3"/>
    </row>
    <row r="80" spans="1:17" s="1" customFormat="1" ht="47">
      <c r="A80" s="4" t="s">
        <v>8</v>
      </c>
      <c r="B80" s="4" t="s">
        <v>9</v>
      </c>
      <c r="C80" s="4" t="s">
        <v>10</v>
      </c>
      <c r="D80" s="4" t="s">
        <v>11</v>
      </c>
      <c r="E80" s="4" t="s">
        <v>12</v>
      </c>
      <c r="F80" s="4" t="s">
        <v>13</v>
      </c>
      <c r="G80" s="38" t="s">
        <v>14</v>
      </c>
      <c r="H80" s="4" t="s">
        <v>15</v>
      </c>
      <c r="I80" s="38" t="s">
        <v>16</v>
      </c>
      <c r="J80" s="38" t="s">
        <v>17</v>
      </c>
      <c r="K80" s="38" t="s">
        <v>18</v>
      </c>
      <c r="L80" s="38" t="s">
        <v>19</v>
      </c>
      <c r="M80" s="38" t="s">
        <v>20</v>
      </c>
      <c r="N80" s="38" t="s">
        <v>21</v>
      </c>
    </row>
    <row r="81" spans="1:14">
      <c r="A81" s="6" t="str">
        <f>IFERROR(VLOOKUP(D81,'Master sheet (Clientes)'!A$6:D$747,2,0)," ")</f>
        <v xml:space="preserve"> </v>
      </c>
      <c r="B81" s="6" t="str">
        <f>IFERROR(VLOOKUP(D81,'Master sheet (Clientes)'!A$6:D$747,3,0)," ")</f>
        <v xml:space="preserve"> </v>
      </c>
      <c r="C81" s="6" t="str">
        <f>IFERROR(VLOOKUP(D81,'Master sheet (Clientes)'!A$6:D$747,4,0)," ")</f>
        <v xml:space="preserve"> </v>
      </c>
      <c r="D81" s="6"/>
      <c r="E81" s="6"/>
      <c r="F81" s="6"/>
      <c r="G81" s="6"/>
      <c r="H81" s="6"/>
      <c r="I81" s="6"/>
      <c r="J81" s="6"/>
      <c r="K81" s="6"/>
      <c r="L81" s="6"/>
      <c r="M81" s="6"/>
      <c r="N81" s="6"/>
    </row>
    <row r="82" spans="1:14">
      <c r="A82" s="6" t="str">
        <f>IFERROR(VLOOKUP(D82,'Master sheet (Clientes)'!A$6:D$747,2,0)," ")</f>
        <v xml:space="preserve"> </v>
      </c>
      <c r="B82" s="6" t="str">
        <f>IFERROR(VLOOKUP(D82,'Master sheet (Clientes)'!A$6:D$747,3,0)," ")</f>
        <v xml:space="preserve"> </v>
      </c>
      <c r="C82" s="6" t="str">
        <f>IFERROR(VLOOKUP(D82,'Master sheet (Clientes)'!A$6:D$747,4,0)," ")</f>
        <v xml:space="preserve"> </v>
      </c>
      <c r="D82" s="6"/>
      <c r="E82" s="6"/>
      <c r="F82" s="6"/>
      <c r="G82" s="6"/>
      <c r="H82" s="6"/>
      <c r="I82" s="6"/>
      <c r="J82" s="6"/>
      <c r="K82" s="6"/>
      <c r="L82" s="6"/>
      <c r="M82" s="6"/>
      <c r="N82" s="6"/>
    </row>
    <row r="83" spans="1:14">
      <c r="A83" s="6" t="str">
        <f>IFERROR(VLOOKUP(D83,'Master sheet (Clientes)'!A$6:D$747,2,0)," ")</f>
        <v xml:space="preserve"> </v>
      </c>
      <c r="B83" s="6" t="str">
        <f>IFERROR(VLOOKUP(D83,'Master sheet (Clientes)'!A$6:D$747,3,0)," ")</f>
        <v xml:space="preserve"> </v>
      </c>
      <c r="C83" s="6" t="str">
        <f>IFERROR(VLOOKUP(D83,'Master sheet (Clientes)'!A$6:D$747,4,0)," ")</f>
        <v xml:space="preserve"> </v>
      </c>
      <c r="D83" s="6"/>
      <c r="E83" s="6"/>
      <c r="F83" s="6"/>
      <c r="G83" s="6"/>
      <c r="H83" s="6"/>
      <c r="I83" s="6"/>
      <c r="J83" s="6"/>
      <c r="K83" s="6"/>
      <c r="L83" s="6"/>
      <c r="M83" s="6"/>
      <c r="N83" s="6"/>
    </row>
    <row r="84" spans="1:14">
      <c r="A84" s="1"/>
      <c r="B84" s="1"/>
      <c r="C84" s="1"/>
      <c r="D84" s="1"/>
      <c r="E84" s="1"/>
      <c r="F84" s="1"/>
      <c r="G84" s="1"/>
      <c r="H84" s="1"/>
      <c r="I84" s="1"/>
      <c r="J84" s="1"/>
      <c r="K84" s="1"/>
      <c r="L84" s="1"/>
      <c r="M84" s="1"/>
      <c r="N84" s="1"/>
    </row>
    <row r="85" spans="1:14" s="1" customFormat="1" ht="47">
      <c r="A85" s="4" t="s">
        <v>8</v>
      </c>
      <c r="B85" s="4" t="s">
        <v>9</v>
      </c>
      <c r="C85" s="4" t="s">
        <v>10</v>
      </c>
      <c r="D85" s="4" t="s">
        <v>11</v>
      </c>
      <c r="E85" s="4" t="s">
        <v>12</v>
      </c>
      <c r="F85" s="4" t="s">
        <v>13</v>
      </c>
      <c r="G85" s="38" t="s">
        <v>14</v>
      </c>
      <c r="H85" s="4" t="s">
        <v>15</v>
      </c>
      <c r="I85" s="38" t="s">
        <v>16</v>
      </c>
      <c r="J85" s="38" t="s">
        <v>17</v>
      </c>
      <c r="K85" s="38" t="s">
        <v>18</v>
      </c>
      <c r="L85" s="38" t="s">
        <v>19</v>
      </c>
      <c r="M85" s="38" t="s">
        <v>20</v>
      </c>
      <c r="N85" s="38" t="s">
        <v>21</v>
      </c>
    </row>
    <row r="86" spans="1:14" ht="70.5">
      <c r="A86" s="6" t="str">
        <f>IFERROR(VLOOKUP(D86,'Master sheet (Clientes)'!A$6:D$747,2,0)," ")</f>
        <v>NJ</v>
      </c>
      <c r="B86" s="6" t="str">
        <f>IFERROR(VLOOKUP(D86,'Master sheet (Clientes)'!A$6:D$747,3,0)," ")</f>
        <v>C/O Realty</v>
      </c>
      <c r="C86" s="6" t="str">
        <f>IFERROR(VLOOKUP(D86,'Master sheet (Clientes)'!A$6:D$747,4,0)," ")</f>
        <v>N-O</v>
      </c>
      <c r="D86" s="6" t="s">
        <v>218</v>
      </c>
      <c r="E86" s="6">
        <v>2201</v>
      </c>
      <c r="F86" s="6" t="s">
        <v>1279</v>
      </c>
      <c r="G86" s="6" t="s">
        <v>853</v>
      </c>
      <c r="H86" s="78" t="s">
        <v>1665</v>
      </c>
      <c r="I86" s="6" t="s">
        <v>987</v>
      </c>
      <c r="J86" s="6" t="s">
        <v>869</v>
      </c>
      <c r="K86" s="6" t="s">
        <v>1664</v>
      </c>
      <c r="L86" s="6"/>
      <c r="M86" s="6"/>
      <c r="N86" s="6"/>
    </row>
    <row r="87" spans="1:14" ht="70.5">
      <c r="A87" s="6" t="str">
        <f>IFERROR(VLOOKUP(D87,'Master sheet (Clientes)'!A$6:D$747,2,0)," ")</f>
        <v>NJ</v>
      </c>
      <c r="B87" s="6" t="str">
        <f>IFERROR(VLOOKUP(D87,'Master sheet (Clientes)'!A$6:D$747,3,0)," ")</f>
        <v>C/O Realty</v>
      </c>
      <c r="C87" s="6" t="str">
        <f>IFERROR(VLOOKUP(D87,'Master sheet (Clientes)'!A$6:D$747,4,0)," ")</f>
        <v>N-O</v>
      </c>
      <c r="D87" s="6" t="s">
        <v>217</v>
      </c>
      <c r="E87" s="6">
        <v>2504</v>
      </c>
      <c r="F87" s="6" t="s">
        <v>854</v>
      </c>
      <c r="G87" s="6" t="s">
        <v>853</v>
      </c>
      <c r="H87" s="6" t="s">
        <v>1897</v>
      </c>
      <c r="I87" s="6" t="s">
        <v>987</v>
      </c>
      <c r="J87" s="6" t="s">
        <v>869</v>
      </c>
      <c r="K87" s="6" t="s">
        <v>1080</v>
      </c>
      <c r="L87" s="6"/>
      <c r="M87" s="6"/>
      <c r="N87" s="6"/>
    </row>
    <row r="88" spans="1:14">
      <c r="A88" s="6" t="str">
        <f>IFERROR(VLOOKUP(D88,'Master sheet (Clientes)'!A$6:D$747,2,0)," ")</f>
        <v xml:space="preserve"> </v>
      </c>
      <c r="B88" s="6" t="str">
        <f>IFERROR(VLOOKUP(D88,'Master sheet (Clientes)'!A$6:D$747,3,0)," ")</f>
        <v xml:space="preserve"> </v>
      </c>
      <c r="C88" s="6" t="str">
        <f>IFERROR(VLOOKUP(D88,'Master sheet (Clientes)'!A$6:D$747,4,0)," ")</f>
        <v xml:space="preserve"> </v>
      </c>
      <c r="D88" s="6"/>
      <c r="E88" s="6"/>
      <c r="F88" s="6"/>
      <c r="G88" s="6"/>
      <c r="H88" s="6"/>
      <c r="I88" s="6"/>
      <c r="J88" s="6"/>
      <c r="K88" s="6"/>
      <c r="L88" s="6"/>
      <c r="M88" s="6"/>
      <c r="N88" s="6"/>
    </row>
    <row r="89" spans="1:14">
      <c r="A89" s="1"/>
      <c r="B89" s="1"/>
      <c r="C89" s="1"/>
      <c r="D89" s="1"/>
      <c r="E89" s="1"/>
      <c r="F89" s="1"/>
      <c r="G89" s="1"/>
      <c r="H89" s="1"/>
      <c r="I89" s="1"/>
      <c r="J89" s="1"/>
      <c r="K89" s="1"/>
      <c r="L89" s="1"/>
      <c r="M89" s="1"/>
      <c r="N89" s="1"/>
    </row>
    <row r="90" spans="1:14" s="1" customFormat="1" ht="47">
      <c r="A90" s="4" t="s">
        <v>8</v>
      </c>
      <c r="B90" s="4" t="s">
        <v>9</v>
      </c>
      <c r="C90" s="4" t="s">
        <v>10</v>
      </c>
      <c r="D90" s="4" t="s">
        <v>11</v>
      </c>
      <c r="E90" s="4" t="s">
        <v>12</v>
      </c>
      <c r="F90" s="4" t="s">
        <v>13</v>
      </c>
      <c r="G90" s="38" t="s">
        <v>14</v>
      </c>
      <c r="H90" s="4" t="s">
        <v>15</v>
      </c>
      <c r="I90" s="38" t="s">
        <v>16</v>
      </c>
      <c r="J90" s="38" t="s">
        <v>17</v>
      </c>
      <c r="K90" s="38" t="s">
        <v>18</v>
      </c>
      <c r="L90" s="38" t="s">
        <v>19</v>
      </c>
      <c r="M90" s="38" t="s">
        <v>20</v>
      </c>
      <c r="N90" s="38" t="s">
        <v>21</v>
      </c>
    </row>
    <row r="91" spans="1:14" ht="47">
      <c r="A91" s="6" t="str">
        <f>IFERROR(VLOOKUP(D91,'Master sheet (Clientes)'!A$6:D$747,2,0)," ")</f>
        <v>NJ</v>
      </c>
      <c r="B91" s="6" t="str">
        <f>IFERROR(VLOOKUP(D91,'Master sheet (Clientes)'!A$6:D$747,3,0)," ")</f>
        <v>C/O Realty</v>
      </c>
      <c r="C91" s="6" t="str">
        <f>IFERROR(VLOOKUP(D91,'Master sheet (Clientes)'!A$6:D$747,4,0)," ")</f>
        <v>N-O</v>
      </c>
      <c r="D91" s="6" t="s">
        <v>226</v>
      </c>
      <c r="E91" s="6" t="s">
        <v>1415</v>
      </c>
      <c r="F91" s="6"/>
      <c r="G91" s="6"/>
      <c r="H91" s="6" t="s">
        <v>1416</v>
      </c>
      <c r="I91" s="6" t="s">
        <v>901</v>
      </c>
      <c r="J91" s="6" t="s">
        <v>840</v>
      </c>
      <c r="K91" s="6"/>
      <c r="L91" s="6"/>
      <c r="M91" s="6"/>
      <c r="N91" s="6"/>
    </row>
    <row r="92" spans="1:14" ht="70.5">
      <c r="A92" s="6" t="str">
        <f>IFERROR(VLOOKUP(D92,'Master sheet (Clientes)'!A$6:D$747,2,0)," ")</f>
        <v>NJ</v>
      </c>
      <c r="B92" s="6" t="str">
        <f>IFERROR(VLOOKUP(D92,'Master sheet (Clientes)'!A$6:D$747,3,0)," ")</f>
        <v>C/O Realty</v>
      </c>
      <c r="C92" s="6" t="str">
        <f>IFERROR(VLOOKUP(D92,'Master sheet (Clientes)'!A$6:D$747,4,0)," ")</f>
        <v>N-O</v>
      </c>
      <c r="D92" s="6" t="s">
        <v>220</v>
      </c>
      <c r="E92" s="6" t="s">
        <v>1417</v>
      </c>
      <c r="F92" s="6"/>
      <c r="G92" s="6"/>
      <c r="H92" s="6" t="s">
        <v>1416</v>
      </c>
      <c r="I92" s="6" t="s">
        <v>901</v>
      </c>
      <c r="J92" s="6" t="s">
        <v>840</v>
      </c>
      <c r="K92" s="6"/>
      <c r="L92" s="6"/>
      <c r="M92" s="6"/>
      <c r="N92" s="6"/>
    </row>
    <row r="93" spans="1:14" ht="70.5">
      <c r="A93" s="6" t="str">
        <f>IFERROR(VLOOKUP(D93,'Master sheet (Clientes)'!A$6:D$747,2,0)," ")</f>
        <v>NJ</v>
      </c>
      <c r="B93" s="6" t="str">
        <f>IFERROR(VLOOKUP(D93,'Master sheet (Clientes)'!A$6:D$747,3,0)," ")</f>
        <v>C/O Realty</v>
      </c>
      <c r="C93" s="6" t="str">
        <f>IFERROR(VLOOKUP(D93,'Master sheet (Clientes)'!A$6:D$747,4,0)," ")</f>
        <v>N-O</v>
      </c>
      <c r="D93" s="6" t="s">
        <v>219</v>
      </c>
      <c r="E93" s="6">
        <v>711</v>
      </c>
      <c r="F93" s="6" t="s">
        <v>1279</v>
      </c>
      <c r="G93" s="6" t="s">
        <v>853</v>
      </c>
      <c r="H93" s="6" t="s">
        <v>1045</v>
      </c>
      <c r="I93" s="6" t="s">
        <v>901</v>
      </c>
      <c r="J93" s="6" t="s">
        <v>840</v>
      </c>
      <c r="K93" s="6"/>
      <c r="L93" s="6"/>
      <c r="M93" s="6"/>
      <c r="N93" s="6"/>
    </row>
    <row r="94" spans="1:14" ht="70.5">
      <c r="A94" s="6" t="str">
        <f>IFERROR(VLOOKUP(D94,'Master sheet (Clientes)'!A$6:D$747,2,0)," ")</f>
        <v>NJ</v>
      </c>
      <c r="B94" s="6" t="str">
        <f>IFERROR(VLOOKUP(D94,'Master sheet (Clientes)'!A$6:D$747,3,0)," ")</f>
        <v>C/O Realty</v>
      </c>
      <c r="C94" s="6" t="str">
        <f>IFERROR(VLOOKUP(D94,'Master sheet (Clientes)'!A$6:D$747,4,0)," ")</f>
        <v>N-O</v>
      </c>
      <c r="D94" s="6" t="s">
        <v>228</v>
      </c>
      <c r="E94" s="6">
        <v>2211</v>
      </c>
      <c r="F94" s="6" t="s">
        <v>854</v>
      </c>
      <c r="G94" s="6" t="s">
        <v>853</v>
      </c>
      <c r="H94" s="6" t="s">
        <v>1045</v>
      </c>
      <c r="I94" s="6" t="s">
        <v>901</v>
      </c>
      <c r="J94" s="6" t="s">
        <v>840</v>
      </c>
      <c r="K94" s="6"/>
      <c r="L94" s="6"/>
      <c r="M94" s="6"/>
      <c r="N94" s="6"/>
    </row>
    <row r="95" spans="1:14">
      <c r="A95" s="6" t="str">
        <f>IFERROR(VLOOKUP(D95,'Master sheet (Clientes)'!A$6:D$747,2,0)," ")</f>
        <v xml:space="preserve"> </v>
      </c>
      <c r="B95" s="6" t="str">
        <f>IFERROR(VLOOKUP(D95,'Master sheet (Clientes)'!A$6:D$747,3,0)," ")</f>
        <v xml:space="preserve"> </v>
      </c>
      <c r="C95" s="6" t="str">
        <f>IFERROR(VLOOKUP(D95,'Master sheet (Clientes)'!A$6:D$747,4,0)," ")</f>
        <v xml:space="preserve"> </v>
      </c>
      <c r="D95" s="6"/>
      <c r="E95" s="6"/>
      <c r="F95" s="6"/>
      <c r="G95" s="6"/>
      <c r="H95" s="6"/>
      <c r="I95" s="6"/>
      <c r="J95" s="6"/>
      <c r="K95" s="6"/>
      <c r="L95" s="6"/>
      <c r="M95" s="6"/>
      <c r="N95" s="6"/>
    </row>
    <row r="96" spans="1:14">
      <c r="A96" s="6" t="str">
        <f>IFERROR(VLOOKUP(D96,'Master sheet (Clientes)'!A$6:D$747,2,0)," ")</f>
        <v xml:space="preserve"> </v>
      </c>
      <c r="B96" s="6" t="str">
        <f>IFERROR(VLOOKUP(D96,'Master sheet (Clientes)'!A$6:D$747,3,0)," ")</f>
        <v xml:space="preserve"> </v>
      </c>
      <c r="C96" s="6" t="str">
        <f>IFERROR(VLOOKUP(D96,'Master sheet (Clientes)'!A$6:D$747,4,0)," ")</f>
        <v xml:space="preserve"> </v>
      </c>
      <c r="D96" s="6"/>
      <c r="E96" s="6"/>
      <c r="F96" s="6"/>
      <c r="G96" s="6"/>
      <c r="H96" s="6"/>
      <c r="I96" s="6"/>
      <c r="J96" s="6"/>
      <c r="K96" s="6"/>
      <c r="L96" s="6"/>
      <c r="M96" s="6"/>
      <c r="N96" s="6"/>
    </row>
    <row r="97" spans="1:17">
      <c r="A97" s="6" t="str">
        <f>IFERROR(VLOOKUP(D97,'Master sheet (Clientes)'!A$6:D$747,2,0)," ")</f>
        <v xml:space="preserve"> </v>
      </c>
      <c r="B97" s="6" t="str">
        <f>IFERROR(VLOOKUP(D97,'Master sheet (Clientes)'!A$6:D$747,3,0)," ")</f>
        <v xml:space="preserve"> </v>
      </c>
      <c r="C97" s="6" t="str">
        <f>IFERROR(VLOOKUP(D97,'Master sheet (Clientes)'!A$6:D$747,4,0)," ")</f>
        <v xml:space="preserve"> </v>
      </c>
      <c r="D97" s="6"/>
      <c r="E97" s="6"/>
      <c r="F97" s="6"/>
      <c r="G97" s="6"/>
      <c r="H97" s="6"/>
      <c r="I97" s="6"/>
      <c r="J97" s="6"/>
      <c r="K97" s="6"/>
      <c r="L97" s="6"/>
      <c r="M97" s="6"/>
      <c r="N97" s="6"/>
    </row>
    <row r="98" spans="1:17">
      <c r="A98" s="1"/>
      <c r="B98" s="1"/>
      <c r="C98" s="1"/>
      <c r="D98" s="1"/>
      <c r="E98" s="1"/>
      <c r="F98" s="1"/>
      <c r="G98" s="1"/>
      <c r="H98" s="1"/>
      <c r="I98" s="1"/>
      <c r="J98" s="1"/>
      <c r="K98" s="1"/>
      <c r="L98" s="1"/>
      <c r="M98" s="1"/>
      <c r="N98" s="1"/>
    </row>
    <row r="99" spans="1:17" s="1" customFormat="1" ht="47">
      <c r="A99" s="4" t="s">
        <v>8</v>
      </c>
      <c r="B99" s="4" t="s">
        <v>9</v>
      </c>
      <c r="C99" s="4" t="s">
        <v>10</v>
      </c>
      <c r="D99" s="4" t="s">
        <v>11</v>
      </c>
      <c r="E99" s="4" t="s">
        <v>12</v>
      </c>
      <c r="F99" s="4" t="s">
        <v>13</v>
      </c>
      <c r="G99" s="38" t="s">
        <v>14</v>
      </c>
      <c r="H99" s="4" t="s">
        <v>15</v>
      </c>
      <c r="I99" s="38" t="s">
        <v>16</v>
      </c>
      <c r="J99" s="38" t="s">
        <v>17</v>
      </c>
      <c r="K99" s="38" t="s">
        <v>18</v>
      </c>
      <c r="L99" s="38" t="s">
        <v>19</v>
      </c>
      <c r="M99" s="38" t="s">
        <v>20</v>
      </c>
      <c r="N99" s="38" t="s">
        <v>21</v>
      </c>
    </row>
    <row r="100" spans="1:17" ht="70.5">
      <c r="A100" s="6" t="str">
        <f>IFERROR(VLOOKUP(D100,'Master sheet (Clientes)'!A$6:D$747,2,0)," ")</f>
        <v>NJ</v>
      </c>
      <c r="B100" s="6" t="str">
        <f>IFERROR(VLOOKUP(D100,'Master sheet (Clientes)'!A$6:D$747,3,0)," ")</f>
        <v>C/O Realty</v>
      </c>
      <c r="C100" s="6" t="str">
        <f>IFERROR(VLOOKUP(D100,'Master sheet (Clientes)'!A$6:D$747,4,0)," ")</f>
        <v>N-O</v>
      </c>
      <c r="D100" s="6" t="s">
        <v>218</v>
      </c>
      <c r="E100" s="6">
        <v>710</v>
      </c>
      <c r="F100" s="6" t="s">
        <v>854</v>
      </c>
      <c r="G100" s="6" t="s">
        <v>853</v>
      </c>
      <c r="H100" s="6" t="s">
        <v>1309</v>
      </c>
      <c r="I100" s="6" t="s">
        <v>839</v>
      </c>
      <c r="J100" s="6" t="s">
        <v>840</v>
      </c>
      <c r="K100" s="6"/>
      <c r="L100" s="6"/>
      <c r="M100" s="6"/>
      <c r="N100" s="6"/>
    </row>
    <row r="101" spans="1:17">
      <c r="A101" s="6" t="str">
        <f>IFERROR(VLOOKUP(D101,'Master sheet (Clientes)'!A$6:D$747,2,0)," ")</f>
        <v xml:space="preserve"> </v>
      </c>
      <c r="B101" s="6" t="str">
        <f>IFERROR(VLOOKUP(D101,'Master sheet (Clientes)'!A$6:D$747,3,0)," ")</f>
        <v xml:space="preserve"> </v>
      </c>
      <c r="C101" s="6" t="str">
        <f>IFERROR(VLOOKUP(D101,'Master sheet (Clientes)'!A$6:D$747,4,0)," ")</f>
        <v xml:space="preserve"> </v>
      </c>
      <c r="D101" s="6"/>
      <c r="E101" s="6"/>
      <c r="F101" s="6"/>
      <c r="G101" s="6"/>
      <c r="H101" s="6"/>
      <c r="I101" s="6"/>
      <c r="J101" s="6"/>
      <c r="K101" s="6"/>
      <c r="L101" s="6"/>
      <c r="M101" s="6"/>
      <c r="N101" s="6"/>
    </row>
    <row r="102" spans="1:17">
      <c r="A102" s="6" t="str">
        <f>IFERROR(VLOOKUP(D102,'Master sheet (Clientes)'!A$6:D$747,2,0)," ")</f>
        <v xml:space="preserve"> </v>
      </c>
      <c r="B102" s="6" t="str">
        <f>IFERROR(VLOOKUP(D102,'Master sheet (Clientes)'!A$6:D$747,3,0)," ")</f>
        <v xml:space="preserve"> </v>
      </c>
      <c r="C102" s="6" t="str">
        <f>IFERROR(VLOOKUP(D102,'Master sheet (Clientes)'!A$6:D$747,4,0)," ")</f>
        <v xml:space="preserve"> </v>
      </c>
      <c r="D102" s="6"/>
      <c r="E102" s="6"/>
      <c r="F102" s="6"/>
      <c r="G102" s="6"/>
      <c r="H102" s="6"/>
      <c r="I102" s="6"/>
      <c r="J102" s="6"/>
      <c r="K102" s="6"/>
      <c r="L102" s="6"/>
      <c r="M102" s="6"/>
      <c r="N102" s="6"/>
    </row>
    <row r="103" spans="1:17">
      <c r="A103" s="1"/>
      <c r="B103" s="1"/>
      <c r="C103" s="1"/>
      <c r="D103" s="1"/>
      <c r="E103" s="1"/>
      <c r="F103" s="1"/>
      <c r="G103" s="1"/>
      <c r="H103" s="1"/>
      <c r="I103" s="1"/>
      <c r="J103" s="1"/>
      <c r="K103" s="1"/>
      <c r="L103" s="1"/>
      <c r="M103" s="1"/>
      <c r="N103" s="1"/>
    </row>
    <row r="104" spans="1:17" ht="47">
      <c r="A104" s="4" t="s">
        <v>8</v>
      </c>
      <c r="B104" s="4" t="s">
        <v>9</v>
      </c>
      <c r="C104" s="4" t="s">
        <v>10</v>
      </c>
      <c r="D104" s="4" t="s">
        <v>11</v>
      </c>
      <c r="E104" s="4" t="s">
        <v>12</v>
      </c>
      <c r="F104" s="4" t="s">
        <v>13</v>
      </c>
      <c r="G104" s="38" t="s">
        <v>14</v>
      </c>
      <c r="H104" s="4" t="s">
        <v>22</v>
      </c>
      <c r="I104" s="38" t="s">
        <v>23</v>
      </c>
      <c r="J104" s="38" t="s">
        <v>17</v>
      </c>
      <c r="K104" s="38" t="s">
        <v>18</v>
      </c>
      <c r="L104" s="38" t="s">
        <v>19</v>
      </c>
      <c r="M104" s="38" t="s">
        <v>20</v>
      </c>
      <c r="N104" s="38" t="s">
        <v>21</v>
      </c>
    </row>
    <row r="105" spans="1:17">
      <c r="A105" s="21" t="str">
        <f>IFERROR(VLOOKUP(D105,'Master sheet (Clientes)'!A$6:D$747,2,0)," ")</f>
        <v xml:space="preserve"> </v>
      </c>
      <c r="B105" s="21" t="str">
        <f>IFERROR(VLOOKUP(D105,'Master sheet (Clientes)'!A$6:D$747,3,0)," ")</f>
        <v xml:space="preserve"> </v>
      </c>
      <c r="C105" s="21" t="str">
        <f>IFERROR(VLOOKUP(D105,'Master sheet (Clientes)'!A$6:D$747,4,0)," ")</f>
        <v xml:space="preserve"> </v>
      </c>
      <c r="D105" s="21"/>
      <c r="E105" s="53"/>
      <c r="F105" s="21"/>
      <c r="G105" s="53"/>
      <c r="H105" s="21"/>
      <c r="I105" s="53"/>
      <c r="J105" s="21"/>
      <c r="K105" s="21"/>
      <c r="L105" s="21"/>
      <c r="M105" s="21"/>
      <c r="N105" s="21"/>
    </row>
    <row r="106" spans="1:17">
      <c r="A106" s="1"/>
      <c r="B106" s="1"/>
      <c r="C106" s="1"/>
      <c r="D106" s="1"/>
      <c r="E106" s="1"/>
      <c r="F106" s="1"/>
      <c r="G106" s="1"/>
      <c r="H106" s="1"/>
      <c r="I106" s="1"/>
      <c r="K106" s="1"/>
      <c r="L106" s="1"/>
      <c r="M106" s="1"/>
      <c r="N106" s="1"/>
    </row>
    <row r="107" spans="1:17" ht="26">
      <c r="A107" s="33"/>
      <c r="B107" s="33"/>
      <c r="C107" s="33"/>
      <c r="D107" s="127" t="s">
        <v>28</v>
      </c>
      <c r="E107" s="127"/>
      <c r="F107" s="127"/>
      <c r="G107" s="127"/>
      <c r="H107" s="127"/>
      <c r="I107" s="127"/>
      <c r="J107" s="127"/>
      <c r="K107" s="127"/>
      <c r="L107" s="127"/>
      <c r="M107" s="16"/>
      <c r="N107" s="16"/>
    </row>
    <row r="108" spans="1:17" s="5" customFormat="1" ht="26">
      <c r="A108" s="43"/>
      <c r="B108" s="43"/>
      <c r="C108" s="43"/>
      <c r="D108" s="128" t="s">
        <v>29</v>
      </c>
      <c r="E108" s="128"/>
      <c r="F108" s="128"/>
      <c r="G108" s="128"/>
      <c r="H108" s="128"/>
      <c r="I108" s="128"/>
      <c r="J108" s="128"/>
      <c r="K108" s="128"/>
      <c r="L108" s="128"/>
      <c r="M108" s="44"/>
      <c r="N108" s="44"/>
      <c r="O108" s="35"/>
      <c r="P108" s="35"/>
      <c r="Q108" s="35"/>
    </row>
    <row r="109" spans="1:17">
      <c r="A109" s="3"/>
      <c r="B109" s="3"/>
      <c r="C109" s="3"/>
      <c r="D109" s="3"/>
      <c r="E109" s="3"/>
      <c r="F109" s="3"/>
      <c r="G109" s="3"/>
      <c r="H109" s="3"/>
      <c r="I109" s="3"/>
      <c r="K109" s="1"/>
      <c r="L109" s="1"/>
      <c r="M109" s="1"/>
      <c r="N109" s="1"/>
    </row>
    <row r="110" spans="1:17" s="1" customFormat="1" ht="47">
      <c r="A110" s="4" t="s">
        <v>8</v>
      </c>
      <c r="B110" s="4" t="s">
        <v>9</v>
      </c>
      <c r="C110" s="4" t="s">
        <v>10</v>
      </c>
      <c r="D110" s="4" t="s">
        <v>11</v>
      </c>
      <c r="E110" s="4" t="s">
        <v>12</v>
      </c>
      <c r="F110" s="4" t="s">
        <v>13</v>
      </c>
      <c r="G110" s="38" t="s">
        <v>14</v>
      </c>
      <c r="H110" s="4" t="s">
        <v>15</v>
      </c>
      <c r="I110" s="38" t="s">
        <v>16</v>
      </c>
      <c r="J110" s="38" t="s">
        <v>17</v>
      </c>
      <c r="K110" s="38" t="s">
        <v>18</v>
      </c>
      <c r="L110" s="38" t="s">
        <v>19</v>
      </c>
      <c r="M110" s="38" t="s">
        <v>20</v>
      </c>
      <c r="N110" s="38" t="s">
        <v>21</v>
      </c>
    </row>
    <row r="111" spans="1:17" ht="70.5">
      <c r="A111" s="6" t="str">
        <f>IFERROR(VLOOKUP(D111,'Master sheet (Clientes)'!A$6:D$747,2,0)," ")</f>
        <v>NJ</v>
      </c>
      <c r="B111" s="6" t="str">
        <f>IFERROR(VLOOKUP(D111,'Master sheet (Clientes)'!A$6:D$747,3,0)," ")</f>
        <v>Greystar</v>
      </c>
      <c r="C111" s="6" t="str">
        <f>IFERROR(VLOOKUP(D111,'Master sheet (Clientes)'!A$6:D$747,4,0)," ")</f>
        <v>A-V</v>
      </c>
      <c r="D111" s="6" t="s">
        <v>351</v>
      </c>
      <c r="E111" s="6"/>
      <c r="F111" s="6"/>
      <c r="G111" s="6"/>
      <c r="H111" s="6" t="s">
        <v>964</v>
      </c>
      <c r="I111" s="6" t="s">
        <v>1851</v>
      </c>
      <c r="J111" s="6" t="s">
        <v>48</v>
      </c>
      <c r="K111" s="6"/>
      <c r="L111" s="6"/>
      <c r="M111" s="6"/>
      <c r="N111" s="6"/>
    </row>
    <row r="112" spans="1:17" ht="70.5">
      <c r="A112" s="6" t="str">
        <f>IFERROR(VLOOKUP(D112,'Master sheet (Clientes)'!A$6:D$747,2,0)," ")</f>
        <v>NJ</v>
      </c>
      <c r="B112" s="6" t="str">
        <f>IFERROR(VLOOKUP(D112,'Master sheet (Clientes)'!A$6:D$747,3,0)," ")</f>
        <v>Greystar</v>
      </c>
      <c r="C112" s="6" t="str">
        <f>IFERROR(VLOOKUP(D112,'Master sheet (Clientes)'!A$6:D$747,4,0)," ")</f>
        <v>A-V</v>
      </c>
      <c r="D112" s="6" t="s">
        <v>350</v>
      </c>
      <c r="E112" s="6">
        <v>612</v>
      </c>
      <c r="F112" s="6" t="s">
        <v>45</v>
      </c>
      <c r="G112" s="6" t="s">
        <v>853</v>
      </c>
      <c r="H112" s="6" t="s">
        <v>1693</v>
      </c>
      <c r="I112" s="6" t="s">
        <v>1850</v>
      </c>
      <c r="J112" s="6" t="s">
        <v>48</v>
      </c>
      <c r="K112" s="6"/>
      <c r="L112" s="6"/>
      <c r="M112" s="6"/>
      <c r="N112" s="6"/>
    </row>
    <row r="113" spans="1:17">
      <c r="A113" s="6" t="str">
        <f>IFERROR(VLOOKUP(D113,'Master sheet (Clientes)'!A$6:D$747,2,0)," ")</f>
        <v xml:space="preserve"> </v>
      </c>
      <c r="B113" s="6" t="str">
        <f>IFERROR(VLOOKUP(D113,'Master sheet (Clientes)'!A$6:D$747,3,0)," ")</f>
        <v xml:space="preserve"> </v>
      </c>
      <c r="C113" s="6" t="str">
        <f>IFERROR(VLOOKUP(D113,'Master sheet (Clientes)'!A$6:D$747,4,0)," ")</f>
        <v xml:space="preserve"> </v>
      </c>
      <c r="D113" s="6"/>
      <c r="E113" s="6"/>
      <c r="F113" s="6"/>
      <c r="G113" s="6"/>
      <c r="H113" s="6"/>
      <c r="I113" s="6"/>
      <c r="J113" s="6"/>
      <c r="K113" s="6"/>
      <c r="L113" s="6"/>
      <c r="M113" s="6"/>
      <c r="N113" s="6"/>
    </row>
    <row r="114" spans="1:17">
      <c r="A114" s="6" t="str">
        <f>IFERROR(VLOOKUP(D114,'Master sheet (Clientes)'!A$6:D$747,2,0)," ")</f>
        <v xml:space="preserve"> </v>
      </c>
      <c r="B114" s="6" t="str">
        <f>IFERROR(VLOOKUP(D114,'Master sheet (Clientes)'!A$6:D$747,3,0)," ")</f>
        <v xml:space="preserve"> </v>
      </c>
      <c r="C114" s="6" t="str">
        <f>IFERROR(VLOOKUP(D114,'Master sheet (Clientes)'!A$6:D$747,4,0)," ")</f>
        <v xml:space="preserve"> </v>
      </c>
      <c r="D114" s="6"/>
      <c r="E114" s="6"/>
      <c r="F114" s="6"/>
      <c r="G114" s="6"/>
      <c r="H114" s="6"/>
      <c r="I114" s="6"/>
      <c r="J114" s="6"/>
      <c r="K114" s="6"/>
      <c r="L114" s="6"/>
      <c r="M114" s="6"/>
      <c r="N114" s="6"/>
    </row>
    <row r="115" spans="1:17">
      <c r="A115" s="1"/>
      <c r="B115" s="1"/>
      <c r="C115" s="1"/>
      <c r="D115" s="1"/>
      <c r="E115" s="1"/>
      <c r="F115" s="1"/>
      <c r="G115" s="1"/>
      <c r="H115" s="1"/>
      <c r="I115" s="1"/>
      <c r="J115" s="1"/>
      <c r="K115" s="1"/>
      <c r="L115" s="1"/>
      <c r="M115" s="1"/>
      <c r="N115" s="1"/>
    </row>
    <row r="116" spans="1:17" s="1" customFormat="1" ht="47">
      <c r="A116" s="4" t="s">
        <v>8</v>
      </c>
      <c r="B116" s="4" t="s">
        <v>9</v>
      </c>
      <c r="C116" s="4" t="s">
        <v>10</v>
      </c>
      <c r="D116" s="4" t="s">
        <v>11</v>
      </c>
      <c r="E116" s="4" t="s">
        <v>12</v>
      </c>
      <c r="F116" s="4" t="s">
        <v>13</v>
      </c>
      <c r="G116" s="38" t="s">
        <v>14</v>
      </c>
      <c r="H116" s="4" t="s">
        <v>15</v>
      </c>
      <c r="I116" s="38" t="s">
        <v>16</v>
      </c>
      <c r="J116" s="38" t="s">
        <v>17</v>
      </c>
      <c r="K116" s="38" t="s">
        <v>18</v>
      </c>
      <c r="L116" s="38" t="s">
        <v>19</v>
      </c>
      <c r="M116" s="38" t="s">
        <v>20</v>
      </c>
      <c r="N116" s="38" t="s">
        <v>21</v>
      </c>
    </row>
    <row r="117" spans="1:17">
      <c r="A117" s="6" t="str">
        <f>IFERROR(VLOOKUP(D117,'Master sheet (Clientes)'!A$6:D$747,2,0)," ")</f>
        <v xml:space="preserve"> </v>
      </c>
      <c r="B117" s="6" t="str">
        <f>IFERROR(VLOOKUP(D117,'Master sheet (Clientes)'!A$6:D$747,3,0)," ")</f>
        <v xml:space="preserve"> </v>
      </c>
      <c r="C117" s="6" t="str">
        <f>IFERROR(VLOOKUP(D117,'Master sheet (Clientes)'!A$6:D$747,4,0)," ")</f>
        <v xml:space="preserve"> </v>
      </c>
      <c r="D117" s="6"/>
      <c r="E117" s="6"/>
      <c r="F117" s="6"/>
      <c r="G117" s="6"/>
      <c r="H117" s="6"/>
      <c r="I117" s="6"/>
      <c r="J117" s="6"/>
      <c r="K117" s="6"/>
      <c r="L117" s="6"/>
      <c r="M117" s="6"/>
      <c r="N117" s="6"/>
    </row>
    <row r="118" spans="1:17">
      <c r="A118" s="6" t="str">
        <f>IFERROR(VLOOKUP(D118,'Master sheet (Clientes)'!A$6:D$747,2,0)," ")</f>
        <v xml:space="preserve"> </v>
      </c>
      <c r="B118" s="6" t="str">
        <f>IFERROR(VLOOKUP(D118,'Master sheet (Clientes)'!A$6:D$747,3,0)," ")</f>
        <v xml:space="preserve"> </v>
      </c>
      <c r="C118" s="6" t="str">
        <f>IFERROR(VLOOKUP(D118,'Master sheet (Clientes)'!A$6:D$747,4,0)," ")</f>
        <v xml:space="preserve"> </v>
      </c>
      <c r="D118" s="6"/>
      <c r="E118" s="6"/>
      <c r="F118" s="6"/>
      <c r="G118" s="6"/>
      <c r="H118" s="6"/>
      <c r="I118" s="6"/>
      <c r="J118" s="6"/>
      <c r="K118" s="6"/>
      <c r="L118" s="6"/>
      <c r="M118" s="6"/>
      <c r="N118" s="6"/>
    </row>
    <row r="119" spans="1:17">
      <c r="A119" s="1"/>
      <c r="B119" s="1"/>
      <c r="C119" s="1"/>
      <c r="D119" s="1"/>
      <c r="E119" s="1"/>
      <c r="F119" s="1"/>
      <c r="G119" s="1"/>
      <c r="H119" s="1"/>
      <c r="I119" s="1"/>
      <c r="J119" s="1"/>
      <c r="K119" s="1"/>
      <c r="L119" s="1"/>
      <c r="M119" s="1"/>
      <c r="N119" s="1"/>
    </row>
    <row r="120" spans="1:17" s="1" customFormat="1" ht="47">
      <c r="A120" s="4" t="s">
        <v>8</v>
      </c>
      <c r="B120" s="4" t="s">
        <v>9</v>
      </c>
      <c r="C120" s="4" t="s">
        <v>10</v>
      </c>
      <c r="D120" s="4" t="s">
        <v>11</v>
      </c>
      <c r="E120" s="4" t="s">
        <v>12</v>
      </c>
      <c r="F120" s="4" t="s">
        <v>13</v>
      </c>
      <c r="G120" s="38" t="s">
        <v>14</v>
      </c>
      <c r="H120" s="4" t="s">
        <v>15</v>
      </c>
      <c r="I120" s="38" t="s">
        <v>16</v>
      </c>
      <c r="J120" s="38" t="s">
        <v>17</v>
      </c>
      <c r="K120" s="38" t="s">
        <v>18</v>
      </c>
      <c r="L120" s="38" t="s">
        <v>19</v>
      </c>
      <c r="M120" s="38" t="s">
        <v>20</v>
      </c>
      <c r="N120" s="38" t="s">
        <v>21</v>
      </c>
    </row>
    <row r="121" spans="1:17">
      <c r="A121" s="6" t="str">
        <f>IFERROR(VLOOKUP(D121,'Master sheet (Clientes)'!A$6:D$747,2,0)," ")</f>
        <v xml:space="preserve"> </v>
      </c>
      <c r="B121" s="6" t="str">
        <f>IFERROR(VLOOKUP(D121,'Master sheet (Clientes)'!A$6:D$747,3,0)," ")</f>
        <v xml:space="preserve"> </v>
      </c>
      <c r="C121" s="6" t="str">
        <f>IFERROR(VLOOKUP(D121,'Master sheet (Clientes)'!A$6:D$747,4,0)," ")</f>
        <v xml:space="preserve"> </v>
      </c>
      <c r="D121" s="6"/>
      <c r="E121" s="6"/>
      <c r="F121" s="6"/>
      <c r="G121" s="6"/>
      <c r="H121" s="6"/>
      <c r="I121" s="6"/>
      <c r="J121" s="6"/>
      <c r="K121" s="6"/>
      <c r="L121" s="6"/>
      <c r="M121" s="6"/>
      <c r="N121" s="6"/>
    </row>
    <row r="122" spans="1:17">
      <c r="A122" s="6" t="str">
        <f>IFERROR(VLOOKUP(D122,'Master sheet (Clientes)'!A$6:D$747,2,0)," ")</f>
        <v xml:space="preserve"> </v>
      </c>
      <c r="B122" s="6" t="str">
        <f>IFERROR(VLOOKUP(D122,'Master sheet (Clientes)'!A$6:D$747,3,0)," ")</f>
        <v xml:space="preserve"> </v>
      </c>
      <c r="C122" s="6" t="str">
        <f>IFERROR(VLOOKUP(D122,'Master sheet (Clientes)'!A$6:D$747,4,0)," ")</f>
        <v xml:space="preserve"> </v>
      </c>
      <c r="D122" s="6"/>
      <c r="E122" s="6"/>
      <c r="F122" s="6"/>
      <c r="G122" s="6"/>
      <c r="H122" s="6"/>
      <c r="I122" s="6"/>
      <c r="J122" s="6"/>
      <c r="K122" s="6"/>
      <c r="L122" s="6"/>
      <c r="M122" s="6"/>
      <c r="N122" s="6"/>
    </row>
    <row r="123" spans="1:17" s="5" customFormat="1">
      <c r="A123" s="1"/>
      <c r="B123" s="1"/>
      <c r="C123" s="1"/>
      <c r="D123" s="1"/>
      <c r="E123" s="1"/>
      <c r="F123" s="1"/>
      <c r="G123" s="1"/>
      <c r="H123" s="1"/>
      <c r="I123" s="1"/>
      <c r="J123" s="1"/>
      <c r="K123" s="1"/>
      <c r="L123" s="1"/>
      <c r="M123" s="1"/>
      <c r="N123" s="1"/>
      <c r="O123" s="35"/>
      <c r="P123" s="35"/>
      <c r="Q123" s="35"/>
    </row>
    <row r="124" spans="1:17" s="1" customFormat="1" ht="47">
      <c r="A124" s="4" t="s">
        <v>8</v>
      </c>
      <c r="B124" s="4" t="s">
        <v>9</v>
      </c>
      <c r="C124" s="4" t="s">
        <v>10</v>
      </c>
      <c r="D124" s="4" t="s">
        <v>11</v>
      </c>
      <c r="E124" s="4" t="s">
        <v>12</v>
      </c>
      <c r="F124" s="4" t="s">
        <v>13</v>
      </c>
      <c r="G124" s="38" t="s">
        <v>14</v>
      </c>
      <c r="H124" s="4" t="s">
        <v>15</v>
      </c>
      <c r="I124" s="38" t="s">
        <v>16</v>
      </c>
      <c r="J124" s="38" t="s">
        <v>17</v>
      </c>
      <c r="K124" s="38" t="s">
        <v>18</v>
      </c>
      <c r="L124" s="38" t="s">
        <v>19</v>
      </c>
      <c r="M124" s="38" t="s">
        <v>20</v>
      </c>
      <c r="N124" s="38" t="s">
        <v>21</v>
      </c>
    </row>
    <row r="125" spans="1:17">
      <c r="A125" s="6" t="str">
        <f>IFERROR(VLOOKUP(D125,'Master sheet (Clientes)'!A$6:D$747,2,0)," ")</f>
        <v xml:space="preserve"> </v>
      </c>
      <c r="B125" s="6" t="str">
        <f>IFERROR(VLOOKUP(D125,'Master sheet (Clientes)'!A$6:D$747,3,0)," ")</f>
        <v xml:space="preserve"> </v>
      </c>
      <c r="C125" s="6" t="str">
        <f>IFERROR(VLOOKUP(D125,'Master sheet (Clientes)'!A$6:D$747,4,0)," ")</f>
        <v xml:space="preserve"> </v>
      </c>
      <c r="D125" s="6"/>
      <c r="E125" s="6"/>
      <c r="F125" s="6"/>
      <c r="G125" s="6"/>
      <c r="H125" s="6"/>
      <c r="I125" s="6"/>
      <c r="J125" s="6"/>
      <c r="K125" s="6"/>
      <c r="L125" s="6"/>
      <c r="M125" s="6"/>
      <c r="N125" s="6"/>
    </row>
    <row r="126" spans="1:17">
      <c r="A126" s="6" t="str">
        <f>IFERROR(VLOOKUP(D126,'Master sheet (Clientes)'!A$6:D$747,2,0)," ")</f>
        <v xml:space="preserve"> </v>
      </c>
      <c r="B126" s="6" t="str">
        <f>IFERROR(VLOOKUP(D126,'Master sheet (Clientes)'!A$6:D$747,3,0)," ")</f>
        <v xml:space="preserve"> </v>
      </c>
      <c r="C126" s="6" t="str">
        <f>IFERROR(VLOOKUP(D126,'Master sheet (Clientes)'!A$6:D$747,4,0)," ")</f>
        <v xml:space="preserve"> </v>
      </c>
      <c r="D126" s="6"/>
      <c r="E126" s="6"/>
      <c r="F126" s="6"/>
      <c r="G126" s="6"/>
      <c r="H126" s="6"/>
      <c r="I126" s="6"/>
      <c r="J126" s="6"/>
      <c r="K126" s="6"/>
      <c r="L126" s="6"/>
      <c r="M126" s="6"/>
      <c r="N126" s="6"/>
    </row>
    <row r="127" spans="1:17">
      <c r="A127" s="1"/>
      <c r="B127" s="1"/>
      <c r="C127" s="1"/>
      <c r="D127" s="1"/>
      <c r="E127" s="1"/>
      <c r="F127" s="1"/>
      <c r="G127" s="1"/>
      <c r="H127" s="1"/>
      <c r="I127" s="1"/>
      <c r="J127" s="1"/>
      <c r="K127" s="1"/>
      <c r="L127" s="1"/>
      <c r="M127" s="1"/>
      <c r="N127" s="1"/>
    </row>
    <row r="128" spans="1:17" ht="47">
      <c r="A128" s="4" t="s">
        <v>8</v>
      </c>
      <c r="B128" s="4" t="s">
        <v>9</v>
      </c>
      <c r="C128" s="4" t="s">
        <v>10</v>
      </c>
      <c r="D128" s="4" t="s">
        <v>11</v>
      </c>
      <c r="E128" s="4" t="s">
        <v>12</v>
      </c>
      <c r="F128" s="4" t="s">
        <v>13</v>
      </c>
      <c r="G128" s="38" t="s">
        <v>14</v>
      </c>
      <c r="H128" s="4" t="s">
        <v>22</v>
      </c>
      <c r="I128" s="38" t="s">
        <v>23</v>
      </c>
      <c r="J128" s="38" t="s">
        <v>17</v>
      </c>
      <c r="K128" s="38" t="s">
        <v>18</v>
      </c>
      <c r="L128" s="38" t="s">
        <v>19</v>
      </c>
      <c r="M128" s="38" t="s">
        <v>20</v>
      </c>
      <c r="N128" s="38" t="s">
        <v>21</v>
      </c>
    </row>
    <row r="129" spans="1:17">
      <c r="A129" s="21" t="str">
        <f>IFERROR(VLOOKUP(D129,'Master sheet (Clientes)'!A$6:D$747,2,0)," ")</f>
        <v xml:space="preserve"> </v>
      </c>
      <c r="B129" s="21" t="str">
        <f>IFERROR(VLOOKUP(D129,'Master sheet (Clientes)'!A$6:D$747,3,0)," ")</f>
        <v xml:space="preserve"> </v>
      </c>
      <c r="C129" s="21" t="str">
        <f>IFERROR(VLOOKUP(D129,'Master sheet (Clientes)'!A$6:D$747,4,0)," ")</f>
        <v xml:space="preserve"> </v>
      </c>
      <c r="D129" s="21"/>
      <c r="E129" s="53"/>
      <c r="F129" s="21"/>
      <c r="G129" s="53"/>
      <c r="H129" s="21"/>
      <c r="I129" s="53"/>
      <c r="J129" s="21"/>
      <c r="K129" s="21"/>
      <c r="L129" s="21"/>
      <c r="M129" s="21"/>
      <c r="N129" s="21"/>
    </row>
    <row r="130" spans="1:17">
      <c r="A130" s="1"/>
      <c r="B130" s="1"/>
      <c r="C130" s="1"/>
      <c r="D130" s="1"/>
      <c r="E130" s="1"/>
      <c r="F130" s="1"/>
      <c r="G130" s="1"/>
      <c r="H130" s="1"/>
      <c r="I130" s="1"/>
      <c r="K130" s="1"/>
      <c r="L130" s="1"/>
      <c r="M130" s="1"/>
      <c r="N130" s="1"/>
    </row>
    <row r="131" spans="1:17" ht="26">
      <c r="A131" s="33"/>
      <c r="B131" s="33"/>
      <c r="C131" s="33"/>
      <c r="D131" s="127" t="s">
        <v>30</v>
      </c>
      <c r="E131" s="127"/>
      <c r="F131" s="127"/>
      <c r="G131" s="127"/>
      <c r="H131" s="127"/>
      <c r="I131" s="127"/>
      <c r="J131" s="127"/>
      <c r="K131" s="127"/>
      <c r="L131" s="127"/>
      <c r="M131" s="16"/>
      <c r="N131" s="16"/>
    </row>
    <row r="132" spans="1:17" s="5" customFormat="1" ht="26">
      <c r="A132" s="43"/>
      <c r="B132" s="43"/>
      <c r="C132" s="43"/>
      <c r="D132" s="128" t="s">
        <v>31</v>
      </c>
      <c r="E132" s="128"/>
      <c r="F132" s="128"/>
      <c r="G132" s="128"/>
      <c r="H132" s="128"/>
      <c r="I132" s="128"/>
      <c r="J132" s="128"/>
      <c r="K132" s="128"/>
      <c r="L132" s="128"/>
      <c r="M132" s="44"/>
      <c r="N132" s="44"/>
      <c r="O132" s="35"/>
      <c r="P132" s="35"/>
      <c r="Q132" s="35"/>
    </row>
    <row r="133" spans="1:17">
      <c r="A133" s="3"/>
      <c r="B133" s="3"/>
      <c r="C133" s="3"/>
      <c r="D133" s="3"/>
      <c r="E133" s="3"/>
      <c r="F133" s="3"/>
      <c r="G133" s="3"/>
      <c r="H133" s="3"/>
      <c r="I133" s="3"/>
      <c r="K133" s="1"/>
      <c r="L133" s="1"/>
      <c r="M133" s="1"/>
      <c r="N133" s="1"/>
    </row>
    <row r="134" spans="1:17" s="1" customFormat="1" ht="47">
      <c r="A134" s="4" t="s">
        <v>8</v>
      </c>
      <c r="B134" s="4" t="s">
        <v>9</v>
      </c>
      <c r="C134" s="4" t="s">
        <v>10</v>
      </c>
      <c r="D134" s="4" t="s">
        <v>11</v>
      </c>
      <c r="E134" s="4" t="s">
        <v>12</v>
      </c>
      <c r="F134" s="4" t="s">
        <v>13</v>
      </c>
      <c r="G134" s="38" t="s">
        <v>14</v>
      </c>
      <c r="H134" s="4" t="s">
        <v>15</v>
      </c>
      <c r="I134" s="38" t="s">
        <v>16</v>
      </c>
      <c r="J134" s="38" t="s">
        <v>17</v>
      </c>
      <c r="K134" s="38" t="s">
        <v>18</v>
      </c>
      <c r="L134" s="38" t="s">
        <v>19</v>
      </c>
      <c r="M134" s="38" t="s">
        <v>20</v>
      </c>
      <c r="N134" s="38" t="s">
        <v>21</v>
      </c>
    </row>
    <row r="135" spans="1:17" ht="70.5">
      <c r="A135" s="6" t="str">
        <f>IFERROR(VLOOKUP(D135,'Master sheet (Clientes)'!A$6:D$747,2,0)," ")</f>
        <v>NJ</v>
      </c>
      <c r="B135" s="6" t="str">
        <f>IFERROR(VLOOKUP(D135,'Master sheet (Clientes)'!A$6:D$747,3,0)," ")</f>
        <v>Greystar</v>
      </c>
      <c r="C135" s="6" t="str">
        <f>IFERROR(VLOOKUP(D135,'Master sheet (Clientes)'!A$6:D$747,4,0)," ")</f>
        <v>A-V</v>
      </c>
      <c r="D135" s="6" t="s">
        <v>361</v>
      </c>
      <c r="E135" s="6" t="s">
        <v>1452</v>
      </c>
      <c r="F135" s="6" t="s">
        <v>876</v>
      </c>
      <c r="G135" s="6" t="s">
        <v>853</v>
      </c>
      <c r="H135" s="6" t="s">
        <v>1447</v>
      </c>
      <c r="I135" s="77" t="s">
        <v>1795</v>
      </c>
      <c r="J135" s="6" t="s">
        <v>48</v>
      </c>
      <c r="K135" s="6"/>
      <c r="L135" s="6"/>
      <c r="M135" s="6" t="s">
        <v>1449</v>
      </c>
      <c r="N135" s="6"/>
    </row>
    <row r="136" spans="1:17" ht="70.5">
      <c r="A136" s="6" t="str">
        <f>IFERROR(VLOOKUP(D136,'Master sheet (Clientes)'!A$6:D$747,2,0)," ")</f>
        <v>NJ</v>
      </c>
      <c r="B136" s="6" t="str">
        <f>IFERROR(VLOOKUP(D136,'Master sheet (Clientes)'!A$6:D$747,3,0)," ")</f>
        <v>Bozzuto</v>
      </c>
      <c r="C136" s="6" t="str">
        <f>IFERROR(VLOOKUP(D136,'Master sheet (Clientes)'!A$6:D$747,4,0)," ")</f>
        <v>N-O</v>
      </c>
      <c r="D136" s="6" t="s">
        <v>183</v>
      </c>
      <c r="E136" s="6">
        <v>229</v>
      </c>
      <c r="F136" s="6" t="s">
        <v>45</v>
      </c>
      <c r="G136" s="6" t="s">
        <v>853</v>
      </c>
      <c r="H136" s="6" t="s">
        <v>1700</v>
      </c>
      <c r="I136" s="6" t="s">
        <v>1855</v>
      </c>
      <c r="J136" s="6" t="s">
        <v>48</v>
      </c>
      <c r="K136" s="6"/>
      <c r="L136" s="6"/>
      <c r="M136" s="6"/>
      <c r="N136" s="6"/>
    </row>
    <row r="137" spans="1:17" ht="70.5">
      <c r="A137" s="6" t="str">
        <f>IFERROR(VLOOKUP(D137,'Master sheet (Clientes)'!A$6:D$747,2,0)," ")</f>
        <v>NJ</v>
      </c>
      <c r="B137" s="6" t="str">
        <f>IFERROR(VLOOKUP(D137,'Master sheet (Clientes)'!A$6:D$747,3,0)," ")</f>
        <v>Bozzuto</v>
      </c>
      <c r="C137" s="6" t="str">
        <f>IFERROR(VLOOKUP(D137,'Master sheet (Clientes)'!A$6:D$747,4,0)," ")</f>
        <v>N-O</v>
      </c>
      <c r="D137" s="6" t="s">
        <v>183</v>
      </c>
      <c r="E137" s="6">
        <v>427</v>
      </c>
      <c r="F137" s="6" t="s">
        <v>45</v>
      </c>
      <c r="G137" s="6" t="s">
        <v>853</v>
      </c>
      <c r="H137" s="6" t="s">
        <v>1701</v>
      </c>
      <c r="I137" s="6" t="s">
        <v>1855</v>
      </c>
      <c r="J137" s="6" t="s">
        <v>48</v>
      </c>
      <c r="K137" s="6"/>
      <c r="L137" s="6"/>
      <c r="M137" s="6"/>
      <c r="N137" s="6"/>
    </row>
    <row r="138" spans="1:17" ht="70.5">
      <c r="A138" s="6" t="str">
        <f>IFERROR(VLOOKUP(D138,'Master sheet (Clientes)'!A$6:D$747,2,0)," ")</f>
        <v>NJ</v>
      </c>
      <c r="B138" s="6" t="str">
        <f>IFERROR(VLOOKUP(D138,'Master sheet (Clientes)'!A$6:D$747,3,0)," ")</f>
        <v xml:space="preserve">Sparrow </v>
      </c>
      <c r="C138" s="6" t="str">
        <f>IFERROR(VLOOKUP(D138,'Master sheet (Clientes)'!A$6:D$747,4,0)," ")</f>
        <v>A-V</v>
      </c>
      <c r="D138" s="6" t="s">
        <v>742</v>
      </c>
      <c r="E138" s="6">
        <v>307</v>
      </c>
      <c r="F138" s="6" t="s">
        <v>854</v>
      </c>
      <c r="G138" s="6" t="s">
        <v>853</v>
      </c>
      <c r="H138" s="6" t="s">
        <v>1818</v>
      </c>
      <c r="I138" s="6" t="s">
        <v>1854</v>
      </c>
      <c r="J138" s="6" t="s">
        <v>48</v>
      </c>
      <c r="K138" s="6"/>
      <c r="L138" s="6"/>
      <c r="M138" s="6"/>
      <c r="N138" s="6"/>
    </row>
    <row r="139" spans="1:17" ht="70.5">
      <c r="A139" s="6" t="str">
        <f>IFERROR(VLOOKUP(D139,'Master sheet (Clientes)'!A$6:D$747,2,0)," ")</f>
        <v>NJ</v>
      </c>
      <c r="B139" s="6" t="str">
        <f>IFERROR(VLOOKUP(D139,'Master sheet (Clientes)'!A$6:D$747,3,0)," ")</f>
        <v xml:space="preserve">Sparrow </v>
      </c>
      <c r="C139" s="6" t="str">
        <f>IFERROR(VLOOKUP(D139,'Master sheet (Clientes)'!A$6:D$747,4,0)," ")</f>
        <v>A-V</v>
      </c>
      <c r="D139" s="6" t="s">
        <v>742</v>
      </c>
      <c r="E139" s="6">
        <v>407</v>
      </c>
      <c r="F139" s="6" t="s">
        <v>854</v>
      </c>
      <c r="G139" s="6" t="s">
        <v>853</v>
      </c>
      <c r="H139" s="6" t="s">
        <v>1818</v>
      </c>
      <c r="I139" s="6" t="s">
        <v>1854</v>
      </c>
      <c r="J139" s="6" t="s">
        <v>48</v>
      </c>
      <c r="K139" s="6"/>
      <c r="L139" s="6"/>
      <c r="M139" s="6"/>
      <c r="N139" s="6"/>
    </row>
    <row r="140" spans="1:17" ht="70.5">
      <c r="A140" s="6" t="str">
        <f>IFERROR(VLOOKUP(D140,'Master sheet (Clientes)'!A$6:D$747,2,0)," ")</f>
        <v>NJ</v>
      </c>
      <c r="B140" s="6" t="str">
        <f>IFERROR(VLOOKUP(D140,'Master sheet (Clientes)'!A$6:D$747,3,0)," ")</f>
        <v xml:space="preserve">Sparrow </v>
      </c>
      <c r="C140" s="6" t="str">
        <f>IFERROR(VLOOKUP(D140,'Master sheet (Clientes)'!A$6:D$747,4,0)," ")</f>
        <v>A-V</v>
      </c>
      <c r="D140" s="6" t="s">
        <v>742</v>
      </c>
      <c r="E140" s="6">
        <v>318</v>
      </c>
      <c r="F140" s="6" t="s">
        <v>45</v>
      </c>
      <c r="G140" s="6" t="s">
        <v>876</v>
      </c>
      <c r="H140" s="6" t="s">
        <v>1819</v>
      </c>
      <c r="I140" s="6" t="s">
        <v>1854</v>
      </c>
      <c r="J140" s="6" t="s">
        <v>48</v>
      </c>
      <c r="K140" s="6"/>
      <c r="L140" s="6"/>
      <c r="M140" s="6"/>
      <c r="N140" s="6"/>
    </row>
    <row r="141" spans="1:17">
      <c r="A141" s="6" t="str">
        <f>IFERROR(VLOOKUP(D141,'Master sheet (Clientes)'!A$6:D$747,2,0)," ")</f>
        <v xml:space="preserve"> </v>
      </c>
      <c r="B141" s="6" t="str">
        <f>IFERROR(VLOOKUP(D141,'Master sheet (Clientes)'!A$6:D$747,3,0)," ")</f>
        <v xml:space="preserve"> </v>
      </c>
      <c r="C141" s="6" t="str">
        <f>IFERROR(VLOOKUP(D141,'Master sheet (Clientes)'!A$6:D$747,4,0)," ")</f>
        <v xml:space="preserve"> </v>
      </c>
      <c r="D141" s="6"/>
      <c r="E141" s="6"/>
      <c r="F141" s="6"/>
      <c r="G141" s="6"/>
      <c r="H141" s="6"/>
      <c r="I141" s="6"/>
      <c r="J141" s="6"/>
      <c r="K141" s="6"/>
      <c r="L141" s="6"/>
      <c r="M141" s="6"/>
      <c r="N141" s="6"/>
    </row>
    <row r="142" spans="1:17">
      <c r="A142" s="1"/>
      <c r="B142" s="1"/>
      <c r="C142" s="1"/>
      <c r="D142" s="1"/>
      <c r="E142" s="1"/>
      <c r="F142" s="1"/>
      <c r="G142" s="1"/>
      <c r="H142" s="1"/>
      <c r="I142" s="1"/>
      <c r="J142" s="1"/>
      <c r="K142" s="1"/>
      <c r="L142" s="1"/>
      <c r="M142" s="1"/>
      <c r="N142" s="1"/>
    </row>
    <row r="143" spans="1:17" s="1" customFormat="1" ht="47">
      <c r="A143" s="4" t="s">
        <v>8</v>
      </c>
      <c r="B143" s="4" t="s">
        <v>9</v>
      </c>
      <c r="C143" s="4" t="s">
        <v>10</v>
      </c>
      <c r="D143" s="4" t="s">
        <v>11</v>
      </c>
      <c r="E143" s="4" t="s">
        <v>12</v>
      </c>
      <c r="F143" s="4" t="s">
        <v>13</v>
      </c>
      <c r="G143" s="38" t="s">
        <v>14</v>
      </c>
      <c r="H143" s="4" t="s">
        <v>15</v>
      </c>
      <c r="I143" s="38" t="s">
        <v>16</v>
      </c>
      <c r="J143" s="38" t="s">
        <v>17</v>
      </c>
      <c r="K143" s="38" t="s">
        <v>18</v>
      </c>
      <c r="L143" s="38" t="s">
        <v>19</v>
      </c>
      <c r="M143" s="38" t="s">
        <v>20</v>
      </c>
      <c r="N143" s="38" t="s">
        <v>21</v>
      </c>
    </row>
    <row r="144" spans="1:17">
      <c r="A144" s="6" t="str">
        <f>IFERROR(VLOOKUP(D144,'Master sheet (Clientes)'!A$6:D$747,2,0)," ")</f>
        <v xml:space="preserve"> </v>
      </c>
      <c r="B144" s="6" t="str">
        <f>IFERROR(VLOOKUP(D144,'Master sheet (Clientes)'!A$6:D$747,3,0)," ")</f>
        <v xml:space="preserve"> </v>
      </c>
      <c r="C144" s="6" t="str">
        <f>IFERROR(VLOOKUP(D144,'Master sheet (Clientes)'!A$6:D$747,4,0)," ")</f>
        <v xml:space="preserve"> </v>
      </c>
      <c r="D144" s="6"/>
      <c r="E144" s="6"/>
      <c r="F144" s="6"/>
      <c r="G144" s="6"/>
      <c r="H144" s="6"/>
      <c r="I144" s="6"/>
      <c r="J144" s="6"/>
      <c r="K144" s="6"/>
      <c r="L144" s="6"/>
      <c r="M144" s="6"/>
      <c r="N144" s="6"/>
    </row>
    <row r="145" spans="1:14">
      <c r="A145" s="6" t="str">
        <f>IFERROR(VLOOKUP(D145,'Master sheet (Clientes)'!A$6:D$747,2,0)," ")</f>
        <v xml:space="preserve"> </v>
      </c>
      <c r="B145" s="6" t="str">
        <f>IFERROR(VLOOKUP(D145,'Master sheet (Clientes)'!A$6:D$747,3,0)," ")</f>
        <v xml:space="preserve"> </v>
      </c>
      <c r="C145" s="6" t="str">
        <f>IFERROR(VLOOKUP(D145,'Master sheet (Clientes)'!A$6:D$747,4,0)," ")</f>
        <v xml:space="preserve"> </v>
      </c>
      <c r="D145" s="6"/>
      <c r="E145" s="6"/>
      <c r="F145" s="6"/>
      <c r="G145" s="6"/>
      <c r="H145" s="6"/>
      <c r="I145" s="6"/>
      <c r="J145" s="6"/>
      <c r="K145" s="6"/>
      <c r="L145" s="6"/>
      <c r="M145" s="6"/>
      <c r="N145" s="6"/>
    </row>
    <row r="146" spans="1:14">
      <c r="A146" s="1"/>
      <c r="B146" s="1"/>
      <c r="C146" s="1"/>
      <c r="D146" s="1"/>
      <c r="E146" s="1"/>
      <c r="F146" s="1"/>
      <c r="G146" s="1"/>
      <c r="H146" s="1"/>
      <c r="I146" s="1"/>
      <c r="J146" s="1"/>
      <c r="K146" s="1"/>
      <c r="L146" s="1"/>
      <c r="M146" s="1"/>
      <c r="N146" s="1"/>
    </row>
    <row r="147" spans="1:14" s="1" customFormat="1" ht="47">
      <c r="A147" s="4" t="s">
        <v>8</v>
      </c>
      <c r="B147" s="4" t="s">
        <v>9</v>
      </c>
      <c r="C147" s="4" t="s">
        <v>10</v>
      </c>
      <c r="D147" s="4" t="s">
        <v>11</v>
      </c>
      <c r="E147" s="4" t="s">
        <v>12</v>
      </c>
      <c r="F147" s="4" t="s">
        <v>13</v>
      </c>
      <c r="G147" s="38" t="s">
        <v>14</v>
      </c>
      <c r="H147" s="4" t="s">
        <v>15</v>
      </c>
      <c r="I147" s="38" t="s">
        <v>16</v>
      </c>
      <c r="J147" s="38" t="s">
        <v>17</v>
      </c>
      <c r="K147" s="38" t="s">
        <v>18</v>
      </c>
      <c r="L147" s="38" t="s">
        <v>19</v>
      </c>
      <c r="M147" s="38" t="s">
        <v>20</v>
      </c>
      <c r="N147" s="38" t="s">
        <v>21</v>
      </c>
    </row>
    <row r="148" spans="1:14" ht="70.5">
      <c r="A148" s="6" t="str">
        <f>IFERROR(VLOOKUP(D148,'Master sheet (Clientes)'!A$6:D$747,2,0)," ")</f>
        <v>NJ</v>
      </c>
      <c r="B148" s="6" t="str">
        <f>IFERROR(VLOOKUP(D148,'Master sheet (Clientes)'!A$6:D$747,3,0)," ")</f>
        <v>Vivmark Residential</v>
      </c>
      <c r="C148" s="6" t="str">
        <f>IFERROR(VLOOKUP(D148,'Master sheet (Clientes)'!A$6:D$747,4,0)," ")</f>
        <v>N-O</v>
      </c>
      <c r="D148" s="6" t="s">
        <v>80</v>
      </c>
      <c r="E148" s="6">
        <v>410</v>
      </c>
      <c r="F148" s="6" t="s">
        <v>45</v>
      </c>
      <c r="G148" s="6" t="s">
        <v>853</v>
      </c>
      <c r="H148" s="6" t="s">
        <v>1280</v>
      </c>
      <c r="I148" s="6"/>
      <c r="J148" s="6" t="s">
        <v>48</v>
      </c>
      <c r="K148" s="6"/>
      <c r="L148" s="6"/>
      <c r="M148" s="6"/>
      <c r="N148" s="6"/>
    </row>
    <row r="149" spans="1:14" ht="70.5">
      <c r="A149" s="6" t="str">
        <f>IFERROR(VLOOKUP(D149,'Master sheet (Clientes)'!A$6:D$747,2,0)," ")</f>
        <v>NJ</v>
      </c>
      <c r="B149" s="6" t="str">
        <f>IFERROR(VLOOKUP(D149,'Master sheet (Clientes)'!A$6:D$747,3,0)," ")</f>
        <v>Greystar</v>
      </c>
      <c r="C149" s="6" t="str">
        <f>IFERROR(VLOOKUP(D149,'Master sheet (Clientes)'!A$6:D$747,4,0)," ")</f>
        <v>A-V</v>
      </c>
      <c r="D149" s="6" t="s">
        <v>361</v>
      </c>
      <c r="E149" s="6" t="s">
        <v>1445</v>
      </c>
      <c r="F149" s="6" t="s">
        <v>876</v>
      </c>
      <c r="G149" s="6" t="s">
        <v>853</v>
      </c>
      <c r="H149" s="6" t="s">
        <v>1280</v>
      </c>
      <c r="I149" s="77" t="s">
        <v>1450</v>
      </c>
      <c r="J149" s="6" t="s">
        <v>48</v>
      </c>
      <c r="K149" s="6"/>
      <c r="L149" s="6"/>
      <c r="M149" s="6"/>
      <c r="N149" s="6"/>
    </row>
    <row r="150" spans="1:14" ht="70.5">
      <c r="A150" s="6" t="str">
        <f>IFERROR(VLOOKUP(D150,'Master sheet (Clientes)'!A$6:D$747,2,0)," ")</f>
        <v>NJ</v>
      </c>
      <c r="B150" s="6" t="str">
        <f>IFERROR(VLOOKUP(D150,'Master sheet (Clientes)'!A$6:D$747,3,0)," ")</f>
        <v>Greystar</v>
      </c>
      <c r="C150" s="6" t="str">
        <f>IFERROR(VLOOKUP(D150,'Master sheet (Clientes)'!A$6:D$747,4,0)," ")</f>
        <v>A-V</v>
      </c>
      <c r="D150" s="6" t="s">
        <v>345</v>
      </c>
      <c r="E150" s="6">
        <v>333</v>
      </c>
      <c r="F150" s="6" t="s">
        <v>854</v>
      </c>
      <c r="G150" s="6" t="s">
        <v>853</v>
      </c>
      <c r="H150" s="6" t="s">
        <v>1280</v>
      </c>
      <c r="I150" s="77" t="s">
        <v>962</v>
      </c>
      <c r="J150" s="6" t="s">
        <v>48</v>
      </c>
      <c r="K150" s="6"/>
      <c r="L150" s="6"/>
      <c r="M150" s="6"/>
      <c r="N150" s="6"/>
    </row>
    <row r="151" spans="1:14" ht="70.5">
      <c r="A151" s="6" t="str">
        <f>IFERROR(VLOOKUP(D151,'Master sheet (Clientes)'!A$6:D$747,2,0)," ")</f>
        <v>NJ</v>
      </c>
      <c r="B151" s="6" t="str">
        <f>IFERROR(VLOOKUP(D151,'Master sheet (Clientes)'!A$6:D$747,3,0)," ")</f>
        <v>Greystar</v>
      </c>
      <c r="C151" s="6" t="str">
        <f>IFERROR(VLOOKUP(D151,'Master sheet (Clientes)'!A$6:D$747,4,0)," ")</f>
        <v>A-V</v>
      </c>
      <c r="D151" s="6" t="s">
        <v>345</v>
      </c>
      <c r="E151" s="6">
        <v>505</v>
      </c>
      <c r="F151" s="6" t="s">
        <v>45</v>
      </c>
      <c r="G151" s="6" t="s">
        <v>853</v>
      </c>
      <c r="H151" s="6" t="s">
        <v>1280</v>
      </c>
      <c r="I151" s="77" t="s">
        <v>962</v>
      </c>
      <c r="J151" s="6" t="s">
        <v>48</v>
      </c>
      <c r="K151" s="6"/>
      <c r="L151" s="6"/>
      <c r="M151" s="6"/>
      <c r="N151" s="6"/>
    </row>
    <row r="152" spans="1:14">
      <c r="A152" s="6" t="str">
        <f>IFERROR(VLOOKUP(D152,'Master sheet (Clientes)'!A$6:D$747,2,0)," ")</f>
        <v xml:space="preserve"> </v>
      </c>
      <c r="B152" s="6" t="str">
        <f>IFERROR(VLOOKUP(D152,'Master sheet (Clientes)'!A$6:D$747,3,0)," ")</f>
        <v xml:space="preserve"> </v>
      </c>
      <c r="C152" s="6" t="str">
        <f>IFERROR(VLOOKUP(D152,'Master sheet (Clientes)'!A$6:D$747,4,0)," ")</f>
        <v xml:space="preserve"> </v>
      </c>
      <c r="D152" s="6"/>
      <c r="E152" s="6"/>
      <c r="F152" s="6"/>
      <c r="G152" s="6"/>
      <c r="H152" s="6"/>
      <c r="I152" s="6"/>
      <c r="J152" s="6"/>
      <c r="K152" s="6"/>
      <c r="L152" s="6"/>
      <c r="M152" s="6"/>
      <c r="N152" s="6"/>
    </row>
    <row r="153" spans="1:14">
      <c r="A153" s="1"/>
      <c r="B153" s="1"/>
      <c r="C153" s="1"/>
      <c r="D153" s="1"/>
      <c r="E153" s="1"/>
      <c r="F153" s="1"/>
      <c r="G153" s="1"/>
      <c r="H153" s="1"/>
      <c r="I153" s="1"/>
      <c r="J153" s="1"/>
      <c r="K153" s="1"/>
      <c r="L153" s="1"/>
      <c r="M153" s="1"/>
      <c r="N153" s="1"/>
    </row>
    <row r="154" spans="1:14" s="1" customFormat="1" ht="47">
      <c r="A154" s="4" t="s">
        <v>8</v>
      </c>
      <c r="B154" s="4" t="s">
        <v>9</v>
      </c>
      <c r="C154" s="4" t="s">
        <v>10</v>
      </c>
      <c r="D154" s="4" t="s">
        <v>11</v>
      </c>
      <c r="E154" s="4" t="s">
        <v>12</v>
      </c>
      <c r="F154" s="4" t="s">
        <v>13</v>
      </c>
      <c r="G154" s="38" t="s">
        <v>14</v>
      </c>
      <c r="H154" s="4" t="s">
        <v>15</v>
      </c>
      <c r="I154" s="38" t="s">
        <v>16</v>
      </c>
      <c r="J154" s="38" t="s">
        <v>17</v>
      </c>
      <c r="K154" s="38" t="s">
        <v>18</v>
      </c>
      <c r="L154" s="38" t="s">
        <v>19</v>
      </c>
      <c r="M154" s="38" t="s">
        <v>20</v>
      </c>
      <c r="N154" s="38" t="s">
        <v>21</v>
      </c>
    </row>
    <row r="155" spans="1:14">
      <c r="A155" s="6" t="str">
        <f>IFERROR(VLOOKUP(D155,'Master sheet (Clientes)'!A$6:D$747,2,0)," ")</f>
        <v xml:space="preserve"> </v>
      </c>
      <c r="B155" s="6" t="str">
        <f>IFERROR(VLOOKUP(D155,'Master sheet (Clientes)'!A$6:D$747,3,0)," ")</f>
        <v xml:space="preserve"> </v>
      </c>
      <c r="C155" s="6" t="str">
        <f>IFERROR(VLOOKUP(D155,'Master sheet (Clientes)'!A$6:D$747,4,0)," ")</f>
        <v xml:space="preserve"> </v>
      </c>
      <c r="D155" s="6"/>
      <c r="E155" s="6"/>
      <c r="F155" s="6"/>
      <c r="G155" s="6"/>
      <c r="H155" s="6"/>
      <c r="I155" s="6"/>
      <c r="J155" s="6"/>
      <c r="K155" s="6"/>
      <c r="L155" s="6"/>
      <c r="M155" s="6"/>
      <c r="N155" s="6"/>
    </row>
    <row r="156" spans="1:14">
      <c r="A156" s="6" t="str">
        <f>IFERROR(VLOOKUP(D156,'Master sheet (Clientes)'!A$6:D$747,2,0)," ")</f>
        <v xml:space="preserve"> </v>
      </c>
      <c r="B156" s="6" t="str">
        <f>IFERROR(VLOOKUP(D156,'Master sheet (Clientes)'!A$6:D$747,3,0)," ")</f>
        <v xml:space="preserve"> </v>
      </c>
      <c r="C156" s="6" t="str">
        <f>IFERROR(VLOOKUP(D156,'Master sheet (Clientes)'!A$6:D$747,4,0)," ")</f>
        <v xml:space="preserve"> </v>
      </c>
      <c r="D156" s="6"/>
      <c r="E156" s="6"/>
      <c r="F156" s="6"/>
      <c r="G156" s="6"/>
      <c r="H156" s="6"/>
      <c r="I156" s="6"/>
      <c r="J156" s="6"/>
      <c r="K156" s="6"/>
      <c r="L156" s="6"/>
      <c r="M156" s="6"/>
      <c r="N156" s="6"/>
    </row>
    <row r="157" spans="1:14">
      <c r="A157" s="1"/>
      <c r="B157" s="1"/>
      <c r="C157" s="1"/>
      <c r="D157" s="1"/>
      <c r="E157" s="1"/>
      <c r="F157" s="1"/>
      <c r="G157" s="1"/>
      <c r="H157" s="1"/>
      <c r="I157" s="1"/>
      <c r="J157" s="1"/>
      <c r="K157" s="1"/>
      <c r="L157" s="1"/>
      <c r="M157" s="1"/>
      <c r="N157" s="1"/>
    </row>
    <row r="158" spans="1:14" ht="47">
      <c r="A158" s="4" t="s">
        <v>8</v>
      </c>
      <c r="B158" s="4" t="s">
        <v>9</v>
      </c>
      <c r="C158" s="4" t="s">
        <v>10</v>
      </c>
      <c r="D158" s="4" t="s">
        <v>11</v>
      </c>
      <c r="E158" s="4" t="s">
        <v>12</v>
      </c>
      <c r="F158" s="4" t="s">
        <v>13</v>
      </c>
      <c r="G158" s="38" t="s">
        <v>14</v>
      </c>
      <c r="H158" s="4" t="s">
        <v>22</v>
      </c>
      <c r="I158" s="38" t="s">
        <v>23</v>
      </c>
      <c r="J158" s="38" t="s">
        <v>17</v>
      </c>
      <c r="K158" s="38" t="s">
        <v>18</v>
      </c>
      <c r="L158" s="38" t="s">
        <v>19</v>
      </c>
      <c r="M158" s="38" t="s">
        <v>20</v>
      </c>
      <c r="N158" s="38" t="s">
        <v>21</v>
      </c>
    </row>
    <row r="159" spans="1:14">
      <c r="A159" s="21" t="str">
        <f>IFERROR(VLOOKUP(D159,'Master sheet (Clientes)'!A$6:D$747,2,0)," ")</f>
        <v xml:space="preserve"> </v>
      </c>
      <c r="B159" s="21" t="str">
        <f>IFERROR(VLOOKUP(D159,'Master sheet (Clientes)'!A$6:D$747,3,0)," ")</f>
        <v xml:space="preserve"> </v>
      </c>
      <c r="C159" s="21" t="str">
        <f>IFERROR(VLOOKUP(D159,'Master sheet (Clientes)'!A$6:D$747,4,0)," ")</f>
        <v xml:space="preserve"> </v>
      </c>
      <c r="D159" s="21"/>
      <c r="E159" s="53"/>
      <c r="F159" s="21"/>
      <c r="G159" s="53"/>
      <c r="H159" s="21"/>
      <c r="I159" s="53"/>
      <c r="J159" s="21"/>
      <c r="K159" s="21"/>
      <c r="L159" s="21"/>
      <c r="M159" s="21"/>
      <c r="N159" s="21"/>
    </row>
    <row r="160" spans="1:14">
      <c r="A160" s="1"/>
      <c r="B160" s="1"/>
      <c r="C160" s="1"/>
      <c r="D160" s="1"/>
      <c r="E160" s="1"/>
      <c r="F160" s="1"/>
      <c r="G160" s="1"/>
      <c r="H160" s="1"/>
      <c r="I160" s="1"/>
      <c r="K160" s="1"/>
      <c r="L160" s="1"/>
      <c r="M160" s="1"/>
      <c r="N160" s="1"/>
    </row>
    <row r="161" spans="1:20" s="1" customFormat="1" ht="37" customHeight="1">
      <c r="A161" s="45"/>
      <c r="B161" s="45"/>
      <c r="C161" s="45"/>
      <c r="D161" s="131" t="str">
        <f>A1</f>
        <v>BuildCare SCHEDULE SATURDAY, SEPTEMBER 05 / 2026</v>
      </c>
      <c r="E161" s="131"/>
      <c r="F161" s="131"/>
      <c r="G161" s="131"/>
      <c r="H161" s="131"/>
      <c r="I161" s="131"/>
      <c r="J161" s="131"/>
      <c r="K161" s="131"/>
      <c r="L161" s="131"/>
      <c r="M161" s="45"/>
      <c r="N161" s="32"/>
    </row>
    <row r="162" spans="1:20">
      <c r="A162" s="1"/>
      <c r="B162" s="1"/>
      <c r="C162" s="1"/>
      <c r="D162" s="1"/>
      <c r="E162" s="1"/>
      <c r="F162" s="1"/>
      <c r="G162" s="1"/>
      <c r="H162" s="1"/>
      <c r="I162" s="1"/>
      <c r="K162" s="1"/>
      <c r="L162" s="1"/>
      <c r="M162" s="1"/>
      <c r="N162" s="1"/>
    </row>
    <row r="163" spans="1:20" ht="28.5">
      <c r="A163" s="34"/>
      <c r="B163" s="34"/>
      <c r="C163" s="34"/>
      <c r="D163" s="126" t="s">
        <v>32</v>
      </c>
      <c r="E163" s="126"/>
      <c r="F163" s="126"/>
      <c r="G163" s="126"/>
      <c r="H163" s="126"/>
      <c r="I163" s="126"/>
      <c r="J163" s="126"/>
      <c r="K163" s="126"/>
      <c r="L163" s="126"/>
      <c r="M163" s="18"/>
      <c r="N163" s="18"/>
    </row>
    <row r="164" spans="1:20" s="5" customFormat="1">
      <c r="A164" s="3"/>
      <c r="B164" s="3"/>
      <c r="C164" s="3"/>
      <c r="D164" s="3"/>
      <c r="E164" s="3"/>
      <c r="F164" s="3"/>
      <c r="G164" s="3"/>
      <c r="H164" s="3"/>
      <c r="I164" s="3"/>
      <c r="J164" s="3"/>
      <c r="K164" s="1"/>
      <c r="L164" s="1"/>
      <c r="M164" s="1"/>
      <c r="N164" s="1"/>
      <c r="O164" s="35"/>
      <c r="P164" s="35"/>
      <c r="Q164" s="35"/>
    </row>
    <row r="165" spans="1:20" s="5" customFormat="1" ht="26">
      <c r="A165" s="33"/>
      <c r="B165" s="33"/>
      <c r="C165" s="33"/>
      <c r="D165" s="127" t="s">
        <v>33</v>
      </c>
      <c r="E165" s="127"/>
      <c r="F165" s="127"/>
      <c r="G165" s="127"/>
      <c r="H165" s="127"/>
      <c r="I165" s="127"/>
      <c r="J165" s="127"/>
      <c r="K165" s="127"/>
      <c r="L165" s="127"/>
      <c r="M165" s="16"/>
      <c r="N165" s="16"/>
      <c r="O165" s="35"/>
      <c r="P165" s="35"/>
      <c r="Q165" s="35"/>
    </row>
    <row r="166" spans="1:20" s="5" customFormat="1" ht="26">
      <c r="A166" s="43"/>
      <c r="B166" s="43"/>
      <c r="C166" s="43"/>
      <c r="D166" s="128" t="s">
        <v>34</v>
      </c>
      <c r="E166" s="128"/>
      <c r="F166" s="128"/>
      <c r="G166" s="128"/>
      <c r="H166" s="128"/>
      <c r="I166" s="128"/>
      <c r="J166" s="128"/>
      <c r="K166" s="128"/>
      <c r="L166" s="128"/>
      <c r="M166" s="44"/>
      <c r="N166" s="44"/>
      <c r="O166" s="35"/>
      <c r="P166" s="35"/>
      <c r="Q166" s="35"/>
    </row>
    <row r="167" spans="1:20" s="1" customFormat="1"/>
    <row r="168" spans="1:20" s="1" customFormat="1" ht="26">
      <c r="A168" s="17"/>
      <c r="B168" s="17"/>
      <c r="C168" s="17"/>
      <c r="D168" s="125" t="s">
        <v>35</v>
      </c>
      <c r="E168" s="125"/>
      <c r="F168" s="125"/>
      <c r="G168" s="125"/>
      <c r="H168" s="125"/>
      <c r="I168" s="125"/>
      <c r="J168" s="125"/>
      <c r="K168" s="125"/>
      <c r="L168" s="125"/>
      <c r="M168" s="15"/>
      <c r="N168" s="15"/>
    </row>
    <row r="169" spans="1:20" s="1" customFormat="1" ht="26" customHeight="1">
      <c r="A169" s="46"/>
      <c r="B169" s="46"/>
      <c r="C169" s="46"/>
      <c r="D169" s="125" t="s">
        <v>36</v>
      </c>
      <c r="E169" s="125"/>
      <c r="F169" s="125"/>
      <c r="G169" s="125"/>
      <c r="H169" s="125"/>
      <c r="I169" s="125"/>
      <c r="J169" s="17"/>
      <c r="K169" s="17"/>
      <c r="L169" s="17"/>
      <c r="M169" s="15"/>
      <c r="N169" s="15"/>
    </row>
    <row r="170" spans="1:20" s="1" customFormat="1" ht="26">
      <c r="A170" s="17"/>
      <c r="B170" s="17"/>
      <c r="C170" s="17"/>
      <c r="D170" s="125" t="s">
        <v>4</v>
      </c>
      <c r="E170" s="125"/>
      <c r="F170" s="125"/>
      <c r="G170" s="125"/>
      <c r="H170" s="125"/>
      <c r="I170" s="125"/>
      <c r="J170" s="17"/>
      <c r="K170" s="17"/>
      <c r="L170" s="17"/>
      <c r="M170" s="15"/>
      <c r="N170" s="15"/>
    </row>
    <row r="171" spans="1:20" s="1" customFormat="1">
      <c r="A171" s="3"/>
      <c r="B171" s="3"/>
      <c r="C171" s="3"/>
      <c r="D171" s="3"/>
      <c r="E171" s="3"/>
      <c r="F171" s="3"/>
      <c r="G171" s="3"/>
      <c r="H171" s="3"/>
      <c r="I171" s="3"/>
      <c r="J171" s="3"/>
    </row>
    <row r="172" spans="1:20" s="1" customFormat="1" ht="47">
      <c r="A172" s="4" t="s">
        <v>8</v>
      </c>
      <c r="B172" s="4" t="s">
        <v>9</v>
      </c>
      <c r="C172" s="4" t="s">
        <v>10</v>
      </c>
      <c r="D172" s="4" t="s">
        <v>11</v>
      </c>
      <c r="E172" s="4" t="s">
        <v>12</v>
      </c>
      <c r="F172" s="4" t="s">
        <v>13</v>
      </c>
      <c r="G172" s="38" t="s">
        <v>14</v>
      </c>
      <c r="H172" s="4" t="s">
        <v>15</v>
      </c>
      <c r="I172" s="38" t="s">
        <v>16</v>
      </c>
      <c r="J172" s="38" t="s">
        <v>17</v>
      </c>
      <c r="K172" s="38" t="s">
        <v>18</v>
      </c>
      <c r="L172" s="38" t="s">
        <v>19</v>
      </c>
      <c r="M172" s="38" t="s">
        <v>20</v>
      </c>
      <c r="N172" s="38" t="s">
        <v>21</v>
      </c>
    </row>
    <row r="173" spans="1:20" s="12" customFormat="1">
      <c r="A173" s="6" t="str">
        <f>IFERROR(VLOOKUP(D173,'Master sheet (Clientes)'!A$6:D$747,2,0)," ")</f>
        <v xml:space="preserve"> </v>
      </c>
      <c r="B173" s="6" t="str">
        <f>IFERROR(VLOOKUP(D173,'Master sheet (Clientes)'!A$6:D$747,3,0)," ")</f>
        <v xml:space="preserve"> </v>
      </c>
      <c r="C173" s="6" t="str">
        <f>IFERROR(VLOOKUP(D173,'Master sheet (Clientes)'!A$6:D$747,4,0)," ")</f>
        <v xml:space="preserve"> </v>
      </c>
      <c r="D173" s="6"/>
      <c r="E173" s="6"/>
      <c r="F173" s="6"/>
      <c r="G173" s="6"/>
      <c r="H173" s="6"/>
      <c r="I173" s="6"/>
      <c r="J173" s="6"/>
      <c r="K173" s="6"/>
      <c r="L173" s="6"/>
      <c r="M173" s="6"/>
      <c r="N173" s="6"/>
      <c r="O173" s="1"/>
      <c r="P173" s="1"/>
      <c r="Q173" s="1"/>
      <c r="R173" s="11"/>
      <c r="S173" s="11"/>
      <c r="T173" s="11"/>
    </row>
    <row r="174" spans="1:20" s="12" customFormat="1">
      <c r="A174" s="6" t="str">
        <f>IFERROR(VLOOKUP(D174,'Master sheet (Clientes)'!A$6:D$747,2,0)," ")</f>
        <v xml:space="preserve"> </v>
      </c>
      <c r="B174" s="6" t="str">
        <f>IFERROR(VLOOKUP(D174,'Master sheet (Clientes)'!A$6:D$747,3,0)," ")</f>
        <v xml:space="preserve"> </v>
      </c>
      <c r="C174" s="6" t="str">
        <f>IFERROR(VLOOKUP(D174,'Master sheet (Clientes)'!A$6:D$747,4,0)," ")</f>
        <v xml:space="preserve"> </v>
      </c>
      <c r="D174" s="6"/>
      <c r="E174" s="6"/>
      <c r="F174" s="6"/>
      <c r="G174" s="6"/>
      <c r="H174" s="6"/>
      <c r="I174" s="6"/>
      <c r="J174" s="6"/>
      <c r="K174" s="6"/>
      <c r="L174" s="6"/>
      <c r="M174" s="6"/>
      <c r="N174" s="6"/>
      <c r="O174" s="1"/>
      <c r="P174" s="1"/>
      <c r="Q174" s="1"/>
      <c r="R174" s="11"/>
      <c r="S174" s="11"/>
      <c r="T174" s="11"/>
    </row>
    <row r="175" spans="1:20" s="9" customFormat="1">
      <c r="A175" s="1"/>
      <c r="B175" s="1"/>
      <c r="C175" s="1"/>
      <c r="D175" s="1"/>
      <c r="E175" s="1"/>
      <c r="F175" s="1"/>
      <c r="G175" s="1"/>
      <c r="H175" s="1"/>
      <c r="I175" s="1"/>
      <c r="J175" s="1"/>
      <c r="K175" s="1"/>
      <c r="L175" s="1"/>
      <c r="M175" s="1"/>
      <c r="N175" s="1"/>
      <c r="O175" s="13"/>
      <c r="P175" s="13"/>
      <c r="Q175" s="13"/>
    </row>
    <row r="176" spans="1:20" s="1" customFormat="1" ht="47">
      <c r="A176" s="4" t="s">
        <v>8</v>
      </c>
      <c r="B176" s="4" t="s">
        <v>9</v>
      </c>
      <c r="C176" s="4" t="s">
        <v>10</v>
      </c>
      <c r="D176" s="4" t="s">
        <v>11</v>
      </c>
      <c r="E176" s="4" t="s">
        <v>12</v>
      </c>
      <c r="F176" s="4" t="s">
        <v>13</v>
      </c>
      <c r="G176" s="38" t="s">
        <v>14</v>
      </c>
      <c r="H176" s="4" t="s">
        <v>15</v>
      </c>
      <c r="I176" s="38" t="s">
        <v>16</v>
      </c>
      <c r="J176" s="38" t="s">
        <v>17</v>
      </c>
      <c r="K176" s="38" t="s">
        <v>18</v>
      </c>
      <c r="L176" s="38" t="s">
        <v>19</v>
      </c>
      <c r="M176" s="38" t="s">
        <v>20</v>
      </c>
      <c r="N176" s="38" t="s">
        <v>21</v>
      </c>
    </row>
    <row r="177" spans="1:20" s="12" customFormat="1">
      <c r="A177" s="6" t="str">
        <f>IFERROR(VLOOKUP(D177,'Master sheet (Clientes)'!A$6:D$747,2,0)," ")</f>
        <v xml:space="preserve"> </v>
      </c>
      <c r="B177" s="6" t="str">
        <f>IFERROR(VLOOKUP(D177,'Master sheet (Clientes)'!A$6:D$747,3,0)," ")</f>
        <v xml:space="preserve"> </v>
      </c>
      <c r="C177" s="6" t="str">
        <f>IFERROR(VLOOKUP(D177,'Master sheet (Clientes)'!A$6:D$747,4,0)," ")</f>
        <v xml:space="preserve"> </v>
      </c>
      <c r="D177" s="6"/>
      <c r="E177" s="6"/>
      <c r="F177" s="6"/>
      <c r="G177" s="6"/>
      <c r="H177" s="6"/>
      <c r="I177" s="6"/>
      <c r="J177" s="6"/>
      <c r="K177" s="6"/>
      <c r="L177" s="6"/>
      <c r="M177" s="6"/>
      <c r="N177" s="6"/>
      <c r="O177" s="1"/>
      <c r="P177" s="1"/>
      <c r="Q177" s="1"/>
      <c r="R177" s="11"/>
      <c r="S177" s="11"/>
      <c r="T177" s="11"/>
    </row>
    <row r="178" spans="1:20" s="12" customFormat="1">
      <c r="A178" s="6" t="str">
        <f>IFERROR(VLOOKUP(D178,'Master sheet (Clientes)'!A$6:D$747,2,0)," ")</f>
        <v xml:space="preserve"> </v>
      </c>
      <c r="B178" s="6" t="str">
        <f>IFERROR(VLOOKUP(D178,'Master sheet (Clientes)'!A$6:D$747,3,0)," ")</f>
        <v xml:space="preserve"> </v>
      </c>
      <c r="C178" s="6" t="str">
        <f>IFERROR(VLOOKUP(D178,'Master sheet (Clientes)'!A$6:D$747,4,0)," ")</f>
        <v xml:space="preserve"> </v>
      </c>
      <c r="D178" s="6"/>
      <c r="E178" s="6"/>
      <c r="F178" s="6"/>
      <c r="G178" s="6"/>
      <c r="H178" s="6"/>
      <c r="I178" s="6"/>
      <c r="J178" s="6"/>
      <c r="K178" s="6"/>
      <c r="L178" s="6"/>
      <c r="M178" s="6"/>
      <c r="N178" s="6"/>
      <c r="O178" s="1"/>
      <c r="P178" s="1"/>
      <c r="Q178" s="1"/>
      <c r="R178" s="11"/>
      <c r="S178" s="11"/>
      <c r="T178" s="11"/>
    </row>
    <row r="179" spans="1:20" s="9" customFormat="1">
      <c r="A179" s="1"/>
      <c r="B179" s="1"/>
      <c r="C179" s="1"/>
      <c r="D179" s="1"/>
      <c r="E179" s="1"/>
      <c r="F179" s="1"/>
      <c r="G179" s="1"/>
      <c r="H179" s="1"/>
      <c r="I179" s="1"/>
      <c r="J179" s="1"/>
      <c r="K179" s="1"/>
      <c r="L179" s="1"/>
      <c r="M179" s="1"/>
      <c r="N179" s="1"/>
      <c r="O179" s="13"/>
      <c r="P179" s="13"/>
      <c r="Q179" s="13"/>
    </row>
    <row r="180" spans="1:20" s="1" customFormat="1" ht="47">
      <c r="A180" s="4" t="s">
        <v>8</v>
      </c>
      <c r="B180" s="4" t="s">
        <v>9</v>
      </c>
      <c r="C180" s="4" t="s">
        <v>10</v>
      </c>
      <c r="D180" s="4" t="s">
        <v>11</v>
      </c>
      <c r="E180" s="4" t="s">
        <v>12</v>
      </c>
      <c r="F180" s="4" t="s">
        <v>13</v>
      </c>
      <c r="G180" s="38" t="s">
        <v>14</v>
      </c>
      <c r="H180" s="4" t="s">
        <v>15</v>
      </c>
      <c r="I180" s="38" t="s">
        <v>16</v>
      </c>
      <c r="J180" s="38" t="s">
        <v>17</v>
      </c>
      <c r="K180" s="38" t="s">
        <v>18</v>
      </c>
      <c r="L180" s="38" t="s">
        <v>19</v>
      </c>
      <c r="M180" s="38" t="s">
        <v>20</v>
      </c>
      <c r="N180" s="38" t="s">
        <v>21</v>
      </c>
    </row>
    <row r="181" spans="1:20" s="12" customFormat="1">
      <c r="A181" s="6" t="str">
        <f>IFERROR(VLOOKUP(D181,'Master sheet (Clientes)'!A$6:D$747,2,0)," ")</f>
        <v xml:space="preserve"> </v>
      </c>
      <c r="B181" s="6" t="str">
        <f>IFERROR(VLOOKUP(D181,'Master sheet (Clientes)'!A$6:D$747,3,0)," ")</f>
        <v xml:space="preserve"> </v>
      </c>
      <c r="C181" s="6" t="str">
        <f>IFERROR(VLOOKUP(D181,'Master sheet (Clientes)'!A$6:D$747,4,0)," ")</f>
        <v xml:space="preserve"> </v>
      </c>
      <c r="D181" s="6"/>
      <c r="E181" s="6"/>
      <c r="F181" s="6"/>
      <c r="G181" s="6"/>
      <c r="H181" s="6"/>
      <c r="I181" s="6"/>
      <c r="J181" s="6"/>
      <c r="K181" s="6"/>
      <c r="L181" s="6"/>
      <c r="M181" s="6"/>
      <c r="N181" s="6"/>
      <c r="O181" s="1"/>
      <c r="P181" s="1"/>
      <c r="Q181" s="1"/>
      <c r="R181" s="11"/>
      <c r="S181" s="11"/>
      <c r="T181" s="11"/>
    </row>
    <row r="182" spans="1:20" s="12" customFormat="1">
      <c r="A182" s="6" t="str">
        <f>IFERROR(VLOOKUP(D182,'Master sheet (Clientes)'!A$6:D$747,2,0)," ")</f>
        <v xml:space="preserve"> </v>
      </c>
      <c r="B182" s="6" t="str">
        <f>IFERROR(VLOOKUP(D182,'Master sheet (Clientes)'!A$6:D$747,3,0)," ")</f>
        <v xml:space="preserve"> </v>
      </c>
      <c r="C182" s="6" t="str">
        <f>IFERROR(VLOOKUP(D182,'Master sheet (Clientes)'!A$6:D$747,4,0)," ")</f>
        <v xml:space="preserve"> </v>
      </c>
      <c r="D182" s="6"/>
      <c r="E182" s="6"/>
      <c r="F182" s="6"/>
      <c r="G182" s="6"/>
      <c r="H182" s="6"/>
      <c r="I182" s="6"/>
      <c r="J182" s="6"/>
      <c r="K182" s="6"/>
      <c r="L182" s="6"/>
      <c r="M182" s="6"/>
      <c r="N182" s="6"/>
      <c r="O182" s="1"/>
      <c r="P182" s="1"/>
      <c r="Q182" s="1"/>
      <c r="R182" s="11"/>
      <c r="S182" s="11"/>
      <c r="T182" s="11"/>
    </row>
    <row r="183" spans="1:20">
      <c r="A183" s="1"/>
      <c r="B183" s="1"/>
      <c r="C183" s="1"/>
      <c r="D183" s="1"/>
      <c r="E183" s="1"/>
      <c r="F183" s="1"/>
      <c r="G183" s="1"/>
      <c r="H183" s="1"/>
      <c r="I183" s="1"/>
      <c r="J183" s="1"/>
      <c r="K183" s="1"/>
      <c r="L183" s="1"/>
      <c r="M183" s="1"/>
      <c r="N183" s="1"/>
    </row>
    <row r="184" spans="1:20" ht="47">
      <c r="A184" s="4" t="s">
        <v>8</v>
      </c>
      <c r="B184" s="4" t="s">
        <v>9</v>
      </c>
      <c r="C184" s="4" t="s">
        <v>10</v>
      </c>
      <c r="D184" s="4" t="s">
        <v>11</v>
      </c>
      <c r="E184" s="4" t="s">
        <v>12</v>
      </c>
      <c r="F184" s="4" t="s">
        <v>13</v>
      </c>
      <c r="G184" s="38" t="s">
        <v>14</v>
      </c>
      <c r="H184" s="4" t="s">
        <v>22</v>
      </c>
      <c r="I184" s="38" t="s">
        <v>23</v>
      </c>
      <c r="J184" s="38" t="s">
        <v>17</v>
      </c>
      <c r="K184" s="38" t="s">
        <v>18</v>
      </c>
      <c r="L184" s="38" t="s">
        <v>19</v>
      </c>
      <c r="M184" s="38" t="s">
        <v>20</v>
      </c>
      <c r="N184" s="38" t="s">
        <v>21</v>
      </c>
    </row>
    <row r="185" spans="1:20">
      <c r="A185" s="21" t="str">
        <f>IFERROR(VLOOKUP(D185,'Master sheet (Clientes)'!A$6:D$747,2,0)," ")</f>
        <v xml:space="preserve"> </v>
      </c>
      <c r="B185" s="21" t="str">
        <f>IFERROR(VLOOKUP(D185,'Master sheet (Clientes)'!A$6:D$747,3,0)," ")</f>
        <v xml:space="preserve"> </v>
      </c>
      <c r="C185" s="21" t="str">
        <f>IFERROR(VLOOKUP(D185,'Master sheet (Clientes)'!A$6:D$747,4,0)," ")</f>
        <v xml:space="preserve"> </v>
      </c>
      <c r="D185" s="21"/>
      <c r="E185" s="53"/>
      <c r="F185" s="21"/>
      <c r="G185" s="53"/>
      <c r="H185" s="21"/>
      <c r="I185" s="53"/>
      <c r="J185" s="21"/>
      <c r="K185" s="21"/>
      <c r="L185" s="21"/>
      <c r="M185" s="21"/>
      <c r="N185" s="21"/>
    </row>
    <row r="186" spans="1:20">
      <c r="A186" s="1"/>
      <c r="B186" s="1"/>
      <c r="C186" s="1"/>
      <c r="D186" s="1"/>
      <c r="E186" s="1"/>
      <c r="F186" s="1"/>
      <c r="G186" s="1"/>
      <c r="H186" s="1"/>
      <c r="I186" s="1"/>
      <c r="K186" s="1"/>
      <c r="L186" s="1"/>
      <c r="M186" s="1"/>
      <c r="N186" s="1"/>
    </row>
    <row r="187" spans="1:20">
      <c r="A187" s="1"/>
      <c r="B187" s="1"/>
      <c r="C187" s="1"/>
      <c r="D187" s="1"/>
      <c r="E187" s="1"/>
      <c r="F187" s="1"/>
      <c r="G187" s="1"/>
      <c r="H187" s="1"/>
      <c r="I187" s="1"/>
      <c r="K187" s="1"/>
      <c r="L187" s="1"/>
      <c r="M187" s="1"/>
      <c r="N187" s="1"/>
    </row>
    <row r="188" spans="1:20" s="5" customFormat="1">
      <c r="A188" s="135"/>
      <c r="B188" s="135"/>
      <c r="C188" s="135"/>
      <c r="D188" s="30" t="s">
        <v>37</v>
      </c>
      <c r="E188" s="30"/>
      <c r="F188" s="30"/>
      <c r="G188" s="30"/>
      <c r="H188" s="2"/>
      <c r="I188" s="3"/>
      <c r="J188" s="3"/>
      <c r="K188" s="2"/>
      <c r="L188" s="2"/>
      <c r="M188" s="3"/>
      <c r="N188" s="7"/>
      <c r="O188" s="35"/>
      <c r="P188" s="35"/>
      <c r="Q188" s="35"/>
    </row>
    <row r="189" spans="1:20" s="5" customFormat="1">
      <c r="A189" s="136"/>
      <c r="B189" s="136"/>
      <c r="C189" s="136"/>
      <c r="D189" s="137" t="s">
        <v>38</v>
      </c>
      <c r="E189" s="137"/>
      <c r="F189" s="137"/>
      <c r="G189" s="2"/>
      <c r="H189" s="2"/>
      <c r="I189" s="3"/>
      <c r="J189" s="3"/>
      <c r="K189" s="2"/>
      <c r="L189" s="2"/>
      <c r="M189" s="3"/>
      <c r="N189" s="7"/>
      <c r="O189" s="35"/>
      <c r="P189" s="35"/>
      <c r="Q189" s="35"/>
    </row>
    <row r="190" spans="1:20" s="5" customFormat="1">
      <c r="A190" s="138"/>
      <c r="B190" s="138"/>
      <c r="C190" s="138"/>
      <c r="D190" s="139" t="s">
        <v>39</v>
      </c>
      <c r="E190" s="139"/>
      <c r="F190" s="139"/>
      <c r="G190" s="2"/>
      <c r="H190" s="2"/>
      <c r="I190" s="3"/>
      <c r="J190" s="3"/>
      <c r="K190" s="2"/>
      <c r="L190" s="2"/>
      <c r="M190" s="3"/>
      <c r="N190" s="7"/>
      <c r="O190" s="35"/>
      <c r="P190" s="35"/>
      <c r="Q190" s="35"/>
    </row>
    <row r="191" spans="1:20" s="5" customFormat="1">
      <c r="A191" s="132"/>
      <c r="B191" s="132"/>
      <c r="C191" s="132"/>
      <c r="D191" s="133" t="s">
        <v>40</v>
      </c>
      <c r="E191" s="133"/>
      <c r="F191" s="133"/>
      <c r="G191" s="2"/>
      <c r="H191" s="2"/>
      <c r="I191" s="3"/>
      <c r="J191" s="3"/>
      <c r="K191" s="2"/>
      <c r="L191" s="2"/>
      <c r="M191" s="3"/>
      <c r="N191" s="7"/>
      <c r="O191" s="35"/>
      <c r="P191" s="35"/>
      <c r="Q191" s="35"/>
    </row>
    <row r="192" spans="1:20" s="5" customFormat="1">
      <c r="A192" s="134"/>
      <c r="B192" s="134"/>
      <c r="C192" s="134"/>
      <c r="D192" s="28" t="s">
        <v>41</v>
      </c>
      <c r="E192" s="29"/>
      <c r="F192" s="29"/>
      <c r="G192" s="30"/>
      <c r="H192" s="2"/>
      <c r="I192" s="3"/>
      <c r="J192" s="3"/>
      <c r="K192" s="2"/>
      <c r="L192" s="2"/>
      <c r="M192" s="3"/>
      <c r="N192" s="7"/>
      <c r="O192" s="35"/>
      <c r="P192" s="35"/>
      <c r="Q192" s="35"/>
    </row>
    <row r="193" spans="3:8">
      <c r="C193" s="30"/>
      <c r="D193" s="30"/>
      <c r="E193" s="30"/>
      <c r="F193" s="30"/>
      <c r="G193" s="30"/>
      <c r="H193" s="30"/>
    </row>
    <row r="194" spans="3:8">
      <c r="C194" s="28"/>
      <c r="E194" s="28"/>
      <c r="F194" s="29"/>
      <c r="G194" s="29"/>
      <c r="H194" s="30"/>
    </row>
  </sheetData>
  <mergeCells count="33">
    <mergeCell ref="A192:C192"/>
    <mergeCell ref="A189:C189"/>
    <mergeCell ref="D189:F189"/>
    <mergeCell ref="A190:C190"/>
    <mergeCell ref="D190:F190"/>
    <mergeCell ref="A191:C191"/>
    <mergeCell ref="D191:F191"/>
    <mergeCell ref="D166:L166"/>
    <mergeCell ref="D168:L168"/>
    <mergeCell ref="D169:I169"/>
    <mergeCell ref="D170:I170"/>
    <mergeCell ref="A188:C188"/>
    <mergeCell ref="D131:L131"/>
    <mergeCell ref="D132:L132"/>
    <mergeCell ref="D161:L161"/>
    <mergeCell ref="D163:L163"/>
    <mergeCell ref="D165:L165"/>
    <mergeCell ref="A7:L7"/>
    <mergeCell ref="D108:L108"/>
    <mergeCell ref="A9:L9"/>
    <mergeCell ref="D10:L10"/>
    <mergeCell ref="D12:L12"/>
    <mergeCell ref="D13:L13"/>
    <mergeCell ref="D46:L46"/>
    <mergeCell ref="D47:L47"/>
    <mergeCell ref="D77:L77"/>
    <mergeCell ref="D78:L78"/>
    <mergeCell ref="D107:L107"/>
    <mergeCell ref="A1:M1"/>
    <mergeCell ref="A3:L3"/>
    <mergeCell ref="A4:L4"/>
    <mergeCell ref="A5:L5"/>
    <mergeCell ref="A6:L6"/>
  </mergeCells>
  <phoneticPr fontId="12" type="noConversion"/>
  <pageMargins left="0.7" right="0.7" top="0.75" bottom="0.75" header="0.3" footer="0.3"/>
  <pageSetup scale="30"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112CB483-D01B-2F45-B19A-E6DD0DD71CD4}">
          <x14:formula1>
            <xm:f>'Master sheet (Clientes)'!$A$6:$A$654</xm:f>
          </x14:formula1>
          <xm:sqref>D181:D182 D51:D58 D105 D185 D32:D36 D81:D83 D75 D155:D156 D144:D145 D91:D97 D129 D86:D88 D125:D126 D117:D118 D159 D111:D114 D177:D178 D69:D72 D100:D102 D44 D27:D29 D173:D174 D121:D122 D17:D23 D39:D41 D135:D141 D148:D152 D61:D62 D65:D66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E6691-AEB3-0643-9D7B-AC210F922602}">
  <dimension ref="A1:T79"/>
  <sheetViews>
    <sheetView topLeftCell="A30" zoomScale="60" zoomScaleNormal="60" workbookViewId="0">
      <selection activeCell="H31" sqref="H31"/>
    </sheetView>
  </sheetViews>
  <sheetFormatPr baseColWidth="10" defaultColWidth="10.83203125" defaultRowHeight="23.5"/>
  <cols>
    <col min="1" max="1" width="8" style="2" customWidth="1"/>
    <col min="2" max="2" width="27.33203125" style="2" customWidth="1"/>
    <col min="3" max="3" width="9.5" style="2" customWidth="1"/>
    <col min="4" max="4" width="43.83203125" style="2" customWidth="1"/>
    <col min="5" max="7" width="18.83203125" style="2" customWidth="1"/>
    <col min="8" max="8" width="153.33203125" style="2" customWidth="1"/>
    <col min="9" max="9" width="40.83203125" style="2" customWidth="1"/>
    <col min="10" max="10" width="24.5" style="3" bestFit="1" customWidth="1"/>
    <col min="11" max="12" width="23.1640625" style="3" customWidth="1"/>
    <col min="13" max="13" width="40.83203125" style="2" customWidth="1"/>
    <col min="14" max="14" width="22.83203125" style="3" customWidth="1"/>
    <col min="15" max="17" width="27.1640625" style="1" customWidth="1"/>
    <col min="18" max="16384" width="10.83203125" style="2"/>
  </cols>
  <sheetData>
    <row r="1" spans="1:20" s="1" customFormat="1" ht="36">
      <c r="A1" s="129" t="s">
        <v>52</v>
      </c>
      <c r="B1" s="129"/>
      <c r="C1" s="129"/>
      <c r="D1" s="129"/>
      <c r="E1" s="129"/>
      <c r="F1" s="129"/>
      <c r="G1" s="129"/>
      <c r="H1" s="129"/>
      <c r="I1" s="129"/>
      <c r="J1" s="129"/>
      <c r="K1" s="129"/>
      <c r="L1" s="129"/>
      <c r="M1" s="129"/>
      <c r="N1" s="32"/>
    </row>
    <row r="2" spans="1:20" s="1" customFormat="1"/>
    <row r="3" spans="1:20" s="1" customFormat="1" ht="26">
      <c r="A3" s="125" t="s">
        <v>1</v>
      </c>
      <c r="B3" s="125"/>
      <c r="C3" s="125"/>
      <c r="D3" s="125"/>
      <c r="E3" s="125"/>
      <c r="F3" s="125"/>
      <c r="G3" s="125"/>
      <c r="H3" s="125"/>
      <c r="I3" s="125"/>
      <c r="J3" s="125"/>
      <c r="K3" s="125"/>
      <c r="L3" s="125"/>
      <c r="M3" s="15"/>
      <c r="N3" s="15"/>
    </row>
    <row r="4" spans="1:20" s="1" customFormat="1" ht="26" customHeight="1">
      <c r="A4" s="130" t="s">
        <v>2</v>
      </c>
      <c r="B4" s="130"/>
      <c r="C4" s="130"/>
      <c r="D4" s="125"/>
      <c r="E4" s="125"/>
      <c r="F4" s="125"/>
      <c r="G4" s="125"/>
      <c r="H4" s="125"/>
      <c r="I4" s="125"/>
      <c r="J4" s="125"/>
      <c r="K4" s="125"/>
      <c r="L4" s="125"/>
      <c r="M4" s="15"/>
      <c r="N4" s="15"/>
    </row>
    <row r="5" spans="1:20" s="1" customFormat="1" ht="26" customHeight="1">
      <c r="A5" s="130" t="s">
        <v>3</v>
      </c>
      <c r="B5" s="130"/>
      <c r="C5" s="130"/>
      <c r="D5" s="125"/>
      <c r="E5" s="125"/>
      <c r="F5" s="125"/>
      <c r="G5" s="125"/>
      <c r="H5" s="125"/>
      <c r="I5" s="125"/>
      <c r="J5" s="125"/>
      <c r="K5" s="125"/>
      <c r="L5" s="125"/>
      <c r="M5" s="15"/>
      <c r="N5" s="15"/>
    </row>
    <row r="6" spans="1:20" s="1" customFormat="1" ht="26">
      <c r="A6" s="125" t="s">
        <v>4</v>
      </c>
      <c r="B6" s="125"/>
      <c r="C6" s="125"/>
      <c r="D6" s="125"/>
      <c r="E6" s="125"/>
      <c r="F6" s="125"/>
      <c r="G6" s="125"/>
      <c r="H6" s="125"/>
      <c r="I6" s="125"/>
      <c r="J6" s="125"/>
      <c r="K6" s="125"/>
      <c r="L6" s="125"/>
      <c r="M6" s="15"/>
      <c r="N6" s="15"/>
    </row>
    <row r="7" spans="1:20" s="1" customFormat="1" ht="26">
      <c r="A7" s="19"/>
      <c r="B7" s="19"/>
      <c r="C7" s="17"/>
      <c r="D7" s="17"/>
      <c r="E7" s="17"/>
      <c r="F7" s="17"/>
      <c r="G7" s="17"/>
      <c r="H7" s="17"/>
      <c r="I7" s="17"/>
      <c r="J7" s="17"/>
      <c r="K7" s="17"/>
      <c r="L7" s="17"/>
      <c r="M7" s="15"/>
      <c r="N7" s="15"/>
    </row>
    <row r="8" spans="1:20" s="1" customFormat="1" ht="26">
      <c r="A8" s="125"/>
      <c r="B8" s="125"/>
      <c r="C8" s="125"/>
      <c r="D8" s="125"/>
      <c r="E8" s="125"/>
      <c r="F8" s="125"/>
      <c r="G8" s="125"/>
      <c r="H8" s="125"/>
      <c r="I8" s="125"/>
      <c r="J8" s="125"/>
      <c r="K8" s="125"/>
      <c r="L8" s="125"/>
      <c r="M8" s="15"/>
      <c r="N8" s="15"/>
    </row>
    <row r="9" spans="1:20" ht="28.5">
      <c r="A9" s="34"/>
      <c r="B9" s="34"/>
      <c r="C9" s="34"/>
      <c r="D9" s="126" t="s">
        <v>5</v>
      </c>
      <c r="E9" s="126"/>
      <c r="F9" s="126"/>
      <c r="G9" s="126"/>
      <c r="H9" s="126"/>
      <c r="I9" s="126"/>
      <c r="J9" s="126"/>
      <c r="K9" s="126"/>
      <c r="L9" s="126"/>
      <c r="M9" s="18"/>
      <c r="N9" s="18"/>
    </row>
    <row r="10" spans="1:20" s="5" customFormat="1">
      <c r="A10" s="3"/>
      <c r="B10" s="3"/>
      <c r="C10" s="3"/>
      <c r="D10" s="3"/>
      <c r="E10" s="3"/>
      <c r="F10" s="3"/>
      <c r="G10" s="3"/>
      <c r="H10" s="3"/>
      <c r="I10" s="3"/>
      <c r="J10" s="3"/>
      <c r="K10" s="1"/>
      <c r="L10" s="1"/>
      <c r="M10" s="1"/>
      <c r="N10" s="1"/>
      <c r="O10" s="35"/>
      <c r="P10" s="35"/>
      <c r="Q10" s="35"/>
    </row>
    <row r="11" spans="1:20" s="5" customFormat="1" ht="26">
      <c r="A11" s="33"/>
      <c r="B11" s="33"/>
      <c r="C11" s="33"/>
      <c r="D11" s="127" t="s">
        <v>6</v>
      </c>
      <c r="E11" s="127"/>
      <c r="F11" s="127"/>
      <c r="G11" s="127"/>
      <c r="H11" s="127"/>
      <c r="I11" s="127"/>
      <c r="J11" s="127"/>
      <c r="K11" s="127"/>
      <c r="L11" s="127"/>
      <c r="M11" s="16"/>
      <c r="N11" s="16"/>
      <c r="O11" s="35"/>
      <c r="P11" s="35"/>
      <c r="Q11" s="35"/>
    </row>
    <row r="12" spans="1:20" s="5" customFormat="1" ht="26">
      <c r="A12" s="43"/>
      <c r="B12" s="43"/>
      <c r="C12" s="43"/>
      <c r="D12" s="128" t="s">
        <v>7</v>
      </c>
      <c r="E12" s="128"/>
      <c r="F12" s="128"/>
      <c r="G12" s="128"/>
      <c r="H12" s="128"/>
      <c r="I12" s="128"/>
      <c r="J12" s="128"/>
      <c r="K12" s="128"/>
      <c r="L12" s="128"/>
      <c r="M12" s="44"/>
      <c r="N12" s="44"/>
      <c r="O12" s="35"/>
      <c r="P12" s="35"/>
      <c r="Q12" s="35"/>
    </row>
    <row r="13" spans="1:20" s="1" customFormat="1">
      <c r="A13" s="3"/>
      <c r="B13" s="3"/>
      <c r="C13" s="3"/>
      <c r="D13" s="3"/>
      <c r="E13" s="3"/>
      <c r="F13" s="3"/>
      <c r="G13" s="3"/>
      <c r="H13" s="3"/>
      <c r="I13" s="3"/>
      <c r="J13" s="3"/>
    </row>
    <row r="14" spans="1:20" s="1" customFormat="1" ht="47">
      <c r="A14" s="4" t="s">
        <v>8</v>
      </c>
      <c r="B14" s="4" t="s">
        <v>9</v>
      </c>
      <c r="C14" s="4" t="s">
        <v>10</v>
      </c>
      <c r="D14" s="4" t="s">
        <v>11</v>
      </c>
      <c r="E14" s="4" t="s">
        <v>12</v>
      </c>
      <c r="F14" s="4" t="s">
        <v>13</v>
      </c>
      <c r="G14" s="38" t="s">
        <v>14</v>
      </c>
      <c r="H14" s="4" t="s">
        <v>15</v>
      </c>
      <c r="I14" s="38" t="s">
        <v>16</v>
      </c>
      <c r="J14" s="38" t="s">
        <v>17</v>
      </c>
      <c r="K14" s="38" t="s">
        <v>18</v>
      </c>
      <c r="L14" s="38" t="s">
        <v>19</v>
      </c>
      <c r="M14" s="38" t="s">
        <v>20</v>
      </c>
      <c r="N14" s="38" t="s">
        <v>21</v>
      </c>
    </row>
    <row r="15" spans="1:20" s="82" customFormat="1">
      <c r="A15" s="79" t="str">
        <f>IFERROR(VLOOKUP(D15,'Master sheet (Clientes)'!A$6:D$747,2,0)," ")</f>
        <v xml:space="preserve"> </v>
      </c>
      <c r="B15" s="79" t="str">
        <f>IFERROR(VLOOKUP(D15,'Master sheet (Clientes)'!A$6:D$747,3,0)," ")</f>
        <v xml:space="preserve"> </v>
      </c>
      <c r="C15" s="79" t="str">
        <f>IFERROR(VLOOKUP(D15,'Master sheet (Clientes)'!A$6:D$747,4,0)," ")</f>
        <v xml:space="preserve"> </v>
      </c>
      <c r="D15" s="79"/>
      <c r="E15" s="79"/>
      <c r="F15" s="79"/>
      <c r="G15" s="79"/>
      <c r="H15" s="79"/>
      <c r="I15" s="79"/>
      <c r="J15" s="79"/>
      <c r="K15" s="79"/>
      <c r="L15" s="79"/>
      <c r="M15" s="79"/>
      <c r="N15" s="79"/>
      <c r="O15" s="80"/>
      <c r="P15" s="80"/>
      <c r="Q15" s="80"/>
      <c r="R15" s="81"/>
      <c r="S15" s="81"/>
      <c r="T15" s="81"/>
    </row>
    <row r="16" spans="1:20" s="52" customFormat="1">
      <c r="A16" s="6" t="str">
        <f>IFERROR(VLOOKUP(D16,'Master sheet (Clientes)'!A$6:D$747,2,0)," ")</f>
        <v xml:space="preserve"> </v>
      </c>
      <c r="B16" s="6" t="str">
        <f>IFERROR(VLOOKUP(D16,'Master sheet (Clientes)'!A$6:D$747,3,0)," ")</f>
        <v xml:space="preserve"> </v>
      </c>
      <c r="C16" s="6" t="str">
        <f>IFERROR(VLOOKUP(D16,'Master sheet (Clientes)'!A$6:D$747,4,0)," ")</f>
        <v xml:space="preserve"> </v>
      </c>
      <c r="D16" s="6"/>
      <c r="E16" s="6"/>
      <c r="F16" s="6"/>
      <c r="G16" s="6"/>
      <c r="H16" s="6"/>
      <c r="I16" s="6"/>
      <c r="J16" s="6"/>
      <c r="K16" s="6"/>
      <c r="L16" s="6"/>
      <c r="M16" s="6"/>
      <c r="N16" s="6"/>
      <c r="O16" s="13"/>
      <c r="P16" s="13"/>
      <c r="Q16" s="13"/>
      <c r="R16" s="51"/>
      <c r="S16" s="51"/>
      <c r="T16" s="51"/>
    </row>
    <row r="17" spans="1:17">
      <c r="A17" s="13"/>
      <c r="B17" s="13"/>
      <c r="C17" s="13"/>
      <c r="D17" s="13"/>
      <c r="E17" s="13"/>
      <c r="F17" s="13"/>
      <c r="G17" s="13"/>
      <c r="H17" s="13"/>
      <c r="I17" s="13"/>
      <c r="J17" s="13"/>
      <c r="K17" s="1"/>
      <c r="L17" s="1"/>
      <c r="M17" s="1"/>
      <c r="N17" s="1"/>
    </row>
    <row r="18" spans="1:17" ht="26">
      <c r="A18" s="33"/>
      <c r="B18" s="33"/>
      <c r="C18" s="33"/>
      <c r="D18" s="127" t="s">
        <v>24</v>
      </c>
      <c r="E18" s="127"/>
      <c r="F18" s="127"/>
      <c r="G18" s="127"/>
      <c r="H18" s="127"/>
      <c r="I18" s="127"/>
      <c r="J18" s="127"/>
      <c r="K18" s="127"/>
      <c r="L18" s="127"/>
      <c r="M18" s="16"/>
      <c r="N18" s="16"/>
    </row>
    <row r="19" spans="1:17" s="5" customFormat="1" ht="26">
      <c r="A19" s="43"/>
      <c r="B19" s="43"/>
      <c r="C19" s="43"/>
      <c r="D19" s="128" t="s">
        <v>25</v>
      </c>
      <c r="E19" s="128"/>
      <c r="F19" s="128"/>
      <c r="G19" s="128"/>
      <c r="H19" s="128"/>
      <c r="I19" s="128"/>
      <c r="J19" s="128"/>
      <c r="K19" s="128"/>
      <c r="L19" s="128"/>
      <c r="M19" s="44"/>
      <c r="N19" s="44"/>
      <c r="O19" s="35"/>
      <c r="P19" s="35"/>
      <c r="Q19" s="35"/>
    </row>
    <row r="20" spans="1:17" s="1" customFormat="1">
      <c r="A20" s="3"/>
      <c r="B20" s="3"/>
      <c r="C20" s="3"/>
      <c r="D20" s="3"/>
      <c r="E20" s="3"/>
      <c r="F20" s="3"/>
      <c r="G20" s="3"/>
      <c r="H20" s="3"/>
      <c r="I20" s="3"/>
      <c r="J20" s="3"/>
    </row>
    <row r="21" spans="1:17" s="1" customFormat="1" ht="47">
      <c r="A21" s="4" t="s">
        <v>8</v>
      </c>
      <c r="B21" s="4" t="s">
        <v>9</v>
      </c>
      <c r="C21" s="4" t="s">
        <v>10</v>
      </c>
      <c r="D21" s="4" t="s">
        <v>11</v>
      </c>
      <c r="E21" s="4" t="s">
        <v>12</v>
      </c>
      <c r="F21" s="4" t="s">
        <v>13</v>
      </c>
      <c r="G21" s="38" t="s">
        <v>14</v>
      </c>
      <c r="H21" s="4" t="s">
        <v>15</v>
      </c>
      <c r="I21" s="38" t="s">
        <v>16</v>
      </c>
      <c r="J21" s="38" t="s">
        <v>17</v>
      </c>
      <c r="K21" s="38" t="s">
        <v>18</v>
      </c>
      <c r="L21" s="38" t="s">
        <v>19</v>
      </c>
      <c r="M21" s="38" t="s">
        <v>20</v>
      </c>
      <c r="N21" s="38" t="s">
        <v>21</v>
      </c>
    </row>
    <row r="22" spans="1:17">
      <c r="A22" s="6" t="str">
        <f>IFERROR(VLOOKUP(D22,'Master sheet (Clientes)'!A$6:D$747,2,0)," ")</f>
        <v xml:space="preserve"> </v>
      </c>
      <c r="B22" s="6" t="str">
        <f>IFERROR(VLOOKUP(D22,'Master sheet (Clientes)'!A$6:D$747,3,0)," ")</f>
        <v xml:space="preserve"> </v>
      </c>
      <c r="C22" s="6" t="str">
        <f>IFERROR(VLOOKUP(D22,'Master sheet (Clientes)'!A$6:D$747,4,0)," ")</f>
        <v xml:space="preserve"> </v>
      </c>
      <c r="D22" s="6"/>
      <c r="E22" s="6"/>
      <c r="F22" s="6"/>
      <c r="G22" s="6"/>
      <c r="H22" s="6"/>
      <c r="I22" s="6"/>
      <c r="J22" s="6"/>
      <c r="K22" s="6"/>
      <c r="L22" s="6"/>
      <c r="M22" s="6"/>
      <c r="N22" s="6"/>
    </row>
    <row r="23" spans="1:17">
      <c r="A23" s="6"/>
      <c r="B23" s="6"/>
      <c r="C23" s="6"/>
      <c r="D23" s="6"/>
      <c r="E23" s="6"/>
      <c r="F23" s="6"/>
      <c r="G23" s="6"/>
      <c r="H23" s="6"/>
      <c r="I23" s="6"/>
      <c r="J23" s="6"/>
      <c r="K23" s="6"/>
      <c r="L23" s="6"/>
      <c r="M23" s="6"/>
      <c r="N23" s="6"/>
    </row>
    <row r="24" spans="1:17">
      <c r="A24" s="6"/>
      <c r="B24" s="6"/>
      <c r="C24" s="6"/>
      <c r="D24" s="6"/>
      <c r="E24" s="6"/>
      <c r="F24" s="6"/>
      <c r="G24" s="6"/>
      <c r="H24" s="6"/>
      <c r="I24" s="6"/>
      <c r="J24" s="6"/>
      <c r="K24" s="6"/>
      <c r="L24" s="6"/>
      <c r="M24" s="6"/>
      <c r="N24" s="6"/>
    </row>
    <row r="25" spans="1:17">
      <c r="A25" s="6"/>
      <c r="B25" s="6"/>
      <c r="C25" s="6"/>
      <c r="D25" s="6"/>
      <c r="E25" s="6"/>
      <c r="F25" s="6"/>
      <c r="G25" s="6"/>
      <c r="I25" s="6"/>
      <c r="J25" s="6"/>
      <c r="K25" s="6"/>
      <c r="L25" s="6"/>
      <c r="M25" s="6"/>
      <c r="N25" s="6"/>
    </row>
    <row r="26" spans="1:17">
      <c r="A26" s="6"/>
      <c r="B26" s="6"/>
      <c r="C26" s="6"/>
      <c r="D26" s="6"/>
      <c r="E26" s="6"/>
      <c r="F26" s="6"/>
      <c r="G26" s="6"/>
      <c r="H26" s="6"/>
      <c r="I26" s="6"/>
      <c r="J26" s="6"/>
      <c r="K26" s="6"/>
      <c r="L26" s="6"/>
      <c r="M26" s="6"/>
      <c r="N26" s="6"/>
    </row>
    <row r="27" spans="1:17">
      <c r="A27" s="6"/>
      <c r="B27" s="6"/>
      <c r="C27" s="6"/>
      <c r="D27" s="6"/>
      <c r="E27" s="6"/>
      <c r="F27" s="6"/>
      <c r="G27" s="6"/>
      <c r="H27" s="6"/>
      <c r="I27" s="6"/>
      <c r="J27" s="6"/>
      <c r="K27" s="6"/>
      <c r="L27" s="6"/>
      <c r="M27" s="6"/>
      <c r="N27" s="6"/>
    </row>
    <row r="28" spans="1:17">
      <c r="A28" s="6"/>
      <c r="B28" s="6"/>
      <c r="C28" s="6"/>
      <c r="D28" s="6"/>
      <c r="E28" s="6"/>
      <c r="F28" s="6"/>
      <c r="G28" s="6"/>
      <c r="H28" s="6"/>
      <c r="I28" s="6"/>
      <c r="J28" s="6"/>
      <c r="K28" s="6"/>
      <c r="L28" s="6"/>
      <c r="M28" s="6"/>
      <c r="N28" s="6"/>
    </row>
    <row r="29" spans="1:17">
      <c r="A29" s="6"/>
      <c r="B29" s="6"/>
      <c r="C29" s="6"/>
      <c r="D29" s="6"/>
      <c r="E29" s="6"/>
      <c r="F29" s="6"/>
      <c r="G29" s="6"/>
      <c r="H29" s="6"/>
      <c r="I29" s="6"/>
      <c r="J29" s="6"/>
      <c r="K29" s="6"/>
      <c r="L29" s="6"/>
      <c r="M29" s="6"/>
      <c r="N29" s="6"/>
    </row>
    <row r="30" spans="1:17">
      <c r="A30" s="6"/>
      <c r="B30" s="6"/>
      <c r="C30" s="6"/>
      <c r="D30" s="6"/>
      <c r="E30" s="6"/>
      <c r="F30" s="6"/>
      <c r="G30" s="6"/>
      <c r="H30" s="6"/>
      <c r="I30" s="6"/>
      <c r="J30" s="6"/>
      <c r="K30" s="6"/>
      <c r="L30" s="6"/>
      <c r="M30" s="6"/>
      <c r="N30" s="6"/>
    </row>
    <row r="31" spans="1:17">
      <c r="A31" s="6"/>
      <c r="B31" s="6"/>
      <c r="C31" s="6"/>
      <c r="D31" s="6"/>
      <c r="E31" s="6"/>
      <c r="F31" s="6"/>
      <c r="G31" s="6"/>
      <c r="H31" s="6"/>
      <c r="I31" s="6"/>
      <c r="J31" s="6"/>
      <c r="K31" s="6"/>
      <c r="L31" s="6"/>
      <c r="M31" s="6"/>
      <c r="N31" s="6"/>
    </row>
    <row r="32" spans="1:17">
      <c r="A32" s="6"/>
      <c r="B32" s="6"/>
      <c r="C32" s="6"/>
      <c r="D32" s="6"/>
      <c r="E32" s="6"/>
      <c r="F32" s="6"/>
      <c r="G32" s="6"/>
      <c r="H32" s="6"/>
      <c r="I32" s="6"/>
      <c r="J32" s="6"/>
      <c r="K32" s="6"/>
      <c r="L32" s="6"/>
      <c r="M32" s="6"/>
      <c r="N32" s="6"/>
    </row>
    <row r="33" spans="1:17">
      <c r="A33" s="6"/>
      <c r="B33" s="6"/>
      <c r="C33" s="6"/>
      <c r="D33" s="6"/>
      <c r="E33" s="6"/>
      <c r="F33" s="6"/>
      <c r="G33" s="6"/>
      <c r="H33" s="6"/>
      <c r="I33" s="6"/>
      <c r="J33" s="6"/>
      <c r="K33" s="6"/>
      <c r="L33" s="6"/>
      <c r="M33" s="6"/>
      <c r="N33" s="6"/>
    </row>
    <row r="34" spans="1:17">
      <c r="A34" s="6" t="str">
        <f>IFERROR(VLOOKUP(D34,'Master sheet (Clientes)'!A$6:D$747,2,0)," ")</f>
        <v xml:space="preserve"> </v>
      </c>
      <c r="B34" s="6" t="str">
        <f>IFERROR(VLOOKUP(D34,'Master sheet (Clientes)'!A$6:D$747,3,0)," ")</f>
        <v xml:space="preserve"> </v>
      </c>
      <c r="C34" s="6" t="str">
        <f>IFERROR(VLOOKUP(D34,'Master sheet (Clientes)'!A$6:D$747,4,0)," ")</f>
        <v xml:space="preserve"> </v>
      </c>
      <c r="D34" s="6"/>
      <c r="E34" s="6"/>
      <c r="F34" s="6"/>
      <c r="G34" s="6"/>
      <c r="H34" s="6"/>
      <c r="I34" s="6"/>
      <c r="J34" s="6"/>
      <c r="K34" s="6"/>
      <c r="L34" s="6"/>
      <c r="M34" s="6"/>
      <c r="N34" s="6"/>
    </row>
    <row r="35" spans="1:17">
      <c r="A35" s="13"/>
      <c r="B35" s="13"/>
      <c r="C35" s="13"/>
      <c r="D35" s="13"/>
      <c r="E35" s="13"/>
      <c r="F35" s="13"/>
      <c r="G35" s="13"/>
      <c r="H35" s="13"/>
      <c r="I35" s="13"/>
      <c r="J35" s="13"/>
      <c r="K35" s="1"/>
      <c r="L35" s="1"/>
      <c r="M35" s="1"/>
      <c r="N35" s="1"/>
    </row>
    <row r="36" spans="1:17" ht="26">
      <c r="A36" s="33"/>
      <c r="B36" s="33"/>
      <c r="C36" s="33"/>
      <c r="D36" s="127" t="s">
        <v>26</v>
      </c>
      <c r="E36" s="127"/>
      <c r="F36" s="127"/>
      <c r="G36" s="127"/>
      <c r="H36" s="127"/>
      <c r="I36" s="127"/>
      <c r="J36" s="127"/>
      <c r="K36" s="127"/>
      <c r="L36" s="127"/>
      <c r="M36" s="16"/>
      <c r="N36" s="16"/>
    </row>
    <row r="37" spans="1:17" s="5" customFormat="1" ht="26">
      <c r="A37" s="43"/>
      <c r="B37" s="43"/>
      <c r="C37" s="43"/>
      <c r="D37" s="128" t="s">
        <v>27</v>
      </c>
      <c r="E37" s="128"/>
      <c r="F37" s="128"/>
      <c r="G37" s="128"/>
      <c r="H37" s="128"/>
      <c r="I37" s="128"/>
      <c r="J37" s="128"/>
      <c r="K37" s="128"/>
      <c r="L37" s="128"/>
      <c r="M37" s="44"/>
      <c r="N37" s="44"/>
      <c r="O37" s="35"/>
      <c r="P37" s="35"/>
      <c r="Q37" s="35"/>
    </row>
    <row r="38" spans="1:17" s="1" customFormat="1">
      <c r="A38" s="3"/>
      <c r="B38" s="3"/>
      <c r="C38" s="3"/>
      <c r="D38" s="3"/>
      <c r="E38" s="3"/>
      <c r="F38" s="3"/>
      <c r="G38" s="3"/>
      <c r="H38" s="3"/>
      <c r="I38" s="3"/>
      <c r="J38" s="3"/>
    </row>
    <row r="39" spans="1:17" s="1" customFormat="1" ht="47">
      <c r="A39" s="4" t="s">
        <v>8</v>
      </c>
      <c r="B39" s="4" t="s">
        <v>9</v>
      </c>
      <c r="C39" s="4" t="s">
        <v>10</v>
      </c>
      <c r="D39" s="4" t="s">
        <v>11</v>
      </c>
      <c r="E39" s="4" t="s">
        <v>12</v>
      </c>
      <c r="F39" s="4" t="s">
        <v>13</v>
      </c>
      <c r="G39" s="38" t="s">
        <v>14</v>
      </c>
      <c r="H39" s="4" t="s">
        <v>15</v>
      </c>
      <c r="I39" s="38" t="s">
        <v>16</v>
      </c>
      <c r="J39" s="38" t="s">
        <v>17</v>
      </c>
      <c r="K39" s="38" t="s">
        <v>18</v>
      </c>
      <c r="L39" s="38" t="s">
        <v>19</v>
      </c>
      <c r="M39" s="38" t="s">
        <v>20</v>
      </c>
      <c r="N39" s="38" t="s">
        <v>21</v>
      </c>
    </row>
    <row r="40" spans="1:17">
      <c r="A40" s="6" t="str">
        <f>IFERROR(VLOOKUP(D40,'Master sheet (Clientes)'!A$6:D$747,2,0)," ")</f>
        <v xml:space="preserve"> </v>
      </c>
      <c r="B40" s="6" t="str">
        <f>IFERROR(VLOOKUP(D40,'Master sheet (Clientes)'!A$6:D$747,3,0)," ")</f>
        <v xml:space="preserve"> </v>
      </c>
      <c r="C40" s="6" t="str">
        <f>IFERROR(VLOOKUP(D40,'Master sheet (Clientes)'!A$6:D$747,4,0)," ")</f>
        <v xml:space="preserve"> </v>
      </c>
      <c r="D40" s="6"/>
      <c r="E40" s="6"/>
      <c r="F40" s="6"/>
      <c r="G40" s="6"/>
      <c r="H40" s="6"/>
      <c r="I40" s="6"/>
      <c r="J40" s="6"/>
      <c r="K40" s="6"/>
      <c r="L40" s="6"/>
      <c r="M40" s="6"/>
      <c r="N40" s="6"/>
    </row>
    <row r="41" spans="1:17">
      <c r="A41" s="6" t="str">
        <f>IFERROR(VLOOKUP(D41,'Master sheet (Clientes)'!A$6:D$747,2,0)," ")</f>
        <v xml:space="preserve"> </v>
      </c>
      <c r="B41" s="6" t="str">
        <f>IFERROR(VLOOKUP(D41,'Master sheet (Clientes)'!A$6:D$747,3,0)," ")</f>
        <v xml:space="preserve"> </v>
      </c>
      <c r="C41" s="6" t="str">
        <f>IFERROR(VLOOKUP(D41,'Master sheet (Clientes)'!A$6:D$747,4,0)," ")</f>
        <v xml:space="preserve"> </v>
      </c>
      <c r="D41" s="6"/>
      <c r="E41" s="6"/>
      <c r="F41" s="6"/>
      <c r="G41" s="6"/>
      <c r="H41" s="6"/>
      <c r="I41" s="6"/>
      <c r="J41" s="6"/>
      <c r="K41" s="6"/>
      <c r="L41" s="6"/>
      <c r="M41" s="6"/>
      <c r="N41" s="6"/>
    </row>
    <row r="42" spans="1:17">
      <c r="A42" s="1"/>
      <c r="B42" s="1"/>
      <c r="C42" s="1"/>
      <c r="D42" s="1"/>
      <c r="E42" s="1"/>
      <c r="F42" s="1"/>
      <c r="G42" s="1"/>
      <c r="H42" s="1"/>
      <c r="I42" s="1"/>
      <c r="K42" s="1"/>
      <c r="L42" s="1"/>
      <c r="M42" s="1"/>
      <c r="N42" s="1"/>
    </row>
    <row r="43" spans="1:17" ht="26">
      <c r="A43" s="33"/>
      <c r="B43" s="33"/>
      <c r="C43" s="33"/>
      <c r="D43" s="127" t="s">
        <v>28</v>
      </c>
      <c r="E43" s="127"/>
      <c r="F43" s="127"/>
      <c r="G43" s="127"/>
      <c r="H43" s="127"/>
      <c r="I43" s="127"/>
      <c r="J43" s="127"/>
      <c r="K43" s="127"/>
      <c r="L43" s="127"/>
      <c r="M43" s="16"/>
      <c r="N43" s="16"/>
    </row>
    <row r="44" spans="1:17" s="5" customFormat="1" ht="26">
      <c r="A44" s="43"/>
      <c r="B44" s="43"/>
      <c r="C44" s="43"/>
      <c r="D44" s="128" t="s">
        <v>29</v>
      </c>
      <c r="E44" s="128"/>
      <c r="F44" s="128"/>
      <c r="G44" s="128"/>
      <c r="H44" s="128"/>
      <c r="I44" s="128"/>
      <c r="J44" s="128"/>
      <c r="K44" s="128"/>
      <c r="L44" s="128"/>
      <c r="M44" s="44"/>
      <c r="N44" s="44"/>
      <c r="O44" s="35"/>
      <c r="P44" s="35"/>
      <c r="Q44" s="35"/>
    </row>
    <row r="45" spans="1:17">
      <c r="A45" s="3"/>
      <c r="B45" s="3"/>
      <c r="C45" s="3"/>
      <c r="D45" s="3"/>
      <c r="E45" s="3"/>
      <c r="F45" s="3"/>
      <c r="G45" s="3"/>
      <c r="H45" s="3"/>
      <c r="I45" s="3"/>
      <c r="K45" s="1"/>
      <c r="L45" s="1"/>
      <c r="M45" s="1"/>
      <c r="N45" s="1"/>
    </row>
    <row r="46" spans="1:17" s="1" customFormat="1" ht="47">
      <c r="A46" s="4" t="s">
        <v>8</v>
      </c>
      <c r="B46" s="4" t="s">
        <v>9</v>
      </c>
      <c r="C46" s="4" t="s">
        <v>10</v>
      </c>
      <c r="D46" s="4" t="s">
        <v>11</v>
      </c>
      <c r="E46" s="4" t="s">
        <v>12</v>
      </c>
      <c r="F46" s="4" t="s">
        <v>13</v>
      </c>
      <c r="G46" s="38" t="s">
        <v>14</v>
      </c>
      <c r="H46" s="4" t="s">
        <v>15</v>
      </c>
      <c r="I46" s="38" t="s">
        <v>16</v>
      </c>
      <c r="J46" s="38" t="s">
        <v>17</v>
      </c>
      <c r="K46" s="38" t="s">
        <v>18</v>
      </c>
      <c r="L46" s="38" t="s">
        <v>19</v>
      </c>
      <c r="M46" s="38" t="s">
        <v>20</v>
      </c>
      <c r="N46" s="38" t="s">
        <v>21</v>
      </c>
    </row>
    <row r="47" spans="1:17">
      <c r="A47" s="6" t="str">
        <f>IFERROR(VLOOKUP(D47,'Master sheet (Clientes)'!A$6:D$747,2,0)," ")</f>
        <v xml:space="preserve"> </v>
      </c>
      <c r="B47" s="6" t="str">
        <f>IFERROR(VLOOKUP(D47,'Master sheet (Clientes)'!A$6:D$747,3,0)," ")</f>
        <v xml:space="preserve"> </v>
      </c>
      <c r="C47" s="6" t="str">
        <f>IFERROR(VLOOKUP(D47,'Master sheet (Clientes)'!A$6:D$747,4,0)," ")</f>
        <v xml:space="preserve"> </v>
      </c>
      <c r="D47" s="6"/>
      <c r="E47" s="6"/>
      <c r="F47" s="6"/>
      <c r="G47" s="6"/>
      <c r="H47" s="6"/>
      <c r="I47" s="6"/>
      <c r="J47" s="6"/>
      <c r="K47" s="6"/>
      <c r="L47" s="6"/>
      <c r="M47" s="6"/>
      <c r="N47" s="6"/>
    </row>
    <row r="48" spans="1:17">
      <c r="A48" s="6" t="str">
        <f>IFERROR(VLOOKUP(D48,'Master sheet (Clientes)'!A$6:D$747,2,0)," ")</f>
        <v xml:space="preserve"> </v>
      </c>
      <c r="B48" s="6" t="str">
        <f>IFERROR(VLOOKUP(D48,'Master sheet (Clientes)'!A$6:D$747,3,0)," ")</f>
        <v xml:space="preserve"> </v>
      </c>
      <c r="C48" s="6" t="str">
        <f>IFERROR(VLOOKUP(D48,'Master sheet (Clientes)'!A$6:D$747,4,0)," ")</f>
        <v xml:space="preserve"> </v>
      </c>
      <c r="D48" s="6"/>
      <c r="E48" s="6"/>
      <c r="F48" s="6"/>
      <c r="G48" s="6"/>
      <c r="H48" s="6"/>
      <c r="I48" s="6"/>
      <c r="J48" s="6"/>
      <c r="K48" s="6"/>
      <c r="L48" s="6"/>
      <c r="M48" s="6"/>
      <c r="N48" s="6"/>
    </row>
    <row r="49" spans="1:17">
      <c r="A49" s="1"/>
      <c r="B49" s="1"/>
      <c r="C49" s="1"/>
      <c r="D49" s="1"/>
      <c r="E49" s="1"/>
      <c r="F49" s="1"/>
      <c r="G49" s="1"/>
      <c r="H49" s="1"/>
      <c r="I49" s="1"/>
      <c r="K49" s="1"/>
      <c r="L49" s="1"/>
      <c r="M49" s="1"/>
      <c r="N49" s="1"/>
    </row>
    <row r="50" spans="1:17" ht="26">
      <c r="A50" s="33"/>
      <c r="B50" s="33"/>
      <c r="C50" s="33"/>
      <c r="D50" s="127" t="s">
        <v>30</v>
      </c>
      <c r="E50" s="127"/>
      <c r="F50" s="127"/>
      <c r="G50" s="127"/>
      <c r="H50" s="127"/>
      <c r="I50" s="127"/>
      <c r="J50" s="127"/>
      <c r="K50" s="127"/>
      <c r="L50" s="127"/>
      <c r="M50" s="16"/>
      <c r="N50" s="16"/>
    </row>
    <row r="51" spans="1:17" s="5" customFormat="1" ht="26">
      <c r="A51" s="43"/>
      <c r="B51" s="43"/>
      <c r="C51" s="43"/>
      <c r="D51" s="128" t="s">
        <v>31</v>
      </c>
      <c r="E51" s="128"/>
      <c r="F51" s="128"/>
      <c r="G51" s="128"/>
      <c r="H51" s="128"/>
      <c r="I51" s="128"/>
      <c r="J51" s="128"/>
      <c r="K51" s="128"/>
      <c r="L51" s="128"/>
      <c r="M51" s="44"/>
      <c r="N51" s="44"/>
      <c r="O51" s="35"/>
      <c r="P51" s="35"/>
      <c r="Q51" s="35"/>
    </row>
    <row r="52" spans="1:17">
      <c r="A52" s="3"/>
      <c r="B52" s="3"/>
      <c r="C52" s="3"/>
      <c r="D52" s="3"/>
      <c r="E52" s="3"/>
      <c r="F52" s="3"/>
      <c r="G52" s="3"/>
      <c r="H52" s="3"/>
      <c r="I52" s="3"/>
      <c r="K52" s="1"/>
      <c r="L52" s="1"/>
      <c r="M52" s="1"/>
      <c r="N52" s="1"/>
    </row>
    <row r="53" spans="1:17" s="1" customFormat="1" ht="47">
      <c r="A53" s="4" t="s">
        <v>8</v>
      </c>
      <c r="B53" s="4" t="s">
        <v>9</v>
      </c>
      <c r="C53" s="4" t="s">
        <v>10</v>
      </c>
      <c r="D53" s="4" t="s">
        <v>11</v>
      </c>
      <c r="E53" s="4" t="s">
        <v>12</v>
      </c>
      <c r="F53" s="4" t="s">
        <v>13</v>
      </c>
      <c r="G53" s="38" t="s">
        <v>14</v>
      </c>
      <c r="H53" s="4" t="s">
        <v>15</v>
      </c>
      <c r="I53" s="38" t="s">
        <v>16</v>
      </c>
      <c r="J53" s="38" t="s">
        <v>17</v>
      </c>
      <c r="K53" s="38" t="s">
        <v>18</v>
      </c>
      <c r="L53" s="38" t="s">
        <v>19</v>
      </c>
      <c r="M53" s="38" t="s">
        <v>20</v>
      </c>
      <c r="N53" s="38" t="s">
        <v>21</v>
      </c>
    </row>
    <row r="54" spans="1:17">
      <c r="A54" s="6" t="str">
        <f>IFERROR(VLOOKUP(D54,'Master sheet (Clientes)'!A$6:D$747,2,0)," ")</f>
        <v xml:space="preserve"> </v>
      </c>
      <c r="B54" s="6" t="str">
        <f>IFERROR(VLOOKUP(D54,'Master sheet (Clientes)'!A$6:D$747,3,0)," ")</f>
        <v xml:space="preserve"> </v>
      </c>
      <c r="C54" s="6" t="str">
        <f>IFERROR(VLOOKUP(D54,'Master sheet (Clientes)'!A$6:D$747,4,0)," ")</f>
        <v xml:space="preserve"> </v>
      </c>
      <c r="D54" s="6"/>
      <c r="E54" s="6"/>
      <c r="F54" s="6"/>
      <c r="G54" s="6"/>
      <c r="H54" s="6"/>
      <c r="I54" s="6"/>
      <c r="J54" s="6"/>
      <c r="K54" s="6"/>
      <c r="L54" s="6"/>
      <c r="M54" s="6"/>
      <c r="N54" s="6"/>
    </row>
    <row r="55" spans="1:17">
      <c r="A55" s="6" t="str">
        <f>IFERROR(VLOOKUP(D55,'Master sheet (Clientes)'!A$6:D$747,2,0)," ")</f>
        <v xml:space="preserve"> </v>
      </c>
      <c r="B55" s="6" t="str">
        <f>IFERROR(VLOOKUP(D55,'Master sheet (Clientes)'!A$6:D$747,3,0)," ")</f>
        <v xml:space="preserve"> </v>
      </c>
      <c r="C55" s="6" t="str">
        <f>IFERROR(VLOOKUP(D55,'Master sheet (Clientes)'!A$6:D$747,4,0)," ")</f>
        <v xml:space="preserve"> </v>
      </c>
      <c r="D55" s="6"/>
      <c r="E55" s="6"/>
      <c r="F55" s="6"/>
      <c r="G55" s="6"/>
      <c r="H55" s="6"/>
      <c r="I55" s="6"/>
      <c r="J55" s="6"/>
      <c r="K55" s="6"/>
      <c r="L55" s="6"/>
      <c r="M55" s="6"/>
      <c r="N55" s="6"/>
    </row>
    <row r="56" spans="1:17">
      <c r="A56" s="1"/>
      <c r="B56" s="1"/>
      <c r="C56" s="1"/>
      <c r="D56" s="1"/>
      <c r="E56" s="1"/>
      <c r="F56" s="1"/>
      <c r="G56" s="1"/>
      <c r="H56" s="1"/>
      <c r="I56" s="1"/>
      <c r="K56" s="1"/>
      <c r="L56" s="1"/>
      <c r="M56" s="1"/>
      <c r="N56" s="1"/>
    </row>
    <row r="57" spans="1:17" s="1" customFormat="1" ht="37" customHeight="1">
      <c r="A57" s="45"/>
      <c r="B57" s="45"/>
      <c r="C57" s="45"/>
      <c r="D57" s="131" t="str">
        <f>A1</f>
        <v>BuildCare SCHEDULE SUNDAY, SEPTEMBER 06 / 2026</v>
      </c>
      <c r="E57" s="131"/>
      <c r="F57" s="131"/>
      <c r="G57" s="131"/>
      <c r="H57" s="131"/>
      <c r="I57" s="131"/>
      <c r="J57" s="131"/>
      <c r="K57" s="131"/>
      <c r="L57" s="131"/>
      <c r="M57" s="45"/>
      <c r="N57" s="32"/>
    </row>
    <row r="58" spans="1:17">
      <c r="A58" s="1"/>
      <c r="B58" s="1"/>
      <c r="C58" s="1"/>
      <c r="D58" s="1"/>
      <c r="E58" s="1"/>
      <c r="F58" s="1"/>
      <c r="G58" s="1"/>
      <c r="H58" s="1"/>
      <c r="I58" s="1"/>
      <c r="K58" s="1"/>
      <c r="L58" s="1"/>
      <c r="M58" s="1"/>
      <c r="N58" s="1"/>
    </row>
    <row r="59" spans="1:17" ht="28.5">
      <c r="A59" s="34"/>
      <c r="B59" s="34"/>
      <c r="C59" s="34"/>
      <c r="D59" s="126" t="s">
        <v>32</v>
      </c>
      <c r="E59" s="126"/>
      <c r="F59" s="126"/>
      <c r="G59" s="126"/>
      <c r="H59" s="126"/>
      <c r="I59" s="126"/>
      <c r="J59" s="126"/>
      <c r="K59" s="126"/>
      <c r="L59" s="126"/>
      <c r="M59" s="18"/>
      <c r="N59" s="18"/>
    </row>
    <row r="60" spans="1:17" s="5" customFormat="1">
      <c r="A60" s="3"/>
      <c r="B60" s="3"/>
      <c r="C60" s="3"/>
      <c r="D60" s="3"/>
      <c r="E60" s="3"/>
      <c r="F60" s="3"/>
      <c r="G60" s="3"/>
      <c r="H60" s="3"/>
      <c r="I60" s="3"/>
      <c r="J60" s="3"/>
      <c r="K60" s="1"/>
      <c r="L60" s="1"/>
      <c r="M60" s="1"/>
      <c r="N60" s="1"/>
      <c r="O60" s="35"/>
      <c r="P60" s="35"/>
      <c r="Q60" s="35"/>
    </row>
    <row r="61" spans="1:17" s="5" customFormat="1" ht="26">
      <c r="A61" s="33"/>
      <c r="B61" s="33"/>
      <c r="C61" s="33"/>
      <c r="D61" s="127" t="s">
        <v>33</v>
      </c>
      <c r="E61" s="127"/>
      <c r="F61" s="127"/>
      <c r="G61" s="127"/>
      <c r="H61" s="127"/>
      <c r="I61" s="127"/>
      <c r="J61" s="127"/>
      <c r="K61" s="127"/>
      <c r="L61" s="127"/>
      <c r="M61" s="16"/>
      <c r="N61" s="16"/>
      <c r="O61" s="35"/>
      <c r="P61" s="35"/>
      <c r="Q61" s="35"/>
    </row>
    <row r="62" spans="1:17" s="5" customFormat="1" ht="26">
      <c r="A62" s="43"/>
      <c r="B62" s="43"/>
      <c r="C62" s="43"/>
      <c r="D62" s="128" t="s">
        <v>34</v>
      </c>
      <c r="E62" s="128"/>
      <c r="F62" s="128"/>
      <c r="G62" s="128"/>
      <c r="H62" s="128"/>
      <c r="I62" s="128"/>
      <c r="J62" s="128"/>
      <c r="K62" s="128"/>
      <c r="L62" s="128"/>
      <c r="M62" s="44"/>
      <c r="N62" s="44"/>
      <c r="O62" s="35"/>
      <c r="P62" s="35"/>
      <c r="Q62" s="35"/>
    </row>
    <row r="63" spans="1:17" s="1" customFormat="1"/>
    <row r="64" spans="1:17" s="1" customFormat="1" ht="26">
      <c r="A64" s="17"/>
      <c r="B64" s="17"/>
      <c r="C64" s="17"/>
      <c r="D64" s="125" t="s">
        <v>35</v>
      </c>
      <c r="E64" s="125"/>
      <c r="F64" s="125"/>
      <c r="G64" s="125"/>
      <c r="H64" s="125"/>
      <c r="I64" s="125"/>
      <c r="J64" s="125"/>
      <c r="K64" s="125"/>
      <c r="L64" s="125"/>
      <c r="M64" s="15"/>
      <c r="N64" s="15"/>
    </row>
    <row r="65" spans="1:20" s="1" customFormat="1" ht="26" customHeight="1">
      <c r="A65" s="46"/>
      <c r="B65" s="46"/>
      <c r="C65" s="46"/>
      <c r="D65" s="125" t="s">
        <v>36</v>
      </c>
      <c r="E65" s="125"/>
      <c r="F65" s="125"/>
      <c r="G65" s="125"/>
      <c r="H65" s="125"/>
      <c r="I65" s="125"/>
      <c r="J65" s="17"/>
      <c r="K65" s="17"/>
      <c r="L65" s="17"/>
      <c r="M65" s="15"/>
      <c r="N65" s="15"/>
    </row>
    <row r="66" spans="1:20" s="1" customFormat="1" ht="26">
      <c r="A66" s="17"/>
      <c r="B66" s="17"/>
      <c r="C66" s="17"/>
      <c r="D66" s="125" t="s">
        <v>4</v>
      </c>
      <c r="E66" s="125"/>
      <c r="F66" s="125"/>
      <c r="G66" s="125"/>
      <c r="H66" s="125"/>
      <c r="I66" s="125"/>
      <c r="J66" s="17"/>
      <c r="K66" s="17"/>
      <c r="L66" s="17"/>
      <c r="M66" s="15"/>
      <c r="N66" s="15"/>
    </row>
    <row r="67" spans="1:20" s="1" customFormat="1">
      <c r="A67" s="3"/>
      <c r="B67" s="3"/>
      <c r="C67" s="3"/>
      <c r="D67" s="3"/>
      <c r="E67" s="3"/>
      <c r="F67" s="3"/>
      <c r="G67" s="3"/>
      <c r="H67" s="3"/>
      <c r="I67" s="3"/>
      <c r="J67" s="3"/>
    </row>
    <row r="68" spans="1:20" s="1" customFormat="1" ht="47">
      <c r="A68" s="4" t="s">
        <v>8</v>
      </c>
      <c r="B68" s="4" t="s">
        <v>9</v>
      </c>
      <c r="C68" s="4" t="s">
        <v>10</v>
      </c>
      <c r="D68" s="4" t="s">
        <v>11</v>
      </c>
      <c r="E68" s="4" t="s">
        <v>12</v>
      </c>
      <c r="F68" s="4" t="s">
        <v>13</v>
      </c>
      <c r="G68" s="38" t="s">
        <v>14</v>
      </c>
      <c r="H68" s="4" t="s">
        <v>15</v>
      </c>
      <c r="I68" s="38" t="s">
        <v>16</v>
      </c>
      <c r="J68" s="38" t="s">
        <v>17</v>
      </c>
      <c r="K68" s="38" t="s">
        <v>18</v>
      </c>
      <c r="L68" s="38" t="s">
        <v>19</v>
      </c>
      <c r="M68" s="38" t="s">
        <v>20</v>
      </c>
      <c r="N68" s="38" t="s">
        <v>21</v>
      </c>
    </row>
    <row r="69" spans="1:20" s="12" customFormat="1">
      <c r="A69" s="6" t="str">
        <f>IFERROR(VLOOKUP(D69,'Master sheet (Clientes)'!A$6:D$747,2,0)," ")</f>
        <v xml:space="preserve"> </v>
      </c>
      <c r="B69" s="6" t="str">
        <f>IFERROR(VLOOKUP(D69,'Master sheet (Clientes)'!A$6:D$747,3,0)," ")</f>
        <v xml:space="preserve"> </v>
      </c>
      <c r="C69" s="6" t="str">
        <f>IFERROR(VLOOKUP(D69,'Master sheet (Clientes)'!A$6:D$747,4,0)," ")</f>
        <v xml:space="preserve"> </v>
      </c>
      <c r="D69" s="6"/>
      <c r="E69" s="6"/>
      <c r="F69" s="6"/>
      <c r="G69" s="6"/>
      <c r="H69" s="6"/>
      <c r="I69" s="6"/>
      <c r="J69" s="6"/>
      <c r="K69" s="6"/>
      <c r="L69" s="6"/>
      <c r="M69" s="6"/>
      <c r="N69" s="6"/>
      <c r="O69" s="1"/>
      <c r="P69" s="1"/>
      <c r="Q69" s="1"/>
      <c r="R69" s="11"/>
      <c r="S69" s="11"/>
      <c r="T69" s="11"/>
    </row>
    <row r="70" spans="1:20" s="12" customFormat="1">
      <c r="A70" s="6" t="str">
        <f>IFERROR(VLOOKUP(D70,'Master sheet (Clientes)'!A$6:D$747,2,0)," ")</f>
        <v xml:space="preserve"> </v>
      </c>
      <c r="B70" s="6" t="str">
        <f>IFERROR(VLOOKUP(D70,'Master sheet (Clientes)'!A$6:D$747,3,0)," ")</f>
        <v xml:space="preserve"> </v>
      </c>
      <c r="C70" s="6" t="str">
        <f>IFERROR(VLOOKUP(D70,'Master sheet (Clientes)'!A$6:D$747,4,0)," ")</f>
        <v xml:space="preserve"> </v>
      </c>
      <c r="D70" s="6"/>
      <c r="E70" s="6"/>
      <c r="F70" s="6"/>
      <c r="G70" s="6"/>
      <c r="H70" s="6"/>
      <c r="I70" s="6"/>
      <c r="J70" s="6"/>
      <c r="K70" s="6"/>
      <c r="L70" s="6"/>
      <c r="M70" s="6"/>
      <c r="N70" s="6"/>
      <c r="O70" s="1"/>
      <c r="P70" s="1"/>
      <c r="Q70" s="1"/>
      <c r="R70" s="11"/>
      <c r="S70" s="11"/>
      <c r="T70" s="11"/>
    </row>
    <row r="71" spans="1:20">
      <c r="A71" s="1"/>
      <c r="B71" s="1"/>
      <c r="C71" s="1"/>
      <c r="D71" s="1"/>
      <c r="E71" s="1"/>
      <c r="F71" s="1"/>
      <c r="G71" s="1"/>
      <c r="H71" s="1"/>
      <c r="I71" s="1"/>
      <c r="K71" s="1"/>
      <c r="L71" s="1"/>
      <c r="M71" s="1"/>
      <c r="N71" s="1"/>
    </row>
    <row r="72" spans="1:20">
      <c r="A72" s="1"/>
      <c r="B72" s="1"/>
      <c r="C72" s="1"/>
      <c r="D72" s="1"/>
      <c r="E72" s="1"/>
      <c r="F72" s="1"/>
      <c r="G72" s="1"/>
      <c r="H72" s="1"/>
      <c r="I72" s="1"/>
      <c r="K72" s="1"/>
      <c r="L72" s="1"/>
      <c r="M72" s="1"/>
      <c r="N72" s="1"/>
    </row>
    <row r="73" spans="1:20" s="5" customFormat="1">
      <c r="A73" s="135"/>
      <c r="B73" s="135"/>
      <c r="C73" s="135"/>
      <c r="D73" s="30" t="s">
        <v>37</v>
      </c>
      <c r="E73" s="30"/>
      <c r="F73" s="30"/>
      <c r="G73" s="30"/>
      <c r="H73" s="2"/>
      <c r="I73" s="3"/>
      <c r="J73" s="3"/>
      <c r="K73" s="2"/>
      <c r="L73" s="2"/>
      <c r="M73" s="3"/>
      <c r="N73" s="7"/>
      <c r="O73" s="35"/>
      <c r="P73" s="35"/>
      <c r="Q73" s="35"/>
    </row>
    <row r="74" spans="1:20" s="5" customFormat="1">
      <c r="A74" s="136"/>
      <c r="B74" s="136"/>
      <c r="C74" s="136"/>
      <c r="D74" s="137" t="s">
        <v>38</v>
      </c>
      <c r="E74" s="137"/>
      <c r="F74" s="137"/>
      <c r="G74" s="2"/>
      <c r="H74" s="2"/>
      <c r="I74" s="3"/>
      <c r="J74" s="3"/>
      <c r="K74" s="2"/>
      <c r="L74" s="2"/>
      <c r="M74" s="3"/>
      <c r="N74" s="7"/>
      <c r="O74" s="35"/>
      <c r="P74" s="35"/>
      <c r="Q74" s="35"/>
    </row>
    <row r="75" spans="1:20" s="5" customFormat="1">
      <c r="A75" s="138"/>
      <c r="B75" s="138"/>
      <c r="C75" s="138"/>
      <c r="D75" s="139" t="s">
        <v>39</v>
      </c>
      <c r="E75" s="139"/>
      <c r="F75" s="139"/>
      <c r="G75" s="2"/>
      <c r="H75" s="2"/>
      <c r="I75" s="3"/>
      <c r="J75" s="3"/>
      <c r="K75" s="2"/>
      <c r="L75" s="2"/>
      <c r="M75" s="3"/>
      <c r="N75" s="7"/>
      <c r="O75" s="35"/>
      <c r="P75" s="35"/>
      <c r="Q75" s="35"/>
    </row>
    <row r="76" spans="1:20" s="5" customFormat="1">
      <c r="A76" s="132"/>
      <c r="B76" s="132"/>
      <c r="C76" s="132"/>
      <c r="D76" s="133" t="s">
        <v>40</v>
      </c>
      <c r="E76" s="133"/>
      <c r="F76" s="133"/>
      <c r="G76" s="2"/>
      <c r="H76" s="2"/>
      <c r="I76" s="3"/>
      <c r="J76" s="3"/>
      <c r="K76" s="2"/>
      <c r="L76" s="2"/>
      <c r="M76" s="3"/>
      <c r="N76" s="7"/>
      <c r="O76" s="35"/>
      <c r="P76" s="35"/>
      <c r="Q76" s="35"/>
    </row>
    <row r="77" spans="1:20" s="5" customFormat="1">
      <c r="A77" s="134"/>
      <c r="B77" s="134"/>
      <c r="C77" s="134"/>
      <c r="D77" s="28" t="s">
        <v>41</v>
      </c>
      <c r="E77" s="29"/>
      <c r="F77" s="29"/>
      <c r="G77" s="30"/>
      <c r="H77" s="2"/>
      <c r="I77" s="3"/>
      <c r="J77" s="3"/>
      <c r="K77" s="2"/>
      <c r="L77" s="2"/>
      <c r="M77" s="3"/>
      <c r="N77" s="7"/>
      <c r="O77" s="35"/>
      <c r="P77" s="35"/>
      <c r="Q77" s="35"/>
    </row>
    <row r="78" spans="1:20">
      <c r="C78" s="30"/>
      <c r="D78" s="30"/>
      <c r="E78" s="30"/>
      <c r="F78" s="30"/>
      <c r="G78" s="30"/>
      <c r="H78" s="30"/>
    </row>
    <row r="79" spans="1:20">
      <c r="C79" s="28"/>
      <c r="E79" s="28"/>
      <c r="F79" s="29"/>
      <c r="G79" s="29"/>
      <c r="H79" s="30"/>
    </row>
  </sheetData>
  <mergeCells count="32">
    <mergeCell ref="A76:C76"/>
    <mergeCell ref="D76:F76"/>
    <mergeCell ref="A77:C77"/>
    <mergeCell ref="D66:I66"/>
    <mergeCell ref="A73:C73"/>
    <mergeCell ref="A74:C74"/>
    <mergeCell ref="D74:F74"/>
    <mergeCell ref="A75:C75"/>
    <mergeCell ref="D75:F75"/>
    <mergeCell ref="D59:L59"/>
    <mergeCell ref="D61:L61"/>
    <mergeCell ref="D62:L62"/>
    <mergeCell ref="D64:L64"/>
    <mergeCell ref="D65:I65"/>
    <mergeCell ref="D43:L43"/>
    <mergeCell ref="D44:L44"/>
    <mergeCell ref="D50:L50"/>
    <mergeCell ref="D51:L51"/>
    <mergeCell ref="D57:L57"/>
    <mergeCell ref="D36:L36"/>
    <mergeCell ref="D37:L37"/>
    <mergeCell ref="D18:L18"/>
    <mergeCell ref="D19:L19"/>
    <mergeCell ref="A8:L8"/>
    <mergeCell ref="D9:L9"/>
    <mergeCell ref="D11:L11"/>
    <mergeCell ref="D12:L12"/>
    <mergeCell ref="A1:M1"/>
    <mergeCell ref="A3:L3"/>
    <mergeCell ref="A4:L4"/>
    <mergeCell ref="A5:L5"/>
    <mergeCell ref="A6:L6"/>
  </mergeCell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615EF780-8B76-B64F-AA14-AEDEF2711218}">
          <x14:formula1>
            <xm:f>'Master sheet (Clientes)'!$A$6:$A$654</xm:f>
          </x14:formula1>
          <xm:sqref>D40:D41 D54:D55 D15:D16 D47:D48 D69:D70 D22:D34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4DB77-B963-B54F-8F31-52635D9E6AC5}">
  <sheetPr>
    <tabColor rgb="FF00B0F0"/>
  </sheetPr>
  <dimension ref="A1:T91"/>
  <sheetViews>
    <sheetView topLeftCell="A8" zoomScale="85" zoomScaleNormal="85" workbookViewId="0">
      <selection activeCell="K33" sqref="K33:K34"/>
    </sheetView>
  </sheetViews>
  <sheetFormatPr baseColWidth="10" defaultColWidth="10.83203125" defaultRowHeight="23.5"/>
  <cols>
    <col min="1" max="1" width="8" style="2" customWidth="1"/>
    <col min="2" max="2" width="27.33203125" style="2" customWidth="1"/>
    <col min="3" max="3" width="9.5" style="2" customWidth="1"/>
    <col min="4" max="4" width="43.83203125" style="2" customWidth="1"/>
    <col min="5" max="7" width="18.83203125" style="2" customWidth="1"/>
    <col min="8" max="8" width="153.33203125" style="2" customWidth="1"/>
    <col min="9" max="9" width="40.83203125" style="2" customWidth="1"/>
    <col min="10" max="10" width="24.5" style="3" bestFit="1" customWidth="1"/>
    <col min="11" max="12" width="23.1640625" style="3" customWidth="1"/>
    <col min="13" max="13" width="40.83203125" style="2" customWidth="1"/>
    <col min="14" max="14" width="22.83203125" style="3" customWidth="1"/>
    <col min="15" max="17" width="27.1640625" style="1" customWidth="1"/>
    <col min="18" max="16384" width="10.83203125" style="2"/>
  </cols>
  <sheetData>
    <row r="1" spans="1:20" s="1" customFormat="1" ht="36">
      <c r="A1" s="129" t="s">
        <v>53</v>
      </c>
      <c r="B1" s="129"/>
      <c r="C1" s="129"/>
      <c r="D1" s="129"/>
      <c r="E1" s="129"/>
      <c r="F1" s="129"/>
      <c r="G1" s="129"/>
      <c r="H1" s="129"/>
      <c r="I1" s="129"/>
      <c r="J1" s="129"/>
      <c r="K1" s="129"/>
      <c r="L1" s="129"/>
      <c r="M1" s="129"/>
      <c r="N1" s="32"/>
    </row>
    <row r="2" spans="1:20" s="1" customFormat="1" ht="26">
      <c r="A2" s="19"/>
      <c r="B2" s="19"/>
      <c r="C2" s="17"/>
      <c r="D2" s="17"/>
      <c r="E2" s="17"/>
      <c r="F2" s="17"/>
      <c r="G2" s="17"/>
      <c r="H2" s="17"/>
      <c r="I2" s="17"/>
      <c r="J2" s="17"/>
      <c r="K2" s="17"/>
      <c r="L2" s="17"/>
      <c r="M2" s="15"/>
      <c r="N2" s="15"/>
    </row>
    <row r="3" spans="1:20" s="1" customFormat="1" ht="26">
      <c r="A3" s="125"/>
      <c r="B3" s="125"/>
      <c r="C3" s="125"/>
      <c r="D3" s="125"/>
      <c r="E3" s="125"/>
      <c r="F3" s="125"/>
      <c r="G3" s="125"/>
      <c r="H3" s="125"/>
      <c r="I3" s="125"/>
      <c r="J3" s="125"/>
      <c r="K3" s="125"/>
      <c r="L3" s="125"/>
      <c r="M3" s="15"/>
      <c r="N3" s="15"/>
    </row>
    <row r="4" spans="1:20" ht="28.5">
      <c r="A4" s="34"/>
      <c r="B4" s="34"/>
      <c r="C4" s="34"/>
      <c r="D4" s="126" t="s">
        <v>5</v>
      </c>
      <c r="E4" s="126"/>
      <c r="F4" s="126"/>
      <c r="G4" s="126"/>
      <c r="H4" s="126"/>
      <c r="I4" s="126"/>
      <c r="J4" s="126"/>
      <c r="K4" s="126"/>
      <c r="L4" s="126"/>
      <c r="M4" s="18"/>
      <c r="N4" s="18"/>
    </row>
    <row r="5" spans="1:20" s="5" customFormat="1">
      <c r="A5" s="3"/>
      <c r="B5" s="3"/>
      <c r="C5" s="3"/>
      <c r="D5" s="3"/>
      <c r="E5" s="3"/>
      <c r="F5" s="3"/>
      <c r="G5" s="3"/>
      <c r="H5" s="3"/>
      <c r="I5" s="3"/>
      <c r="J5" s="3"/>
      <c r="K5" s="1"/>
      <c r="L5" s="1"/>
      <c r="M5" s="1"/>
      <c r="N5" s="1"/>
      <c r="O5" s="35"/>
      <c r="P5" s="35"/>
      <c r="Q5" s="35"/>
    </row>
    <row r="6" spans="1:20" s="5" customFormat="1" ht="26">
      <c r="A6" s="33"/>
      <c r="B6" s="33"/>
      <c r="C6" s="33"/>
      <c r="D6" s="127" t="s">
        <v>6</v>
      </c>
      <c r="E6" s="127"/>
      <c r="F6" s="127"/>
      <c r="G6" s="127"/>
      <c r="H6" s="127"/>
      <c r="I6" s="127"/>
      <c r="J6" s="127"/>
      <c r="K6" s="127"/>
      <c r="L6" s="127"/>
      <c r="M6" s="16"/>
      <c r="N6" s="16"/>
      <c r="O6" s="35"/>
      <c r="P6" s="35"/>
      <c r="Q6" s="35"/>
    </row>
    <row r="7" spans="1:20" s="5" customFormat="1" ht="26">
      <c r="A7" s="43"/>
      <c r="B7" s="43"/>
      <c r="C7" s="43"/>
      <c r="D7" s="128" t="s">
        <v>7</v>
      </c>
      <c r="E7" s="128"/>
      <c r="F7" s="128"/>
      <c r="G7" s="128"/>
      <c r="H7" s="128"/>
      <c r="I7" s="128"/>
      <c r="J7" s="128"/>
      <c r="K7" s="128"/>
      <c r="L7" s="128"/>
      <c r="M7" s="44"/>
      <c r="N7" s="44"/>
      <c r="O7" s="35"/>
      <c r="P7" s="35"/>
      <c r="Q7" s="35"/>
    </row>
    <row r="8" spans="1:20" s="1" customFormat="1">
      <c r="A8" s="3"/>
      <c r="B8" s="3"/>
      <c r="C8" s="3"/>
      <c r="D8" s="3"/>
      <c r="E8" s="3"/>
      <c r="F8" s="3"/>
      <c r="G8" s="3"/>
      <c r="H8" s="3"/>
      <c r="I8" s="3"/>
      <c r="J8" s="3"/>
    </row>
    <row r="9" spans="1:20" s="1" customFormat="1" ht="47">
      <c r="A9" s="4" t="s">
        <v>8</v>
      </c>
      <c r="B9" s="4" t="s">
        <v>9</v>
      </c>
      <c r="C9" s="4" t="s">
        <v>10</v>
      </c>
      <c r="D9" s="4" t="s">
        <v>11</v>
      </c>
      <c r="E9" s="4" t="s">
        <v>12</v>
      </c>
      <c r="F9" s="4" t="s">
        <v>13</v>
      </c>
      <c r="G9" s="38" t="s">
        <v>14</v>
      </c>
      <c r="H9" s="4" t="s">
        <v>15</v>
      </c>
      <c r="I9" s="38" t="s">
        <v>16</v>
      </c>
      <c r="J9" s="38" t="s">
        <v>17</v>
      </c>
      <c r="K9" s="38" t="s">
        <v>18</v>
      </c>
      <c r="L9" s="38" t="s">
        <v>19</v>
      </c>
      <c r="M9" s="38" t="s">
        <v>20</v>
      </c>
      <c r="N9" s="38" t="s">
        <v>21</v>
      </c>
    </row>
    <row r="10" spans="1:20" s="52" customFormat="1" ht="117.5">
      <c r="A10" s="6" t="str">
        <f>IFERROR(VLOOKUP(D10,'Master sheet (Clientes)'!A$6:D$747,2,0)," ")</f>
        <v>NJ</v>
      </c>
      <c r="B10" s="6" t="str">
        <f>IFERROR(VLOOKUP(D10,'Master sheet (Clientes)'!A$6:D$747,3,0)," ")</f>
        <v>Vivmark Residential</v>
      </c>
      <c r="C10" s="6" t="str">
        <f>IFERROR(VLOOKUP(D10,'Master sheet (Clientes)'!A$6:D$747,4,0)," ")</f>
        <v>N-O</v>
      </c>
      <c r="D10" s="6" t="s">
        <v>78</v>
      </c>
      <c r="E10" s="6">
        <v>419</v>
      </c>
      <c r="F10" s="6" t="s">
        <v>864</v>
      </c>
      <c r="G10" s="6" t="s">
        <v>853</v>
      </c>
      <c r="H10" s="6" t="s">
        <v>1162</v>
      </c>
      <c r="I10" s="77" t="s">
        <v>1290</v>
      </c>
      <c r="J10" s="6" t="s">
        <v>48</v>
      </c>
      <c r="K10" s="6" t="s">
        <v>1163</v>
      </c>
      <c r="L10" s="6"/>
      <c r="M10" s="6" t="s">
        <v>1164</v>
      </c>
      <c r="N10" s="6"/>
      <c r="O10" s="13"/>
      <c r="P10" s="13"/>
      <c r="Q10" s="13"/>
      <c r="R10" s="51"/>
      <c r="S10" s="51"/>
      <c r="T10" s="51"/>
    </row>
    <row r="11" spans="1:20" s="52" customFormat="1" ht="70.5">
      <c r="A11" s="6" t="str">
        <f>IFERROR(VLOOKUP(D11,'Master sheet (Clientes)'!A$6:D$747,2,0)," ")</f>
        <v>NJ</v>
      </c>
      <c r="B11" s="6" t="str">
        <f>IFERROR(VLOOKUP(D11,'Master sheet (Clientes)'!A$6:D$747,3,0)," ")</f>
        <v>Greystar</v>
      </c>
      <c r="C11" s="6" t="str">
        <f>IFERROR(VLOOKUP(D11,'Master sheet (Clientes)'!A$6:D$747,4,0)," ")</f>
        <v>A-V</v>
      </c>
      <c r="D11" s="6" t="s">
        <v>349</v>
      </c>
      <c r="E11" s="6" t="s">
        <v>846</v>
      </c>
      <c r="F11" s="6"/>
      <c r="G11" s="6" t="s">
        <v>917</v>
      </c>
      <c r="H11" s="6" t="s">
        <v>1165</v>
      </c>
      <c r="I11" s="77" t="s">
        <v>1166</v>
      </c>
      <c r="J11" s="6" t="s">
        <v>48</v>
      </c>
      <c r="K11" s="6"/>
      <c r="L11" s="6"/>
      <c r="M11" s="6"/>
      <c r="N11" s="6"/>
      <c r="O11" s="13"/>
      <c r="P11" s="13"/>
      <c r="Q11" s="13"/>
      <c r="R11" s="51"/>
      <c r="S11" s="51"/>
      <c r="T11" s="51"/>
    </row>
    <row r="12" spans="1:20" s="98" customFormat="1" ht="90.5">
      <c r="A12" s="6" t="str">
        <f>IFERROR(VLOOKUP(D12,'Master sheet (Clientes)'!A$6:D$747,2,0)," ")</f>
        <v>NJ</v>
      </c>
      <c r="B12" s="6" t="str">
        <f>IFERROR(VLOOKUP(D12,'Master sheet (Clientes)'!A$6:D$747,3,0)," ")</f>
        <v>Greystar</v>
      </c>
      <c r="C12" s="6" t="str">
        <f>IFERROR(VLOOKUP(D12,'Master sheet (Clientes)'!A$6:D$747,4,0)," ")</f>
        <v>A-V</v>
      </c>
      <c r="D12" s="8" t="s">
        <v>297</v>
      </c>
      <c r="E12" s="8">
        <v>342</v>
      </c>
      <c r="F12" s="8"/>
      <c r="G12" s="8" t="s">
        <v>917</v>
      </c>
      <c r="H12" s="8" t="s">
        <v>1167</v>
      </c>
      <c r="I12" s="95" t="s">
        <v>1168</v>
      </c>
      <c r="J12" s="8" t="s">
        <v>48</v>
      </c>
      <c r="K12" s="8"/>
      <c r="L12" s="8"/>
      <c r="M12" s="8"/>
      <c r="N12" s="8"/>
      <c r="O12" s="96"/>
      <c r="P12" s="96"/>
      <c r="Q12" s="96"/>
      <c r="R12" s="97"/>
      <c r="S12" s="97"/>
      <c r="T12" s="97"/>
    </row>
    <row r="13" spans="1:20" s="52" customFormat="1" ht="70.5">
      <c r="A13" s="6" t="str">
        <f>IFERROR(VLOOKUP(D13,'Master sheet (Clientes)'!A$6:D$747,2,0)," ")</f>
        <v>NJ</v>
      </c>
      <c r="B13" s="6" t="str">
        <f>IFERROR(VLOOKUP(D13,'Master sheet (Clientes)'!A$6:D$747,3,0)," ")</f>
        <v>Skylight</v>
      </c>
      <c r="C13" s="6" t="str">
        <f>IFERROR(VLOOKUP(D13,'Master sheet (Clientes)'!A$6:D$747,4,0)," ")</f>
        <v>N-O</v>
      </c>
      <c r="D13" s="6" t="s">
        <v>727</v>
      </c>
      <c r="E13" s="6">
        <v>614</v>
      </c>
      <c r="F13" s="6"/>
      <c r="G13" s="8" t="s">
        <v>917</v>
      </c>
      <c r="H13" s="6" t="s">
        <v>1652</v>
      </c>
      <c r="I13" s="77" t="s">
        <v>1653</v>
      </c>
      <c r="J13" s="8" t="s">
        <v>48</v>
      </c>
      <c r="K13" s="6" t="s">
        <v>1651</v>
      </c>
      <c r="L13" s="6"/>
      <c r="M13" s="6"/>
      <c r="N13" s="6"/>
      <c r="O13" s="13"/>
      <c r="P13" s="13"/>
      <c r="Q13" s="13"/>
      <c r="R13" s="51"/>
      <c r="S13" s="51"/>
      <c r="T13" s="51"/>
    </row>
    <row r="14" spans="1:20" s="52" customFormat="1">
      <c r="A14" s="6" t="str">
        <f>IFERROR(VLOOKUP(D14,'Master sheet (Clientes)'!A$6:D$747,2,0)," ")</f>
        <v xml:space="preserve"> </v>
      </c>
      <c r="B14" s="6" t="str">
        <f>IFERROR(VLOOKUP(D14,'Master sheet (Clientes)'!A$6:D$747,3,0)," ")</f>
        <v xml:space="preserve"> </v>
      </c>
      <c r="C14" s="6" t="str">
        <f>IFERROR(VLOOKUP(D14,'Master sheet (Clientes)'!A$6:D$747,4,0)," ")</f>
        <v xml:space="preserve"> </v>
      </c>
      <c r="D14" s="6"/>
      <c r="E14" s="6"/>
      <c r="F14" s="6"/>
      <c r="G14" s="6"/>
      <c r="H14" s="6"/>
      <c r="I14" s="6"/>
      <c r="J14" s="6"/>
      <c r="K14" s="6"/>
      <c r="L14" s="6"/>
      <c r="M14" s="6"/>
      <c r="N14" s="6"/>
      <c r="O14" s="13"/>
      <c r="P14" s="13"/>
      <c r="Q14" s="13"/>
      <c r="R14" s="51"/>
      <c r="S14" s="51"/>
      <c r="T14" s="51"/>
    </row>
    <row r="15" spans="1:20" s="52" customFormat="1">
      <c r="A15" s="6" t="str">
        <f>IFERROR(VLOOKUP(D15,'Master sheet (Clientes)'!A$6:D$747,2,0)," ")</f>
        <v xml:space="preserve"> </v>
      </c>
      <c r="B15" s="6" t="str">
        <f>IFERROR(VLOOKUP(D15,'Master sheet (Clientes)'!A$6:D$747,3,0)," ")</f>
        <v xml:space="preserve"> </v>
      </c>
      <c r="C15" s="6" t="str">
        <f>IFERROR(VLOOKUP(D15,'Master sheet (Clientes)'!A$6:D$747,4,0)," ")</f>
        <v xml:space="preserve"> </v>
      </c>
      <c r="D15" s="6"/>
      <c r="E15" s="6"/>
      <c r="F15" s="6"/>
      <c r="G15" s="6"/>
      <c r="H15" s="6"/>
      <c r="I15" s="6"/>
      <c r="J15" s="6"/>
      <c r="K15" s="6"/>
      <c r="L15" s="6"/>
      <c r="M15" s="6"/>
      <c r="N15" s="6"/>
      <c r="O15" s="13"/>
      <c r="P15" s="13"/>
      <c r="Q15" s="13"/>
      <c r="R15" s="51"/>
      <c r="S15" s="51"/>
      <c r="T15" s="51"/>
    </row>
    <row r="16" spans="1:20">
      <c r="A16" s="13"/>
      <c r="B16" s="13"/>
      <c r="C16" s="13"/>
      <c r="D16" s="13"/>
      <c r="E16" s="13"/>
      <c r="F16" s="13"/>
      <c r="G16" s="13"/>
      <c r="H16" s="13"/>
      <c r="I16" s="13"/>
      <c r="J16" s="13"/>
      <c r="K16" s="1"/>
      <c r="L16" s="1"/>
      <c r="M16" s="1"/>
      <c r="N16" s="1"/>
    </row>
    <row r="17" spans="1:20" ht="26">
      <c r="A17" s="33"/>
      <c r="B17" s="33"/>
      <c r="C17" s="33"/>
      <c r="D17" s="127" t="s">
        <v>24</v>
      </c>
      <c r="E17" s="127"/>
      <c r="F17" s="127"/>
      <c r="G17" s="127"/>
      <c r="H17" s="127"/>
      <c r="I17" s="127"/>
      <c r="J17" s="127"/>
      <c r="K17" s="127"/>
      <c r="L17" s="127"/>
      <c r="M17" s="16"/>
      <c r="N17" s="16"/>
    </row>
    <row r="18" spans="1:20" s="5" customFormat="1" ht="26">
      <c r="A18" s="43"/>
      <c r="B18" s="43"/>
      <c r="C18" s="43"/>
      <c r="D18" s="128" t="s">
        <v>25</v>
      </c>
      <c r="E18" s="128"/>
      <c r="F18" s="128"/>
      <c r="G18" s="128"/>
      <c r="H18" s="128"/>
      <c r="I18" s="128"/>
      <c r="J18" s="128"/>
      <c r="K18" s="128"/>
      <c r="L18" s="128"/>
      <c r="M18" s="44"/>
      <c r="N18" s="44"/>
      <c r="O18" s="35"/>
      <c r="P18" s="35"/>
      <c r="Q18" s="35"/>
    </row>
    <row r="19" spans="1:20" s="1" customFormat="1">
      <c r="A19" s="3"/>
      <c r="B19" s="3"/>
      <c r="C19" s="3"/>
      <c r="D19" s="3"/>
      <c r="E19" s="3"/>
      <c r="F19" s="3"/>
      <c r="G19" s="3"/>
      <c r="H19" s="3"/>
      <c r="I19" s="3"/>
      <c r="J19" s="3"/>
    </row>
    <row r="20" spans="1:20" s="1" customFormat="1" ht="47">
      <c r="A20" s="4" t="s">
        <v>8</v>
      </c>
      <c r="B20" s="4" t="s">
        <v>9</v>
      </c>
      <c r="C20" s="4" t="s">
        <v>10</v>
      </c>
      <c r="D20" s="4" t="s">
        <v>11</v>
      </c>
      <c r="E20" s="4" t="s">
        <v>12</v>
      </c>
      <c r="F20" s="4" t="s">
        <v>13</v>
      </c>
      <c r="G20" s="38" t="s">
        <v>14</v>
      </c>
      <c r="H20" s="4" t="s">
        <v>15</v>
      </c>
      <c r="I20" s="38" t="s">
        <v>16</v>
      </c>
      <c r="J20" s="38" t="s">
        <v>17</v>
      </c>
      <c r="K20" s="38" t="s">
        <v>18</v>
      </c>
      <c r="L20" s="38" t="s">
        <v>19</v>
      </c>
      <c r="M20" s="38" t="s">
        <v>20</v>
      </c>
      <c r="N20" s="38" t="s">
        <v>21</v>
      </c>
    </row>
    <row r="21" spans="1:20" s="52" customFormat="1" ht="94">
      <c r="A21" s="6" t="str">
        <f>IFERROR(VLOOKUP(D21,'Master sheet (Clientes)'!A$6:D$747,2,0)," ")</f>
        <v>NJ</v>
      </c>
      <c r="B21" s="6" t="str">
        <f>IFERROR(VLOOKUP(D21,'Master sheet (Clientes)'!A$6:D$747,3,0)," ")</f>
        <v>Skylight</v>
      </c>
      <c r="C21" s="6" t="str">
        <f>IFERROR(VLOOKUP(D21,'Master sheet (Clientes)'!A$6:D$747,4,0)," ")</f>
        <v>N-O</v>
      </c>
      <c r="D21" s="6" t="s">
        <v>726</v>
      </c>
      <c r="E21" s="6" t="s">
        <v>891</v>
      </c>
      <c r="F21" s="6"/>
      <c r="G21" s="6"/>
      <c r="H21" s="6" t="s">
        <v>1169</v>
      </c>
      <c r="I21" s="77" t="s">
        <v>1170</v>
      </c>
      <c r="J21" s="6" t="s">
        <v>48</v>
      </c>
      <c r="K21" s="6" t="s">
        <v>892</v>
      </c>
      <c r="L21" s="6"/>
      <c r="M21" s="6" t="s">
        <v>893</v>
      </c>
      <c r="N21" s="6"/>
      <c r="O21" s="13"/>
      <c r="P21" s="13"/>
      <c r="Q21" s="13"/>
      <c r="R21" s="51"/>
      <c r="S21" s="51"/>
      <c r="T21" s="51"/>
    </row>
    <row r="22" spans="1:20" s="52" customFormat="1" ht="164.5">
      <c r="A22" s="6" t="str">
        <f>IFERROR(VLOOKUP(D22,'Master sheet (Clientes)'!A$6:D$747,2,0)," ")</f>
        <v>NJ</v>
      </c>
      <c r="B22" s="6" t="str">
        <f>IFERROR(VLOOKUP(D22,'Master sheet (Clientes)'!A$6:D$747,3,0)," ")</f>
        <v>Greystar</v>
      </c>
      <c r="C22" s="6" t="str">
        <f>IFERROR(VLOOKUP(D22,'Master sheet (Clientes)'!A$6:D$747,4,0)," ")</f>
        <v>A-V</v>
      </c>
      <c r="D22" s="6" t="s">
        <v>875</v>
      </c>
      <c r="E22" s="6" t="s">
        <v>1171</v>
      </c>
      <c r="F22" s="6"/>
      <c r="G22" s="6"/>
      <c r="H22" s="6" t="s">
        <v>1172</v>
      </c>
      <c r="I22" s="77" t="s">
        <v>1173</v>
      </c>
      <c r="J22" s="6" t="s">
        <v>48</v>
      </c>
      <c r="K22" s="6" t="s">
        <v>1174</v>
      </c>
      <c r="L22" s="6"/>
      <c r="M22" s="6" t="s">
        <v>1175</v>
      </c>
      <c r="N22" s="6"/>
      <c r="O22" s="13"/>
      <c r="P22" s="13"/>
      <c r="Q22" s="13"/>
      <c r="R22" s="51"/>
      <c r="S22" s="51"/>
      <c r="T22" s="51"/>
    </row>
    <row r="23" spans="1:20" s="12" customFormat="1" ht="70.5">
      <c r="A23" s="6" t="str">
        <f>IFERROR(VLOOKUP(D23,'Master sheet (Clientes)'!A$6:D$747,2,0)," ")</f>
        <v>NJ</v>
      </c>
      <c r="B23" s="6" t="str">
        <f>IFERROR(VLOOKUP(D23,'Master sheet (Clientes)'!A$6:D$747,3,0)," ")</f>
        <v>Vivmark Residential</v>
      </c>
      <c r="C23" s="6" t="str">
        <f>IFERROR(VLOOKUP(D23,'Master sheet (Clientes)'!A$6:D$747,4,0)," ")</f>
        <v>A-V</v>
      </c>
      <c r="D23" s="6" t="s">
        <v>286</v>
      </c>
      <c r="E23" s="6">
        <v>602</v>
      </c>
      <c r="F23" s="6"/>
      <c r="G23" s="6" t="s">
        <v>837</v>
      </c>
      <c r="H23" s="6" t="s">
        <v>912</v>
      </c>
      <c r="I23" s="77" t="s">
        <v>1232</v>
      </c>
      <c r="J23" s="6" t="s">
        <v>48</v>
      </c>
      <c r="K23" s="6" t="s">
        <v>913</v>
      </c>
      <c r="L23" s="6"/>
      <c r="M23" s="6"/>
      <c r="N23" s="6"/>
      <c r="O23" s="1"/>
      <c r="P23" s="1"/>
      <c r="Q23" s="1"/>
      <c r="R23" s="11"/>
      <c r="S23" s="11"/>
      <c r="T23" s="11"/>
    </row>
    <row r="24" spans="1:20" s="9" customFormat="1">
      <c r="A24" s="6" t="str">
        <f>IFERROR(VLOOKUP(D24,'Master sheet (Clientes)'!A$6:D$747,2,0)," ")</f>
        <v xml:space="preserve"> </v>
      </c>
      <c r="B24" s="6" t="str">
        <f>IFERROR(VLOOKUP(D24,'Master sheet (Clientes)'!A$6:D$747,3,0)," ")</f>
        <v xml:space="preserve"> </v>
      </c>
      <c r="C24" s="6" t="str">
        <f>IFERROR(VLOOKUP(D24,'Master sheet (Clientes)'!A$6:D$747,4,0)," ")</f>
        <v xml:space="preserve"> </v>
      </c>
      <c r="D24" s="6"/>
      <c r="E24" s="6"/>
      <c r="F24" s="6"/>
      <c r="G24" s="6"/>
      <c r="H24" s="6"/>
      <c r="I24" s="6"/>
      <c r="J24" s="6"/>
      <c r="K24" s="6"/>
      <c r="L24" s="6"/>
      <c r="M24" s="6"/>
      <c r="N24" s="6"/>
      <c r="O24" s="13"/>
      <c r="P24" s="13"/>
      <c r="Q24" s="13"/>
    </row>
    <row r="25" spans="1:20" s="9" customFormat="1">
      <c r="A25" s="6" t="str">
        <f>IFERROR(VLOOKUP(D25,'Master sheet (Clientes)'!A$6:D$747,2,0)," ")</f>
        <v xml:space="preserve"> </v>
      </c>
      <c r="B25" s="6" t="str">
        <f>IFERROR(VLOOKUP(D25,'Master sheet (Clientes)'!A$6:D$747,3,0)," ")</f>
        <v xml:space="preserve"> </v>
      </c>
      <c r="C25" s="6" t="str">
        <f>IFERROR(VLOOKUP(D25,'Master sheet (Clientes)'!A$6:D$747,4,0)," ")</f>
        <v xml:space="preserve"> </v>
      </c>
      <c r="D25" s="6"/>
      <c r="E25" s="6"/>
      <c r="F25" s="6"/>
      <c r="G25" s="6"/>
      <c r="H25" s="6"/>
      <c r="I25" s="6"/>
      <c r="J25" s="6"/>
      <c r="K25" s="6"/>
      <c r="L25" s="6"/>
      <c r="M25" s="6"/>
      <c r="N25" s="6"/>
      <c r="O25" s="13"/>
      <c r="P25" s="13"/>
      <c r="Q25" s="13"/>
    </row>
    <row r="26" spans="1:20">
      <c r="A26" s="13"/>
      <c r="B26" s="13"/>
      <c r="C26" s="13"/>
      <c r="D26" s="13"/>
      <c r="E26" s="13"/>
      <c r="F26" s="13"/>
      <c r="G26" s="13"/>
      <c r="H26" s="13"/>
      <c r="I26" s="13"/>
      <c r="J26" s="13"/>
      <c r="K26" s="1"/>
      <c r="L26" s="1"/>
      <c r="M26" s="1"/>
      <c r="N26" s="1"/>
    </row>
    <row r="27" spans="1:20" ht="26">
      <c r="A27" s="33"/>
      <c r="B27" s="33"/>
      <c r="C27" s="33"/>
      <c r="D27" s="127" t="s">
        <v>26</v>
      </c>
      <c r="E27" s="127"/>
      <c r="F27" s="127"/>
      <c r="G27" s="127"/>
      <c r="H27" s="127"/>
      <c r="I27" s="127"/>
      <c r="J27" s="127"/>
      <c r="K27" s="127"/>
      <c r="L27" s="127"/>
      <c r="M27" s="16"/>
      <c r="N27" s="16"/>
    </row>
    <row r="28" spans="1:20" s="5" customFormat="1" ht="26">
      <c r="A28" s="43"/>
      <c r="B28" s="43"/>
      <c r="C28" s="43"/>
      <c r="D28" s="128" t="s">
        <v>27</v>
      </c>
      <c r="E28" s="128"/>
      <c r="F28" s="128"/>
      <c r="G28" s="128"/>
      <c r="H28" s="128"/>
      <c r="I28" s="128"/>
      <c r="J28" s="128"/>
      <c r="K28" s="128"/>
      <c r="L28" s="128"/>
      <c r="M28" s="44"/>
      <c r="N28" s="44"/>
      <c r="O28" s="35"/>
      <c r="P28" s="35"/>
      <c r="Q28" s="35"/>
    </row>
    <row r="29" spans="1:20" s="1" customFormat="1">
      <c r="A29" s="3"/>
      <c r="B29" s="3"/>
      <c r="C29" s="3"/>
      <c r="D29" s="3"/>
      <c r="E29" s="3"/>
      <c r="F29" s="3"/>
      <c r="G29" s="3"/>
      <c r="H29" s="3"/>
      <c r="I29" s="3"/>
      <c r="J29" s="3"/>
    </row>
    <row r="30" spans="1:20" s="1" customFormat="1" ht="47">
      <c r="A30" s="4" t="s">
        <v>8</v>
      </c>
      <c r="B30" s="4" t="s">
        <v>9</v>
      </c>
      <c r="C30" s="4" t="s">
        <v>10</v>
      </c>
      <c r="D30" s="4" t="s">
        <v>11</v>
      </c>
      <c r="E30" s="4" t="s">
        <v>12</v>
      </c>
      <c r="F30" s="4" t="s">
        <v>13</v>
      </c>
      <c r="G30" s="38" t="s">
        <v>14</v>
      </c>
      <c r="H30" s="4" t="s">
        <v>15</v>
      </c>
      <c r="I30" s="38" t="s">
        <v>16</v>
      </c>
      <c r="J30" s="38" t="s">
        <v>17</v>
      </c>
      <c r="K30" s="38" t="s">
        <v>18</v>
      </c>
      <c r="L30" s="38" t="s">
        <v>19</v>
      </c>
      <c r="M30" s="38" t="s">
        <v>20</v>
      </c>
      <c r="N30" s="38" t="s">
        <v>21</v>
      </c>
    </row>
    <row r="31" spans="1:20" s="9" customFormat="1" ht="70.5">
      <c r="A31" s="6" t="str">
        <f>IFERROR(VLOOKUP(D31,'Master sheet (Clientes)'!A$6:D$747,2,0)," ")</f>
        <v>NJ</v>
      </c>
      <c r="B31" s="6" t="str">
        <f>IFERROR(VLOOKUP(D31,'Master sheet (Clientes)'!A$6:D$747,3,0)," ")</f>
        <v>C/O Realty</v>
      </c>
      <c r="C31" s="6" t="str">
        <f>IFERROR(VLOOKUP(D31,'Master sheet (Clientes)'!A$6:D$747,4,0)," ")</f>
        <v>N-O</v>
      </c>
      <c r="D31" s="6" t="s">
        <v>226</v>
      </c>
      <c r="E31" s="6" t="s">
        <v>1176</v>
      </c>
      <c r="F31" s="6"/>
      <c r="G31" s="6"/>
      <c r="H31" s="6" t="s">
        <v>1177</v>
      </c>
      <c r="I31" s="77" t="s">
        <v>1178</v>
      </c>
      <c r="J31" s="6" t="s">
        <v>840</v>
      </c>
      <c r="K31" s="6" t="s">
        <v>1179</v>
      </c>
      <c r="L31" s="6"/>
      <c r="M31" s="6" t="s">
        <v>1180</v>
      </c>
      <c r="N31" s="6"/>
      <c r="O31" s="13"/>
      <c r="P31" s="13"/>
      <c r="Q31" s="13"/>
    </row>
    <row r="32" spans="1:20" s="9" customFormat="1" ht="94">
      <c r="A32" s="6" t="str">
        <f>IFERROR(VLOOKUP(D32,'Master sheet (Clientes)'!A$6:D$747,2,0)," ")</f>
        <v>NJ</v>
      </c>
      <c r="B32" s="6" t="str">
        <f>IFERROR(VLOOKUP(D32,'Master sheet (Clientes)'!A$6:D$747,3,0)," ")</f>
        <v>C/O Realty</v>
      </c>
      <c r="C32" s="6" t="str">
        <f>IFERROR(VLOOKUP(D32,'Master sheet (Clientes)'!A$6:D$747,4,0)," ")</f>
        <v>N-O</v>
      </c>
      <c r="D32" s="6" t="s">
        <v>217</v>
      </c>
      <c r="E32" s="6"/>
      <c r="F32" s="6"/>
      <c r="G32" s="6"/>
      <c r="H32" s="6" t="s">
        <v>1181</v>
      </c>
      <c r="I32" s="77" t="s">
        <v>1182</v>
      </c>
      <c r="J32" s="6" t="s">
        <v>840</v>
      </c>
      <c r="K32" s="6" t="s">
        <v>1634</v>
      </c>
      <c r="L32" s="6"/>
      <c r="M32" s="6"/>
      <c r="N32" s="6"/>
      <c r="O32" s="13"/>
      <c r="P32" s="13"/>
      <c r="Q32" s="13"/>
    </row>
    <row r="33" spans="1:17" s="9" customFormat="1" ht="94">
      <c r="A33" s="6" t="str">
        <f>IFERROR(VLOOKUP(D33,'Master sheet (Clientes)'!A$6:D$747,2,0)," ")</f>
        <v>NJ</v>
      </c>
      <c r="B33" s="6" t="str">
        <f>IFERROR(VLOOKUP(D33,'Master sheet (Clientes)'!A$6:D$747,3,0)," ")</f>
        <v>C/O Realty</v>
      </c>
      <c r="C33" s="6" t="str">
        <f>IFERROR(VLOOKUP(D33,'Master sheet (Clientes)'!A$6:D$747,4,0)," ")</f>
        <v>N-O</v>
      </c>
      <c r="D33" s="6" t="s">
        <v>209</v>
      </c>
      <c r="E33" s="6"/>
      <c r="F33" s="6"/>
      <c r="G33" s="6"/>
      <c r="H33" s="6" t="s">
        <v>1181</v>
      </c>
      <c r="I33" s="77" t="s">
        <v>1182</v>
      </c>
      <c r="J33" s="6" t="s">
        <v>840</v>
      </c>
      <c r="K33" s="6" t="s">
        <v>1183</v>
      </c>
      <c r="L33" s="6"/>
      <c r="M33" s="6"/>
      <c r="N33" s="6"/>
      <c r="O33" s="13"/>
      <c r="P33" s="13"/>
      <c r="Q33" s="13"/>
    </row>
    <row r="34" spans="1:17" s="9" customFormat="1" ht="94">
      <c r="A34" s="6" t="str">
        <f>IFERROR(VLOOKUP(D34,'Master sheet (Clientes)'!A$6:D$747,2,0)," ")</f>
        <v>NJ</v>
      </c>
      <c r="B34" s="6" t="str">
        <f>IFERROR(VLOOKUP(D34,'Master sheet (Clientes)'!A$6:D$747,3,0)," ")</f>
        <v>C/O Realty</v>
      </c>
      <c r="C34" s="6" t="str">
        <f>IFERROR(VLOOKUP(D34,'Master sheet (Clientes)'!A$6:D$747,4,0)," ")</f>
        <v>N-O</v>
      </c>
      <c r="D34" s="6" t="s">
        <v>226</v>
      </c>
      <c r="E34" s="6"/>
      <c r="F34" s="6"/>
      <c r="G34" s="6"/>
      <c r="H34" s="6" t="s">
        <v>1181</v>
      </c>
      <c r="I34" s="77" t="s">
        <v>1182</v>
      </c>
      <c r="J34" s="6" t="s">
        <v>840</v>
      </c>
      <c r="K34" s="6" t="s">
        <v>1635</v>
      </c>
      <c r="L34" s="6"/>
      <c r="M34" s="6"/>
      <c r="N34" s="6"/>
      <c r="O34" s="13"/>
      <c r="P34" s="13"/>
      <c r="Q34" s="13"/>
    </row>
    <row r="35" spans="1:17" s="9" customFormat="1" ht="94">
      <c r="A35" s="6" t="str">
        <f>IFERROR(VLOOKUP(D35,'Master sheet (Clientes)'!A$6:D$747,2,0)," ")</f>
        <v>NJ</v>
      </c>
      <c r="B35" s="6" t="str">
        <f>IFERROR(VLOOKUP(D35,'Master sheet (Clientes)'!A$6:D$747,3,0)," ")</f>
        <v>C/O Realty</v>
      </c>
      <c r="C35" s="6" t="str">
        <f>IFERROR(VLOOKUP(D35,'Master sheet (Clientes)'!A$6:D$747,4,0)," ")</f>
        <v>N-O</v>
      </c>
      <c r="D35" s="6" t="s">
        <v>212</v>
      </c>
      <c r="E35" s="6"/>
      <c r="F35" s="6"/>
      <c r="G35" s="6"/>
      <c r="H35" s="6" t="s">
        <v>1181</v>
      </c>
      <c r="I35" s="77" t="s">
        <v>1182</v>
      </c>
      <c r="J35" s="6" t="s">
        <v>840</v>
      </c>
      <c r="K35" s="6" t="s">
        <v>1184</v>
      </c>
      <c r="L35" s="6"/>
      <c r="M35" s="6"/>
      <c r="N35" s="6"/>
      <c r="O35" s="13"/>
      <c r="P35" s="13"/>
      <c r="Q35" s="13"/>
    </row>
    <row r="36" spans="1:17" s="9" customFormat="1" ht="94">
      <c r="A36" s="6" t="str">
        <f>IFERROR(VLOOKUP(D36,'Master sheet (Clientes)'!A$6:D$747,2,0)," ")</f>
        <v>NJ</v>
      </c>
      <c r="B36" s="6" t="str">
        <f>IFERROR(VLOOKUP(D36,'Master sheet (Clientes)'!A$6:D$747,3,0)," ")</f>
        <v>C/O Realty</v>
      </c>
      <c r="C36" s="6" t="str">
        <f>IFERROR(VLOOKUP(D36,'Master sheet (Clientes)'!A$6:D$747,4,0)," ")</f>
        <v>N-O</v>
      </c>
      <c r="D36" s="6" t="s">
        <v>220</v>
      </c>
      <c r="E36" s="6"/>
      <c r="F36" s="6"/>
      <c r="G36" s="6"/>
      <c r="H36" s="6" t="s">
        <v>1181</v>
      </c>
      <c r="I36" s="77" t="s">
        <v>1182</v>
      </c>
      <c r="J36" s="6" t="s">
        <v>840</v>
      </c>
      <c r="K36" s="6" t="s">
        <v>1185</v>
      </c>
      <c r="L36" s="6"/>
      <c r="M36" s="6"/>
      <c r="N36" s="6"/>
      <c r="O36" s="13"/>
      <c r="P36" s="13"/>
      <c r="Q36" s="13"/>
    </row>
    <row r="37" spans="1:17" s="9" customFormat="1" ht="94">
      <c r="A37" s="6" t="str">
        <f>IFERROR(VLOOKUP(D37,'Master sheet (Clientes)'!A$6:D$747,2,0)," ")</f>
        <v>NJ</v>
      </c>
      <c r="B37" s="6" t="str">
        <f>IFERROR(VLOOKUP(D37,'Master sheet (Clientes)'!A$6:D$747,3,0)," ")</f>
        <v>C/O Realty</v>
      </c>
      <c r="C37" s="6" t="str">
        <f>IFERROR(VLOOKUP(D37,'Master sheet (Clientes)'!A$6:D$747,4,0)," ")</f>
        <v>N-O</v>
      </c>
      <c r="D37" s="6" t="s">
        <v>221</v>
      </c>
      <c r="E37" s="6" t="s">
        <v>1186</v>
      </c>
      <c r="F37" s="6"/>
      <c r="G37" s="6"/>
      <c r="H37" s="6" t="s">
        <v>1187</v>
      </c>
      <c r="I37" s="77" t="s">
        <v>1307</v>
      </c>
      <c r="J37" s="6" t="s">
        <v>840</v>
      </c>
      <c r="K37" s="6" t="s">
        <v>1188</v>
      </c>
      <c r="L37" s="6"/>
      <c r="M37" s="6"/>
      <c r="N37" s="6"/>
      <c r="O37" s="13"/>
      <c r="P37" s="13"/>
      <c r="Q37" s="13"/>
    </row>
    <row r="38" spans="1:17" ht="117.5">
      <c r="A38" s="6" t="str">
        <f>IFERROR(VLOOKUP(D38,'Master sheet (Clientes)'!A$6:D$747,2,0)," ")</f>
        <v>NJ</v>
      </c>
      <c r="B38" s="6" t="str">
        <f>IFERROR(VLOOKUP(D38,'Master sheet (Clientes)'!A$6:D$747,3,0)," ")</f>
        <v>C/O Realty</v>
      </c>
      <c r="C38" s="6" t="str">
        <f>IFERROR(VLOOKUP(D38,'Master sheet (Clientes)'!A$6:D$747,4,0)," ")</f>
        <v>N-O</v>
      </c>
      <c r="D38" s="6" t="s">
        <v>226</v>
      </c>
      <c r="E38" s="6">
        <v>2409</v>
      </c>
      <c r="F38" s="6" t="s">
        <v>854</v>
      </c>
      <c r="G38" s="6" t="s">
        <v>853</v>
      </c>
      <c r="H38" s="6" t="s">
        <v>1780</v>
      </c>
      <c r="I38" s="77" t="s">
        <v>1044</v>
      </c>
      <c r="J38" s="6" t="s">
        <v>869</v>
      </c>
      <c r="K38" s="6" t="s">
        <v>1249</v>
      </c>
      <c r="L38" s="6"/>
      <c r="M38" s="6"/>
      <c r="N38" s="6"/>
    </row>
    <row r="39" spans="1:17" s="9" customFormat="1" ht="117.5">
      <c r="A39" s="6" t="str">
        <f>IFERROR(VLOOKUP(D39,'Master sheet (Clientes)'!A$6:D$747,2,0)," ")</f>
        <v>NJ</v>
      </c>
      <c r="B39" s="6" t="str">
        <f>IFERROR(VLOOKUP(D39,'Master sheet (Clientes)'!A$6:D$747,3,0)," ")</f>
        <v>C/O Realty</v>
      </c>
      <c r="C39" s="6" t="str">
        <f>IFERROR(VLOOKUP(D39,'Master sheet (Clientes)'!A$6:D$747,4,0)," ")</f>
        <v>N-O</v>
      </c>
      <c r="D39" s="6" t="s">
        <v>214</v>
      </c>
      <c r="E39" s="6">
        <v>1804</v>
      </c>
      <c r="F39" s="6"/>
      <c r="G39" s="6" t="s">
        <v>917</v>
      </c>
      <c r="H39" s="6" t="s">
        <v>1039</v>
      </c>
      <c r="I39" s="77" t="s">
        <v>1403</v>
      </c>
      <c r="J39" s="6" t="s">
        <v>869</v>
      </c>
      <c r="K39" s="6" t="s">
        <v>1040</v>
      </c>
      <c r="L39" s="6"/>
      <c r="M39" s="6"/>
      <c r="N39" s="6"/>
      <c r="O39" s="13"/>
      <c r="P39" s="13"/>
      <c r="Q39" s="13"/>
    </row>
    <row r="40" spans="1:17" ht="117.5">
      <c r="A40" s="6" t="str">
        <f>IFERROR(VLOOKUP(D40,'Master sheet (Clientes)'!A$6:D$747,2,0)," ")</f>
        <v>NJ</v>
      </c>
      <c r="B40" s="6" t="str">
        <f>IFERROR(VLOOKUP(D40,'Master sheet (Clientes)'!A$6:D$747,3,0)," ")</f>
        <v>C/O Realty</v>
      </c>
      <c r="C40" s="6" t="str">
        <f>IFERROR(VLOOKUP(D40,'Master sheet (Clientes)'!A$6:D$747,4,0)," ")</f>
        <v>N-O</v>
      </c>
      <c r="D40" s="6" t="s">
        <v>214</v>
      </c>
      <c r="E40" s="6">
        <v>1804</v>
      </c>
      <c r="F40" s="6"/>
      <c r="G40" s="6" t="s">
        <v>917</v>
      </c>
      <c r="H40" s="6" t="s">
        <v>1042</v>
      </c>
      <c r="I40" s="113" t="s">
        <v>1404</v>
      </c>
      <c r="J40" s="6" t="s">
        <v>869</v>
      </c>
      <c r="K40" s="6" t="s">
        <v>1043</v>
      </c>
      <c r="L40" s="6"/>
      <c r="M40" s="6"/>
      <c r="N40" s="6"/>
    </row>
    <row r="41" spans="1:17" s="9" customFormat="1" ht="47">
      <c r="A41" s="6" t="str">
        <f>IFERROR(VLOOKUP(D41,'Master sheet (Clientes)'!A$6:D$747,2,0)," ")</f>
        <v>NJ</v>
      </c>
      <c r="B41" s="6" t="str">
        <f>IFERROR(VLOOKUP(D41,'Master sheet (Clientes)'!A$6:D$747,3,0)," ")</f>
        <v>C/O Realty</v>
      </c>
      <c r="C41" s="6" t="str">
        <f>IFERROR(VLOOKUP(D41,'Master sheet (Clientes)'!A$6:D$747,4,0)," ")</f>
        <v>N-O</v>
      </c>
      <c r="D41" s="6" t="s">
        <v>209</v>
      </c>
      <c r="E41" s="6" t="s">
        <v>1775</v>
      </c>
      <c r="F41" s="6"/>
      <c r="G41" s="6"/>
      <c r="H41" s="6" t="s">
        <v>1776</v>
      </c>
      <c r="I41" s="77" t="s">
        <v>1777</v>
      </c>
      <c r="J41" s="6" t="s">
        <v>869</v>
      </c>
      <c r="K41" s="6" t="s">
        <v>1778</v>
      </c>
      <c r="L41" s="6"/>
      <c r="M41" s="6"/>
      <c r="N41" s="6"/>
      <c r="O41" s="13"/>
      <c r="P41" s="13"/>
      <c r="Q41" s="13"/>
    </row>
    <row r="42" spans="1:17" s="9" customFormat="1">
      <c r="A42" s="6" t="str">
        <f>IFERROR(VLOOKUP(D42,'Master sheet (Clientes)'!A$6:D$747,2,0)," ")</f>
        <v xml:space="preserve"> </v>
      </c>
      <c r="B42" s="6" t="str">
        <f>IFERROR(VLOOKUP(D42,'Master sheet (Clientes)'!A$6:D$747,3,0)," ")</f>
        <v xml:space="preserve"> </v>
      </c>
      <c r="C42" s="6" t="str">
        <f>IFERROR(VLOOKUP(D42,'Master sheet (Clientes)'!A$6:D$747,4,0)," ")</f>
        <v xml:space="preserve"> </v>
      </c>
      <c r="D42" s="6"/>
      <c r="E42" s="6"/>
      <c r="F42" s="6"/>
      <c r="G42" s="6"/>
      <c r="H42" s="6"/>
      <c r="I42" s="6"/>
      <c r="J42" s="6"/>
      <c r="K42" s="6"/>
      <c r="L42" s="6"/>
      <c r="M42" s="6"/>
      <c r="N42" s="6"/>
      <c r="O42" s="13"/>
      <c r="P42" s="13"/>
      <c r="Q42" s="13"/>
    </row>
    <row r="43" spans="1:17">
      <c r="A43" s="1"/>
      <c r="B43" s="1"/>
      <c r="C43" s="1"/>
      <c r="D43" s="1"/>
      <c r="E43" s="1"/>
      <c r="F43" s="1"/>
      <c r="G43" s="1"/>
      <c r="H43" s="1"/>
      <c r="I43" s="1"/>
      <c r="K43" s="1"/>
      <c r="L43" s="1"/>
      <c r="M43" s="1"/>
      <c r="N43" s="1"/>
    </row>
    <row r="44" spans="1:17" ht="26">
      <c r="A44" s="33"/>
      <c r="B44" s="33"/>
      <c r="C44" s="33"/>
      <c r="D44" s="127" t="s">
        <v>28</v>
      </c>
      <c r="E44" s="127"/>
      <c r="F44" s="127"/>
      <c r="G44" s="127"/>
      <c r="H44" s="127"/>
      <c r="I44" s="127"/>
      <c r="J44" s="127"/>
      <c r="K44" s="127"/>
      <c r="L44" s="127"/>
      <c r="M44" s="16"/>
      <c r="N44" s="16"/>
    </row>
    <row r="45" spans="1:17" s="5" customFormat="1" ht="26">
      <c r="A45" s="43"/>
      <c r="B45" s="43"/>
      <c r="C45" s="43"/>
      <c r="D45" s="128" t="s">
        <v>54</v>
      </c>
      <c r="E45" s="128"/>
      <c r="F45" s="128"/>
      <c r="G45" s="128"/>
      <c r="H45" s="128"/>
      <c r="I45" s="128"/>
      <c r="J45" s="128"/>
      <c r="K45" s="128"/>
      <c r="L45" s="128"/>
      <c r="M45" s="44"/>
      <c r="N45" s="44"/>
      <c r="O45" s="35"/>
      <c r="P45" s="35"/>
      <c r="Q45" s="35"/>
    </row>
    <row r="46" spans="1:17">
      <c r="A46" s="3"/>
      <c r="B46" s="3"/>
      <c r="C46" s="3"/>
      <c r="D46" s="3"/>
      <c r="E46" s="3"/>
      <c r="F46" s="3"/>
      <c r="G46" s="3"/>
      <c r="H46" s="3"/>
      <c r="I46" s="3"/>
      <c r="K46" s="1"/>
      <c r="L46" s="1"/>
      <c r="M46" s="1"/>
      <c r="N46" s="1"/>
    </row>
    <row r="47" spans="1:17" s="1" customFormat="1" ht="47">
      <c r="A47" s="4" t="s">
        <v>8</v>
      </c>
      <c r="B47" s="4" t="s">
        <v>9</v>
      </c>
      <c r="C47" s="4" t="s">
        <v>10</v>
      </c>
      <c r="D47" s="4" t="s">
        <v>11</v>
      </c>
      <c r="E47" s="4" t="s">
        <v>12</v>
      </c>
      <c r="F47" s="4" t="s">
        <v>13</v>
      </c>
      <c r="G47" s="38" t="s">
        <v>14</v>
      </c>
      <c r="H47" s="4" t="s">
        <v>15</v>
      </c>
      <c r="I47" s="38" t="s">
        <v>16</v>
      </c>
      <c r="J47" s="38" t="s">
        <v>17</v>
      </c>
      <c r="K47" s="38" t="s">
        <v>18</v>
      </c>
      <c r="L47" s="38" t="s">
        <v>19</v>
      </c>
      <c r="M47" s="38" t="s">
        <v>20</v>
      </c>
      <c r="N47" s="38" t="s">
        <v>21</v>
      </c>
    </row>
    <row r="48" spans="1:17" s="9" customFormat="1" ht="117.5">
      <c r="A48" s="6" t="str">
        <f>IFERROR(VLOOKUP(D48,'Master sheet (Clientes)'!A$6:D$747,2,0)," ")</f>
        <v>NJ</v>
      </c>
      <c r="B48" s="6" t="str">
        <f>IFERROR(VLOOKUP(D48,'Master sheet (Clientes)'!A$6:D$747,3,0)," ")</f>
        <v>Willow Bridge P.C.</v>
      </c>
      <c r="C48" s="6" t="str">
        <f>IFERROR(VLOOKUP(D48,'Master sheet (Clientes)'!A$6:D$747,4,0)," ")</f>
        <v>N-O</v>
      </c>
      <c r="D48" s="6" t="s">
        <v>253</v>
      </c>
      <c r="E48" s="6">
        <v>362</v>
      </c>
      <c r="F48" s="6"/>
      <c r="G48" s="6"/>
      <c r="H48" s="6" t="s">
        <v>1189</v>
      </c>
      <c r="I48" s="77" t="s">
        <v>1190</v>
      </c>
      <c r="J48" s="6" t="s">
        <v>48</v>
      </c>
      <c r="K48" s="6"/>
      <c r="L48" s="6"/>
      <c r="M48" s="6" t="s">
        <v>1191</v>
      </c>
      <c r="N48" s="6"/>
      <c r="O48" s="13"/>
      <c r="P48" s="13"/>
      <c r="Q48" s="13"/>
    </row>
    <row r="49" spans="1:17" ht="94">
      <c r="A49" s="6" t="str">
        <f>IFERROR(VLOOKUP(D49,'Master sheet (Clientes)'!A$6:D$747,2,0)," ")</f>
        <v>NJ</v>
      </c>
      <c r="B49" s="6" t="str">
        <f>IFERROR(VLOOKUP(D49,'Master sheet (Clientes)'!A$6:D$747,3,0)," ")</f>
        <v>Greystar</v>
      </c>
      <c r="C49" s="6" t="str">
        <f>IFERROR(VLOOKUP(D49,'Master sheet (Clientes)'!A$6:D$747,4,0)," ")</f>
        <v>A-V</v>
      </c>
      <c r="D49" s="6" t="s">
        <v>332</v>
      </c>
      <c r="E49" s="6" t="s">
        <v>1195</v>
      </c>
      <c r="F49" s="6"/>
      <c r="G49" s="6" t="s">
        <v>876</v>
      </c>
      <c r="H49" s="78" t="s">
        <v>1196</v>
      </c>
      <c r="I49" s="6" t="s">
        <v>1197</v>
      </c>
      <c r="J49" s="6" t="s">
        <v>48</v>
      </c>
      <c r="K49" s="6" t="s">
        <v>1198</v>
      </c>
      <c r="L49" s="6"/>
      <c r="M49" s="6"/>
      <c r="N49" s="6"/>
    </row>
    <row r="50" spans="1:17" s="9" customFormat="1" ht="258.5">
      <c r="A50" s="6" t="str">
        <f>IFERROR(VLOOKUP(D50,'Master sheet (Clientes)'!A$6:D$747,2,0)," ")</f>
        <v>NJ</v>
      </c>
      <c r="B50" s="6" t="str">
        <f>IFERROR(VLOOKUP(D50,'Master sheet (Clientes)'!A$6:D$747,3,0)," ")</f>
        <v>Private Job</v>
      </c>
      <c r="C50" s="6" t="str">
        <f>IFERROR(VLOOKUP(D50,'Master sheet (Clientes)'!A$6:D$747,4,0)," ")</f>
        <v>A-V</v>
      </c>
      <c r="D50" s="6" t="s">
        <v>1781</v>
      </c>
      <c r="E50" s="6" t="s">
        <v>1783</v>
      </c>
      <c r="F50" s="6"/>
      <c r="G50" s="6"/>
      <c r="H50" s="6" t="s">
        <v>1784</v>
      </c>
      <c r="I50" s="77" t="s">
        <v>1786</v>
      </c>
      <c r="J50" s="6" t="s">
        <v>48</v>
      </c>
      <c r="K50" s="6" t="s">
        <v>1785</v>
      </c>
      <c r="L50" s="6"/>
      <c r="M50" s="6"/>
      <c r="N50" s="6"/>
      <c r="O50" s="13"/>
      <c r="P50" s="13"/>
      <c r="Q50" s="13"/>
    </row>
    <row r="51" spans="1:17" s="9" customFormat="1">
      <c r="A51" s="6" t="str">
        <f>IFERROR(VLOOKUP(D51,'Master sheet (Clientes)'!A$6:D$747,2,0)," ")</f>
        <v xml:space="preserve"> </v>
      </c>
      <c r="B51" s="6" t="str">
        <f>IFERROR(VLOOKUP(D51,'Master sheet (Clientes)'!A$6:D$747,3,0)," ")</f>
        <v xml:space="preserve"> </v>
      </c>
      <c r="C51" s="6" t="str">
        <f>IFERROR(VLOOKUP(D51,'Master sheet (Clientes)'!A$6:D$747,4,0)," ")</f>
        <v xml:space="preserve"> </v>
      </c>
      <c r="D51" s="6"/>
      <c r="E51" s="6"/>
      <c r="F51" s="6"/>
      <c r="G51" s="6"/>
      <c r="H51" s="6"/>
      <c r="I51" s="6"/>
      <c r="J51" s="6"/>
      <c r="K51" s="6"/>
      <c r="L51" s="6"/>
      <c r="M51" s="6"/>
      <c r="N51" s="6"/>
      <c r="O51" s="13"/>
      <c r="P51" s="13"/>
      <c r="Q51" s="13"/>
    </row>
    <row r="52" spans="1:17">
      <c r="A52" s="1"/>
      <c r="B52" s="1"/>
      <c r="C52" s="1"/>
      <c r="D52" s="1"/>
      <c r="E52" s="1"/>
      <c r="F52" s="1"/>
      <c r="G52" s="1"/>
      <c r="H52" s="1"/>
      <c r="I52" s="1"/>
      <c r="K52" s="1"/>
      <c r="L52" s="1"/>
      <c r="M52" s="1"/>
      <c r="N52" s="1"/>
    </row>
    <row r="53" spans="1:17" ht="26">
      <c r="A53" s="33"/>
      <c r="B53" s="33"/>
      <c r="C53" s="33"/>
      <c r="D53" s="127" t="s">
        <v>30</v>
      </c>
      <c r="E53" s="127"/>
      <c r="F53" s="127"/>
      <c r="G53" s="127"/>
      <c r="H53" s="127"/>
      <c r="I53" s="127"/>
      <c r="J53" s="127"/>
      <c r="K53" s="127"/>
      <c r="L53" s="127"/>
      <c r="M53" s="16"/>
      <c r="N53" s="16"/>
    </row>
    <row r="54" spans="1:17" s="5" customFormat="1" ht="26">
      <c r="A54" s="43"/>
      <c r="B54" s="43"/>
      <c r="C54" s="43"/>
      <c r="D54" s="128" t="s">
        <v>29</v>
      </c>
      <c r="E54" s="128"/>
      <c r="F54" s="128"/>
      <c r="G54" s="128"/>
      <c r="H54" s="128"/>
      <c r="I54" s="128"/>
      <c r="J54" s="128"/>
      <c r="K54" s="128"/>
      <c r="L54" s="128"/>
      <c r="M54" s="44"/>
      <c r="N54" s="44"/>
      <c r="O54" s="35"/>
      <c r="P54" s="35"/>
      <c r="Q54" s="35"/>
    </row>
    <row r="55" spans="1:17">
      <c r="A55" s="3"/>
      <c r="B55" s="3"/>
      <c r="C55" s="3"/>
      <c r="D55" s="3"/>
      <c r="E55" s="3"/>
      <c r="F55" s="3"/>
      <c r="G55" s="3"/>
      <c r="H55" s="3"/>
      <c r="I55" s="3"/>
      <c r="K55" s="1"/>
      <c r="L55" s="1"/>
      <c r="M55" s="1"/>
      <c r="N55" s="1"/>
    </row>
    <row r="56" spans="1:17" s="1" customFormat="1" ht="47">
      <c r="A56" s="4" t="s">
        <v>8</v>
      </c>
      <c r="B56" s="4" t="s">
        <v>9</v>
      </c>
      <c r="C56" s="4" t="s">
        <v>10</v>
      </c>
      <c r="D56" s="4" t="s">
        <v>11</v>
      </c>
      <c r="E56" s="4" t="s">
        <v>12</v>
      </c>
      <c r="F56" s="4" t="s">
        <v>13</v>
      </c>
      <c r="G56" s="38" t="s">
        <v>14</v>
      </c>
      <c r="H56" s="4" t="s">
        <v>15</v>
      </c>
      <c r="I56" s="38" t="s">
        <v>16</v>
      </c>
      <c r="J56" s="38" t="s">
        <v>17</v>
      </c>
      <c r="K56" s="38" t="s">
        <v>18</v>
      </c>
      <c r="L56" s="38" t="s">
        <v>19</v>
      </c>
      <c r="M56" s="38" t="s">
        <v>20</v>
      </c>
      <c r="N56" s="38" t="s">
        <v>21</v>
      </c>
    </row>
    <row r="57" spans="1:17" s="9" customFormat="1" ht="70.5">
      <c r="A57" s="6" t="str">
        <f>IFERROR(VLOOKUP(D57,'Master sheet (Clientes)'!A$6:D$747,2,0)," ")</f>
        <v>NJ</v>
      </c>
      <c r="B57" s="6" t="str">
        <f>IFERROR(VLOOKUP(D57,'Master sheet (Clientes)'!A$6:D$747,3,0)," ")</f>
        <v>Greystar</v>
      </c>
      <c r="C57" s="6" t="str">
        <f>IFERROR(VLOOKUP(D57,'Master sheet (Clientes)'!A$6:D$747,4,0)," ")</f>
        <v>A-V</v>
      </c>
      <c r="D57" s="6" t="s">
        <v>361</v>
      </c>
      <c r="E57" s="6">
        <v>1178</v>
      </c>
      <c r="F57" s="6"/>
      <c r="G57" s="6" t="s">
        <v>853</v>
      </c>
      <c r="H57" s="6" t="s">
        <v>1199</v>
      </c>
      <c r="I57" s="77" t="s">
        <v>1200</v>
      </c>
      <c r="J57" s="6" t="s">
        <v>48</v>
      </c>
      <c r="K57" s="6"/>
      <c r="L57" s="6"/>
      <c r="M57" s="6" t="s">
        <v>935</v>
      </c>
      <c r="N57" s="6"/>
      <c r="O57" s="13"/>
      <c r="P57" s="13"/>
      <c r="Q57" s="13"/>
    </row>
    <row r="58" spans="1:17" s="9" customFormat="1">
      <c r="A58" s="6" t="str">
        <f>IFERROR(VLOOKUP(D58,'Master sheet (Clientes)'!A$6:D$747,2,0)," ")</f>
        <v xml:space="preserve"> </v>
      </c>
      <c r="B58" s="6" t="str">
        <f>IFERROR(VLOOKUP(D58,'Master sheet (Clientes)'!A$6:D$747,3,0)," ")</f>
        <v xml:space="preserve"> </v>
      </c>
      <c r="C58" s="6" t="str">
        <f>IFERROR(VLOOKUP(D58,'Master sheet (Clientes)'!A$6:D$747,4,0)," ")</f>
        <v xml:space="preserve"> </v>
      </c>
      <c r="D58" s="6"/>
      <c r="E58" s="6"/>
      <c r="F58" s="6"/>
      <c r="G58" s="6"/>
      <c r="H58" s="6"/>
      <c r="I58" s="6"/>
      <c r="J58" s="6"/>
      <c r="K58" s="6"/>
      <c r="L58" s="6"/>
      <c r="M58" s="6"/>
      <c r="N58" s="6"/>
      <c r="O58" s="13"/>
      <c r="P58" s="13"/>
      <c r="Q58" s="13"/>
    </row>
    <row r="59" spans="1:17" s="9" customFormat="1">
      <c r="A59" s="6" t="str">
        <f>IFERROR(VLOOKUP(D59,'Master sheet (Clientes)'!A$6:D$747,2,0)," ")</f>
        <v xml:space="preserve"> </v>
      </c>
      <c r="B59" s="6" t="str">
        <f>IFERROR(VLOOKUP(D59,'Master sheet (Clientes)'!A$6:D$747,3,0)," ")</f>
        <v xml:space="preserve"> </v>
      </c>
      <c r="C59" s="6" t="str">
        <f>IFERROR(VLOOKUP(D59,'Master sheet (Clientes)'!A$6:D$747,4,0)," ")</f>
        <v xml:space="preserve"> </v>
      </c>
      <c r="D59" s="6"/>
      <c r="E59" s="6"/>
      <c r="F59" s="6"/>
      <c r="G59" s="6"/>
      <c r="H59" s="6"/>
      <c r="I59" s="6"/>
      <c r="J59" s="6"/>
      <c r="K59" s="6"/>
      <c r="L59" s="6"/>
      <c r="M59" s="6"/>
      <c r="N59" s="6"/>
      <c r="O59" s="13"/>
      <c r="P59" s="13"/>
      <c r="Q59" s="13"/>
    </row>
    <row r="60" spans="1:17">
      <c r="A60" s="1"/>
      <c r="B60" s="1"/>
      <c r="C60" s="1"/>
      <c r="D60" s="1"/>
      <c r="E60" s="1"/>
      <c r="F60" s="1"/>
      <c r="G60" s="1"/>
      <c r="H60" s="1"/>
      <c r="I60" s="1"/>
      <c r="K60" s="1"/>
      <c r="L60" s="1"/>
      <c r="M60" s="1"/>
      <c r="N60" s="1"/>
    </row>
    <row r="61" spans="1:17" s="1" customFormat="1" ht="37" customHeight="1">
      <c r="A61" s="45"/>
      <c r="B61" s="45"/>
      <c r="C61" s="45"/>
      <c r="D61" s="131" t="str">
        <f>A1</f>
        <v>BuildCare SCHEDULE</v>
      </c>
      <c r="E61" s="131"/>
      <c r="F61" s="131"/>
      <c r="G61" s="131"/>
      <c r="H61" s="131"/>
      <c r="I61" s="131"/>
      <c r="J61" s="131"/>
      <c r="K61" s="131"/>
      <c r="L61" s="131"/>
      <c r="M61" s="45"/>
      <c r="N61" s="32"/>
    </row>
    <row r="62" spans="1:17">
      <c r="A62" s="1"/>
      <c r="B62" s="1"/>
      <c r="C62" s="1"/>
      <c r="D62" s="1"/>
      <c r="E62" s="1"/>
      <c r="F62" s="1"/>
      <c r="G62" s="1"/>
      <c r="H62" s="1"/>
      <c r="I62" s="1"/>
      <c r="K62" s="1"/>
      <c r="L62" s="1"/>
      <c r="M62" s="1"/>
      <c r="N62" s="1"/>
    </row>
    <row r="63" spans="1:17" ht="28.5">
      <c r="A63" s="34"/>
      <c r="B63" s="34"/>
      <c r="C63" s="34"/>
      <c r="D63" s="126" t="s">
        <v>32</v>
      </c>
      <c r="E63" s="126"/>
      <c r="F63" s="126"/>
      <c r="G63" s="126"/>
      <c r="H63" s="126"/>
      <c r="I63" s="126"/>
      <c r="J63" s="126"/>
      <c r="K63" s="126"/>
      <c r="L63" s="126"/>
      <c r="M63" s="18"/>
      <c r="N63" s="18"/>
    </row>
    <row r="64" spans="1:17" s="5" customFormat="1">
      <c r="A64" s="3"/>
      <c r="B64" s="3"/>
      <c r="C64" s="3"/>
      <c r="D64" s="3"/>
      <c r="E64" s="3"/>
      <c r="F64" s="3"/>
      <c r="G64" s="3"/>
      <c r="H64" s="3"/>
      <c r="I64" s="3"/>
      <c r="J64" s="3"/>
      <c r="K64" s="1"/>
      <c r="L64" s="1"/>
      <c r="M64" s="1"/>
      <c r="N64" s="1"/>
      <c r="O64" s="35"/>
      <c r="P64" s="35"/>
      <c r="Q64" s="35"/>
    </row>
    <row r="65" spans="1:20" s="5" customFormat="1" ht="26">
      <c r="A65" s="33"/>
      <c r="B65" s="33"/>
      <c r="C65" s="33"/>
      <c r="D65" s="127" t="s">
        <v>33</v>
      </c>
      <c r="E65" s="127"/>
      <c r="F65" s="127"/>
      <c r="G65" s="127"/>
      <c r="H65" s="127"/>
      <c r="I65" s="127"/>
      <c r="J65" s="127"/>
      <c r="K65" s="127"/>
      <c r="L65" s="127"/>
      <c r="M65" s="16"/>
      <c r="N65" s="16"/>
      <c r="O65" s="35"/>
      <c r="P65" s="35"/>
      <c r="Q65" s="35"/>
    </row>
    <row r="66" spans="1:20" s="5" customFormat="1" ht="26">
      <c r="A66" s="43"/>
      <c r="B66" s="43"/>
      <c r="C66" s="43"/>
      <c r="D66" s="128" t="s">
        <v>31</v>
      </c>
      <c r="E66" s="128"/>
      <c r="F66" s="128"/>
      <c r="G66" s="128"/>
      <c r="H66" s="128"/>
      <c r="I66" s="128"/>
      <c r="J66" s="128"/>
      <c r="K66" s="128"/>
      <c r="L66" s="128"/>
      <c r="M66" s="44"/>
      <c r="N66" s="44"/>
      <c r="O66" s="35"/>
      <c r="P66" s="35"/>
      <c r="Q66" s="35"/>
    </row>
    <row r="67" spans="1:20" s="1" customFormat="1"/>
    <row r="68" spans="1:20" s="1" customFormat="1">
      <c r="A68" s="3"/>
      <c r="B68" s="3"/>
      <c r="C68" s="3"/>
      <c r="D68" s="3"/>
      <c r="E68" s="3"/>
      <c r="F68" s="3"/>
      <c r="G68" s="3"/>
      <c r="H68" s="3"/>
      <c r="I68" s="3"/>
      <c r="J68" s="3"/>
    </row>
    <row r="69" spans="1:20" s="1" customFormat="1" ht="47">
      <c r="A69" s="4" t="s">
        <v>8</v>
      </c>
      <c r="B69" s="4" t="s">
        <v>9</v>
      </c>
      <c r="C69" s="4" t="s">
        <v>10</v>
      </c>
      <c r="D69" s="4" t="s">
        <v>11</v>
      </c>
      <c r="E69" s="4" t="s">
        <v>12</v>
      </c>
      <c r="F69" s="4" t="s">
        <v>13</v>
      </c>
      <c r="G69" s="38" t="s">
        <v>14</v>
      </c>
      <c r="H69" s="4" t="s">
        <v>15</v>
      </c>
      <c r="I69" s="38" t="s">
        <v>16</v>
      </c>
      <c r="J69" s="38" t="s">
        <v>17</v>
      </c>
      <c r="K69" s="38" t="s">
        <v>18</v>
      </c>
      <c r="L69" s="38" t="s">
        <v>19</v>
      </c>
      <c r="M69" s="38" t="s">
        <v>20</v>
      </c>
      <c r="N69" s="38" t="s">
        <v>21</v>
      </c>
    </row>
    <row r="70" spans="1:20" s="98" customFormat="1" ht="94">
      <c r="A70" s="6" t="str">
        <f>IFERROR(VLOOKUP(D70,'Master sheet (Clientes)'!A$6:D$747,2,0)," ")</f>
        <v>PA</v>
      </c>
      <c r="B70" s="6" t="str">
        <f>IFERROR(VLOOKUP(D70,'Master sheet (Clientes)'!A$6:D$747,3,0)," ")</f>
        <v>Post Brothers</v>
      </c>
      <c r="C70" s="6" t="str">
        <f>IFERROR(VLOOKUP(D70,'Master sheet (Clientes)'!A$6:D$747,4,0)," ")</f>
        <v>A-V</v>
      </c>
      <c r="D70" s="6" t="s">
        <v>619</v>
      </c>
      <c r="E70" s="6" t="s">
        <v>1201</v>
      </c>
      <c r="F70" s="6" t="s">
        <v>874</v>
      </c>
      <c r="G70" s="6" t="s">
        <v>46</v>
      </c>
      <c r="H70" s="6" t="s">
        <v>1202</v>
      </c>
      <c r="I70" s="77" t="s">
        <v>1203</v>
      </c>
      <c r="J70" s="6" t="s">
        <v>48</v>
      </c>
      <c r="K70" s="6" t="s">
        <v>1204</v>
      </c>
      <c r="L70" s="6"/>
      <c r="M70" s="6"/>
      <c r="N70" s="6"/>
      <c r="O70" s="96"/>
      <c r="P70" s="96"/>
      <c r="Q70" s="96"/>
      <c r="R70" s="97"/>
      <c r="S70" s="97"/>
      <c r="T70" s="97"/>
    </row>
    <row r="71" spans="1:20" s="98" customFormat="1" ht="141">
      <c r="A71" s="6" t="str">
        <f>IFERROR(VLOOKUP(D71,'Master sheet (Clientes)'!A$6:D$747,2,0)," ")</f>
        <v>PA</v>
      </c>
      <c r="B71" s="6" t="str">
        <f>IFERROR(VLOOKUP(D71,'Master sheet (Clientes)'!A$6:D$747,3,0)," ")</f>
        <v>Post Brothers</v>
      </c>
      <c r="C71" s="6" t="str">
        <f>IFERROR(VLOOKUP(D71,'Master sheet (Clientes)'!A$6:D$747,4,0)," ")</f>
        <v>A-V</v>
      </c>
      <c r="D71" s="6" t="s">
        <v>619</v>
      </c>
      <c r="E71" s="6" t="s">
        <v>1201</v>
      </c>
      <c r="F71" s="6" t="s">
        <v>874</v>
      </c>
      <c r="G71" s="6" t="s">
        <v>46</v>
      </c>
      <c r="H71" s="6" t="s">
        <v>1205</v>
      </c>
      <c r="I71" s="77" t="s">
        <v>1206</v>
      </c>
      <c r="J71" s="6" t="s">
        <v>48</v>
      </c>
      <c r="K71" s="6" t="s">
        <v>1204</v>
      </c>
      <c r="L71" s="6"/>
      <c r="M71" s="6"/>
      <c r="N71" s="6"/>
      <c r="O71" s="96"/>
      <c r="P71" s="96"/>
      <c r="Q71" s="96"/>
      <c r="R71" s="97"/>
      <c r="S71" s="97"/>
      <c r="T71" s="97"/>
    </row>
    <row r="72" spans="1:20" s="98" customFormat="1" ht="70.5">
      <c r="A72" s="6" t="str">
        <f>IFERROR(VLOOKUP(D72,'Master sheet (Clientes)'!A$6:D$747,2,0)," ")</f>
        <v>PA</v>
      </c>
      <c r="B72" s="6" t="str">
        <f>IFERROR(VLOOKUP(D72,'Master sheet (Clientes)'!A$6:D$747,3,0)," ")</f>
        <v>Post Brothers</v>
      </c>
      <c r="C72" s="6" t="str">
        <f>IFERROR(VLOOKUP(D72,'Master sheet (Clientes)'!A$6:D$747,4,0)," ")</f>
        <v>A-V</v>
      </c>
      <c r="D72" s="6" t="s">
        <v>619</v>
      </c>
      <c r="E72" s="6" t="s">
        <v>1201</v>
      </c>
      <c r="F72" s="6" t="s">
        <v>874</v>
      </c>
      <c r="G72" s="6" t="s">
        <v>46</v>
      </c>
      <c r="H72" s="6" t="s">
        <v>1207</v>
      </c>
      <c r="I72" s="77" t="s">
        <v>1208</v>
      </c>
      <c r="J72" s="6" t="s">
        <v>48</v>
      </c>
      <c r="K72" s="6" t="s">
        <v>1204</v>
      </c>
      <c r="L72" s="6"/>
      <c r="M72" s="6"/>
      <c r="N72" s="6"/>
      <c r="O72" s="96"/>
      <c r="P72" s="96"/>
      <c r="Q72" s="96"/>
      <c r="R72" s="97"/>
      <c r="S72" s="97"/>
      <c r="T72" s="97"/>
    </row>
    <row r="73" spans="1:20" s="98" customFormat="1" ht="70.5">
      <c r="A73" s="6" t="str">
        <f>IFERROR(VLOOKUP(D73,'Master sheet (Clientes)'!A$6:D$747,2,0)," ")</f>
        <v>PA</v>
      </c>
      <c r="B73" s="6" t="str">
        <f>IFERROR(VLOOKUP(D73,'Master sheet (Clientes)'!A$6:D$747,3,0)," ")</f>
        <v>Post Brothers</v>
      </c>
      <c r="C73" s="6" t="str">
        <f>IFERROR(VLOOKUP(D73,'Master sheet (Clientes)'!A$6:D$747,4,0)," ")</f>
        <v>A-V</v>
      </c>
      <c r="D73" s="6" t="s">
        <v>619</v>
      </c>
      <c r="E73" s="6" t="s">
        <v>1201</v>
      </c>
      <c r="F73" s="6" t="s">
        <v>874</v>
      </c>
      <c r="G73" s="6" t="s">
        <v>46</v>
      </c>
      <c r="H73" s="6" t="s">
        <v>1209</v>
      </c>
      <c r="I73" s="77" t="s">
        <v>1210</v>
      </c>
      <c r="J73" s="6" t="s">
        <v>48</v>
      </c>
      <c r="K73" s="6" t="s">
        <v>1204</v>
      </c>
      <c r="L73" s="6"/>
      <c r="M73" s="6"/>
      <c r="N73" s="6"/>
      <c r="O73" s="96"/>
      <c r="P73" s="96"/>
      <c r="Q73" s="96"/>
      <c r="R73" s="97"/>
      <c r="S73" s="97"/>
      <c r="T73" s="97"/>
    </row>
    <row r="74" spans="1:20" s="9" customFormat="1" ht="164.5">
      <c r="A74" s="6" t="str">
        <f>IFERROR(VLOOKUP(D74,'Master sheet (Clientes)'!A$6:D$747,2,0)," ")</f>
        <v>PA</v>
      </c>
      <c r="B74" s="6" t="str">
        <f>IFERROR(VLOOKUP(D74,'Master sheet (Clientes)'!A$6:D$747,3,0)," ")</f>
        <v>Greystar</v>
      </c>
      <c r="C74" s="6" t="str">
        <f>IFERROR(VLOOKUP(D74,'Master sheet (Clientes)'!A$6:D$747,4,0)," ")</f>
        <v>A-V</v>
      </c>
      <c r="D74" s="6" t="s">
        <v>335</v>
      </c>
      <c r="E74" s="6" t="s">
        <v>1211</v>
      </c>
      <c r="F74" s="6"/>
      <c r="G74" s="6"/>
      <c r="H74" s="6" t="s">
        <v>1212</v>
      </c>
      <c r="I74" s="77" t="s">
        <v>1213</v>
      </c>
      <c r="J74" s="6" t="s">
        <v>48</v>
      </c>
      <c r="K74" s="6" t="s">
        <v>1214</v>
      </c>
      <c r="L74" s="6"/>
      <c r="M74" s="6" t="s">
        <v>1215</v>
      </c>
      <c r="N74" s="6"/>
      <c r="O74" s="13"/>
      <c r="P74" s="13"/>
      <c r="Q74" s="13"/>
    </row>
    <row r="75" spans="1:20" s="9" customFormat="1" ht="94">
      <c r="A75" s="6" t="str">
        <f>IFERROR(VLOOKUP(D75,'Master sheet (Clientes)'!A$6:D$747,2,0)," ")</f>
        <v>PA</v>
      </c>
      <c r="B75" s="6" t="str">
        <f>IFERROR(VLOOKUP(D75,'Master sheet (Clientes)'!A$6:D$747,3,0)," ")</f>
        <v>Greystar</v>
      </c>
      <c r="C75" s="6" t="str">
        <f>IFERROR(VLOOKUP(D75,'Master sheet (Clientes)'!A$6:D$747,4,0)," ")</f>
        <v>A-V</v>
      </c>
      <c r="D75" s="6" t="s">
        <v>335</v>
      </c>
      <c r="E75" s="6" t="s">
        <v>1216</v>
      </c>
      <c r="F75" s="6"/>
      <c r="G75" s="6"/>
      <c r="H75" s="6" t="s">
        <v>1217</v>
      </c>
      <c r="I75" s="77" t="s">
        <v>1218</v>
      </c>
      <c r="J75" s="6" t="s">
        <v>48</v>
      </c>
      <c r="K75" s="6" t="s">
        <v>1219</v>
      </c>
      <c r="L75" s="6"/>
      <c r="M75" s="6"/>
      <c r="N75" s="6"/>
      <c r="O75" s="13"/>
      <c r="P75" s="13"/>
      <c r="Q75" s="13"/>
    </row>
    <row r="76" spans="1:20" s="52" customFormat="1" ht="164.5">
      <c r="A76" s="6" t="str">
        <f>IFERROR(VLOOKUP(D76,'Master sheet (Clientes)'!A$6:D$747,2,0)," ")</f>
        <v>PA</v>
      </c>
      <c r="B76" s="6" t="str">
        <f>IFERROR(VLOOKUP(D76,'Master sheet (Clientes)'!A$6:D$747,3,0)," ")</f>
        <v>Post Brothers</v>
      </c>
      <c r="C76" s="6" t="str">
        <f>IFERROR(VLOOKUP(D76,'Master sheet (Clientes)'!A$6:D$747,4,0)," ")</f>
        <v>A-V</v>
      </c>
      <c r="D76" s="6" t="s">
        <v>619</v>
      </c>
      <c r="E76" s="6" t="s">
        <v>1220</v>
      </c>
      <c r="F76" s="6"/>
      <c r="G76" s="6" t="s">
        <v>876</v>
      </c>
      <c r="H76" s="6" t="s">
        <v>1221</v>
      </c>
      <c r="I76" s="77" t="s">
        <v>1222</v>
      </c>
      <c r="J76" s="6" t="s">
        <v>48</v>
      </c>
      <c r="K76" s="6"/>
      <c r="L76" s="6"/>
      <c r="M76" s="6" t="s">
        <v>1223</v>
      </c>
      <c r="N76" s="6"/>
      <c r="O76" s="13"/>
      <c r="P76" s="13"/>
      <c r="Q76" s="13"/>
      <c r="R76" s="51"/>
      <c r="S76" s="51"/>
      <c r="T76" s="51"/>
    </row>
    <row r="77" spans="1:20" s="52" customFormat="1" ht="70.5">
      <c r="A77" s="6" t="str">
        <f>IFERROR(VLOOKUP(D77,'Master sheet (Clientes)'!A$6:D$747,2,0)," ")</f>
        <v>PA</v>
      </c>
      <c r="B77" s="6" t="str">
        <f>IFERROR(VLOOKUP(D77,'Master sheet (Clientes)'!A$6:D$747,3,0)," ")</f>
        <v>Greystar</v>
      </c>
      <c r="C77" s="6" t="str">
        <f>IFERROR(VLOOKUP(D77,'Master sheet (Clientes)'!A$6:D$747,4,0)," ")</f>
        <v>A-V</v>
      </c>
      <c r="D77" s="6" t="s">
        <v>319</v>
      </c>
      <c r="E77" s="21">
        <v>3310</v>
      </c>
      <c r="F77" s="6"/>
      <c r="G77" s="6" t="s">
        <v>917</v>
      </c>
      <c r="H77" s="6" t="s">
        <v>1224</v>
      </c>
      <c r="I77" s="77" t="s">
        <v>1222</v>
      </c>
      <c r="J77" s="6"/>
      <c r="K77" s="6"/>
      <c r="L77" s="6"/>
      <c r="M77" s="6"/>
      <c r="N77" s="6"/>
      <c r="O77" s="13"/>
      <c r="P77" s="13"/>
      <c r="Q77" s="13"/>
      <c r="R77" s="51"/>
      <c r="S77" s="51"/>
      <c r="T77" s="51"/>
    </row>
    <row r="78" spans="1:20" s="12" customFormat="1" ht="117.5">
      <c r="A78" s="6" t="str">
        <f>IFERROR(VLOOKUP(D78,'Master sheet (Clientes)'!A$6:D$747,2,0)," ")</f>
        <v>PA</v>
      </c>
      <c r="B78" s="6" t="str">
        <f>IFERROR(VLOOKUP(D78,'Master sheet (Clientes)'!A$6:D$747,3,0)," ")</f>
        <v>Post Brothers</v>
      </c>
      <c r="C78" s="6" t="str">
        <f>IFERROR(VLOOKUP(D78,'Master sheet (Clientes)'!A$6:D$747,4,0)," ")</f>
        <v>A-V</v>
      </c>
      <c r="D78" s="6" t="s">
        <v>616</v>
      </c>
      <c r="E78" s="6" t="s">
        <v>1225</v>
      </c>
      <c r="F78" s="6"/>
      <c r="G78" s="6" t="s">
        <v>837</v>
      </c>
      <c r="H78" s="6" t="s">
        <v>1226</v>
      </c>
      <c r="I78" s="79" t="s">
        <v>1227</v>
      </c>
      <c r="J78" s="6" t="s">
        <v>48</v>
      </c>
      <c r="K78" s="6"/>
      <c r="L78" s="6"/>
      <c r="M78" s="6"/>
      <c r="N78" s="6"/>
      <c r="O78" s="1"/>
      <c r="P78" s="1"/>
      <c r="Q78" s="1"/>
      <c r="R78" s="11"/>
      <c r="S78" s="11"/>
      <c r="T78" s="11"/>
    </row>
    <row r="79" spans="1:20" s="12" customFormat="1" ht="117.5">
      <c r="A79" s="6" t="str">
        <f>IFERROR(VLOOKUP(D79,'Master sheet (Clientes)'!A$6:D$747,2,0)," ")</f>
        <v>PA</v>
      </c>
      <c r="B79" s="6" t="str">
        <f>IFERROR(VLOOKUP(D79,'Master sheet (Clientes)'!A$6:D$747,3,0)," ")</f>
        <v>Post Brothers</v>
      </c>
      <c r="C79" s="6" t="str">
        <f>IFERROR(VLOOKUP(D79,'Master sheet (Clientes)'!A$6:D$747,4,0)," ")</f>
        <v>A-V</v>
      </c>
      <c r="D79" s="6" t="s">
        <v>627</v>
      </c>
      <c r="E79" s="6" t="s">
        <v>1228</v>
      </c>
      <c r="F79" s="6"/>
      <c r="G79" s="6" t="s">
        <v>837</v>
      </c>
      <c r="H79" s="6" t="s">
        <v>1229</v>
      </c>
      <c r="I79" s="79" t="s">
        <v>1227</v>
      </c>
      <c r="J79" s="6" t="s">
        <v>48</v>
      </c>
      <c r="K79" s="6"/>
      <c r="L79" s="6"/>
      <c r="M79" s="6"/>
      <c r="N79" s="6"/>
      <c r="O79" s="1"/>
      <c r="P79" s="1"/>
      <c r="Q79" s="1"/>
      <c r="R79" s="11"/>
      <c r="S79" s="11"/>
      <c r="T79" s="11"/>
    </row>
    <row r="80" spans="1:20" s="12" customFormat="1" ht="117.5">
      <c r="A80" s="6" t="str">
        <f>IFERROR(VLOOKUP(D80,'Master sheet (Clientes)'!A$6:D$747,2,0)," ")</f>
        <v>PA</v>
      </c>
      <c r="B80" s="6" t="str">
        <f>IFERROR(VLOOKUP(D80,'Master sheet (Clientes)'!A$6:D$747,3,0)," ")</f>
        <v>Post Brothers</v>
      </c>
      <c r="C80" s="6" t="str">
        <f>IFERROR(VLOOKUP(D80,'Master sheet (Clientes)'!A$6:D$747,4,0)," ")</f>
        <v>A-V</v>
      </c>
      <c r="D80" s="6" t="s">
        <v>627</v>
      </c>
      <c r="E80" s="6" t="s">
        <v>1230</v>
      </c>
      <c r="F80" s="6"/>
      <c r="G80" s="6" t="s">
        <v>837</v>
      </c>
      <c r="H80" s="6" t="s">
        <v>1231</v>
      </c>
      <c r="I80" s="79" t="s">
        <v>1227</v>
      </c>
      <c r="J80" s="6" t="s">
        <v>48</v>
      </c>
      <c r="K80" s="6"/>
      <c r="L80" s="6"/>
      <c r="M80" s="6"/>
      <c r="N80" s="6"/>
      <c r="O80" s="1"/>
      <c r="P80" s="1"/>
      <c r="Q80" s="1"/>
      <c r="R80" s="11"/>
      <c r="S80" s="11"/>
      <c r="T80" s="11"/>
    </row>
    <row r="81" spans="1:20" s="52" customFormat="1">
      <c r="A81" s="6" t="str">
        <f>IFERROR(VLOOKUP(D81,'Master sheet (Clientes)'!A$6:D$747,2,0)," ")</f>
        <v xml:space="preserve"> </v>
      </c>
      <c r="B81" s="6" t="str">
        <f>IFERROR(VLOOKUP(D81,'Master sheet (Clientes)'!A$6:D$747,3,0)," ")</f>
        <v xml:space="preserve"> </v>
      </c>
      <c r="C81" s="6" t="str">
        <f>IFERROR(VLOOKUP(D81,'Master sheet (Clientes)'!A$6:D$747,4,0)," ")</f>
        <v xml:space="preserve"> </v>
      </c>
      <c r="D81" s="6"/>
      <c r="E81" s="6"/>
      <c r="F81" s="6"/>
      <c r="G81" s="6"/>
      <c r="H81" s="6"/>
      <c r="I81" s="6"/>
      <c r="J81" s="6"/>
      <c r="K81" s="6"/>
      <c r="L81" s="6"/>
      <c r="M81" s="6"/>
      <c r="N81" s="6"/>
      <c r="O81" s="13"/>
      <c r="P81" s="13"/>
      <c r="Q81" s="13"/>
      <c r="R81" s="51"/>
      <c r="S81" s="51"/>
      <c r="T81" s="51"/>
    </row>
    <row r="82" spans="1:20" s="52" customFormat="1">
      <c r="A82" s="6" t="str">
        <f>IFERROR(VLOOKUP(D82,'Master sheet (Clientes)'!A$6:D$747,2,0)," ")</f>
        <v xml:space="preserve"> </v>
      </c>
      <c r="B82" s="6" t="str">
        <f>IFERROR(VLOOKUP(D82,'Master sheet (Clientes)'!A$6:D$747,3,0)," ")</f>
        <v xml:space="preserve"> </v>
      </c>
      <c r="C82" s="6" t="str">
        <f>IFERROR(VLOOKUP(D82,'Master sheet (Clientes)'!A$6:D$747,4,0)," ")</f>
        <v xml:space="preserve"> </v>
      </c>
      <c r="D82" s="6"/>
      <c r="E82" s="6"/>
      <c r="F82" s="6"/>
      <c r="G82" s="6"/>
      <c r="H82" s="6"/>
      <c r="I82" s="6"/>
      <c r="J82" s="6"/>
      <c r="K82" s="6"/>
      <c r="L82" s="6"/>
      <c r="M82" s="6"/>
      <c r="N82" s="6"/>
      <c r="O82" s="13"/>
      <c r="P82" s="13"/>
      <c r="Q82" s="13"/>
      <c r="R82" s="51"/>
      <c r="S82" s="51"/>
      <c r="T82" s="51"/>
    </row>
    <row r="83" spans="1:20">
      <c r="A83" s="1"/>
      <c r="B83" s="1"/>
      <c r="C83" s="1"/>
      <c r="D83" s="1"/>
      <c r="E83" s="1"/>
      <c r="F83" s="1"/>
      <c r="G83" s="1"/>
      <c r="H83" s="1"/>
      <c r="I83" s="1"/>
      <c r="K83" s="1"/>
      <c r="L83" s="1"/>
      <c r="M83" s="1"/>
      <c r="N83" s="1"/>
    </row>
    <row r="84" spans="1:20">
      <c r="A84" s="1"/>
      <c r="B84" s="1"/>
      <c r="C84" s="1"/>
      <c r="D84" s="1"/>
      <c r="E84" s="1"/>
      <c r="F84" s="1"/>
      <c r="G84" s="1"/>
      <c r="H84" s="1"/>
      <c r="I84" s="1"/>
      <c r="K84" s="1"/>
      <c r="L84" s="1"/>
      <c r="M84" s="1"/>
      <c r="N84" s="1"/>
    </row>
    <row r="85" spans="1:20" s="5" customFormat="1">
      <c r="A85" s="135"/>
      <c r="B85" s="135"/>
      <c r="C85" s="135"/>
      <c r="D85" s="30" t="s">
        <v>37</v>
      </c>
      <c r="E85" s="30"/>
      <c r="F85" s="30"/>
      <c r="G85" s="30"/>
      <c r="H85" s="2"/>
      <c r="I85" s="3"/>
      <c r="J85" s="3"/>
      <c r="K85" s="2"/>
      <c r="L85" s="2"/>
      <c r="M85" s="3"/>
      <c r="N85" s="7"/>
      <c r="O85" s="35"/>
      <c r="P85" s="35"/>
      <c r="Q85" s="35"/>
    </row>
    <row r="86" spans="1:20" s="5" customFormat="1">
      <c r="A86" s="136"/>
      <c r="B86" s="136"/>
      <c r="C86" s="136"/>
      <c r="D86" s="137" t="s">
        <v>38</v>
      </c>
      <c r="E86" s="137"/>
      <c r="F86" s="137"/>
      <c r="G86" s="2"/>
      <c r="H86" s="2"/>
      <c r="I86" s="3"/>
      <c r="J86" s="3"/>
      <c r="K86" s="2"/>
      <c r="L86" s="2"/>
      <c r="M86" s="3"/>
      <c r="N86" s="7"/>
      <c r="O86" s="35"/>
      <c r="P86" s="35"/>
      <c r="Q86" s="35"/>
    </row>
    <row r="87" spans="1:20" s="5" customFormat="1">
      <c r="A87" s="138"/>
      <c r="B87" s="138"/>
      <c r="C87" s="138"/>
      <c r="D87" s="139" t="s">
        <v>39</v>
      </c>
      <c r="E87" s="139"/>
      <c r="F87" s="139"/>
      <c r="G87" s="2"/>
      <c r="H87" s="2"/>
      <c r="I87" s="3"/>
      <c r="J87" s="3"/>
      <c r="K87" s="2"/>
      <c r="L87" s="2"/>
      <c r="M87" s="3"/>
      <c r="N87" s="7"/>
      <c r="O87" s="35"/>
      <c r="P87" s="35"/>
      <c r="Q87" s="35"/>
    </row>
    <row r="88" spans="1:20" s="5" customFormat="1">
      <c r="A88" s="132"/>
      <c r="B88" s="132"/>
      <c r="C88" s="132"/>
      <c r="D88" s="133" t="s">
        <v>40</v>
      </c>
      <c r="E88" s="133"/>
      <c r="F88" s="133"/>
      <c r="G88" s="2"/>
      <c r="H88" s="2"/>
      <c r="I88" s="3"/>
      <c r="J88" s="3"/>
      <c r="K88" s="2"/>
      <c r="L88" s="2"/>
      <c r="M88" s="3"/>
      <c r="N88" s="7"/>
      <c r="O88" s="35"/>
      <c r="P88" s="35"/>
      <c r="Q88" s="35"/>
    </row>
    <row r="89" spans="1:20" s="5" customFormat="1">
      <c r="A89" s="134"/>
      <c r="B89" s="134"/>
      <c r="C89" s="134"/>
      <c r="D89" s="28" t="s">
        <v>41</v>
      </c>
      <c r="E89" s="29"/>
      <c r="F89" s="29"/>
      <c r="G89" s="30"/>
      <c r="H89" s="2"/>
      <c r="I89" s="3"/>
      <c r="J89" s="3"/>
      <c r="K89" s="2"/>
      <c r="L89" s="2"/>
      <c r="M89" s="3"/>
      <c r="N89" s="7"/>
      <c r="O89" s="35"/>
      <c r="P89" s="35"/>
      <c r="Q89" s="35"/>
    </row>
    <row r="90" spans="1:20">
      <c r="C90" s="30"/>
      <c r="D90" s="30"/>
      <c r="E90" s="30"/>
      <c r="F90" s="30"/>
      <c r="G90" s="30"/>
      <c r="H90" s="30"/>
    </row>
    <row r="91" spans="1:20">
      <c r="C91" s="28"/>
      <c r="E91" s="28"/>
      <c r="F91" s="29"/>
      <c r="G91" s="29"/>
      <c r="H91" s="30"/>
    </row>
  </sheetData>
  <mergeCells count="25">
    <mergeCell ref="D66:L66"/>
    <mergeCell ref="A85:C85"/>
    <mergeCell ref="D44:L44"/>
    <mergeCell ref="D45:L45"/>
    <mergeCell ref="D61:L61"/>
    <mergeCell ref="D63:L63"/>
    <mergeCell ref="D65:L65"/>
    <mergeCell ref="D53:L53"/>
    <mergeCell ref="D54:L54"/>
    <mergeCell ref="A89:C89"/>
    <mergeCell ref="A86:C86"/>
    <mergeCell ref="D86:F86"/>
    <mergeCell ref="A87:C87"/>
    <mergeCell ref="D87:F87"/>
    <mergeCell ref="A88:C88"/>
    <mergeCell ref="D88:F88"/>
    <mergeCell ref="D27:L27"/>
    <mergeCell ref="D28:L28"/>
    <mergeCell ref="D17:L17"/>
    <mergeCell ref="D18:L18"/>
    <mergeCell ref="A1:M1"/>
    <mergeCell ref="A3:L3"/>
    <mergeCell ref="D4:L4"/>
    <mergeCell ref="D6:L6"/>
    <mergeCell ref="D7:L7"/>
  </mergeCells>
  <phoneticPr fontId="12" type="noConversion"/>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686CE235-6E22-7248-8AFE-092B6360E574}">
          <x14:formula1>
            <xm:f>'Master sheet (Clientes)'!$A$6:$A$654</xm:f>
          </x14:formula1>
          <xm:sqref>D34 D13:D15 D32 D58:D59 D50:D51 D81:D82 D24:D25 D38:D42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A9058-09E5-604D-AC4A-37A16D2E71AF}">
  <dimension ref="A5:T661"/>
  <sheetViews>
    <sheetView tabSelected="1" zoomScale="60" zoomScaleNormal="60" workbookViewId="0">
      <pane ySplit="5" topLeftCell="A649" activePane="bottomLeft" state="frozen"/>
      <selection pane="bottomLeft" activeCell="E656" sqref="E656"/>
    </sheetView>
  </sheetViews>
  <sheetFormatPr baseColWidth="10" defaultColWidth="11" defaultRowHeight="15.5"/>
  <cols>
    <col min="1" max="1" width="44.83203125" style="37" customWidth="1"/>
    <col min="2" max="2" width="11.1640625" customWidth="1"/>
    <col min="3" max="3" width="30.1640625" style="37" customWidth="1"/>
    <col min="4" max="4" width="13.5" style="37" customWidth="1"/>
    <col min="5" max="5" width="23.83203125" style="37" customWidth="1"/>
    <col min="6" max="6" width="24" style="37" customWidth="1"/>
    <col min="7" max="7" width="23.6640625" style="37" customWidth="1"/>
    <col min="8" max="9" width="30.1640625" style="37" customWidth="1"/>
    <col min="10" max="10" width="53" style="37" customWidth="1"/>
    <col min="11" max="11" width="63" style="37" customWidth="1"/>
  </cols>
  <sheetData>
    <row r="5" spans="1:20" s="5" customFormat="1" ht="70.5">
      <c r="A5" s="47" t="s">
        <v>11</v>
      </c>
      <c r="B5" s="48" t="s">
        <v>55</v>
      </c>
      <c r="C5" s="48" t="s">
        <v>9</v>
      </c>
      <c r="D5" s="48" t="s">
        <v>56</v>
      </c>
      <c r="E5" s="48" t="s">
        <v>57</v>
      </c>
      <c r="F5" s="48" t="s">
        <v>58</v>
      </c>
      <c r="G5" s="48" t="s">
        <v>59</v>
      </c>
      <c r="H5" s="48" t="s">
        <v>60</v>
      </c>
      <c r="I5" s="48" t="s">
        <v>61</v>
      </c>
      <c r="J5" s="48" t="s">
        <v>62</v>
      </c>
      <c r="K5" s="48" t="s">
        <v>63</v>
      </c>
      <c r="L5" s="36"/>
      <c r="M5" s="36"/>
      <c r="N5" s="36"/>
      <c r="O5" s="36"/>
      <c r="P5" s="36"/>
      <c r="Q5" s="36"/>
      <c r="R5" s="36"/>
      <c r="S5" s="36"/>
      <c r="T5" s="36"/>
    </row>
    <row r="6" spans="1:20" s="5" customFormat="1" ht="70.5">
      <c r="A6" s="54" t="s">
        <v>64</v>
      </c>
      <c r="B6" s="54" t="s">
        <v>65</v>
      </c>
      <c r="C6" s="54" t="s">
        <v>66</v>
      </c>
      <c r="D6" s="56" t="s">
        <v>67</v>
      </c>
      <c r="E6" s="54" t="s">
        <v>68</v>
      </c>
      <c r="F6" s="54" t="s">
        <v>69</v>
      </c>
      <c r="G6" s="74" t="s">
        <v>70</v>
      </c>
      <c r="H6" s="54"/>
      <c r="I6" s="54"/>
      <c r="J6" s="54"/>
      <c r="K6" s="54"/>
      <c r="L6" s="35"/>
      <c r="M6" s="35"/>
      <c r="N6" s="35"/>
      <c r="O6" s="7"/>
      <c r="P6" s="7"/>
    </row>
    <row r="7" spans="1:20" s="5" customFormat="1" ht="70.5">
      <c r="A7" s="54" t="s">
        <v>71</v>
      </c>
      <c r="B7" s="54" t="s">
        <v>65</v>
      </c>
      <c r="C7" s="54" t="s">
        <v>66</v>
      </c>
      <c r="D7" s="56" t="s">
        <v>67</v>
      </c>
      <c r="E7" s="54" t="s">
        <v>68</v>
      </c>
      <c r="F7" s="54" t="s">
        <v>69</v>
      </c>
      <c r="G7" s="74" t="s">
        <v>70</v>
      </c>
      <c r="H7" s="54"/>
      <c r="I7" s="54"/>
      <c r="J7" s="54"/>
      <c r="K7" s="54"/>
      <c r="L7" s="35"/>
      <c r="M7" s="35"/>
      <c r="N7" s="35"/>
      <c r="O7" s="7"/>
      <c r="P7" s="7"/>
    </row>
    <row r="8" spans="1:20" s="5" customFormat="1" ht="47">
      <c r="A8" s="54" t="s">
        <v>72</v>
      </c>
      <c r="B8" s="54" t="s">
        <v>65</v>
      </c>
      <c r="C8" s="54" t="s">
        <v>73</v>
      </c>
      <c r="D8" s="57" t="s">
        <v>74</v>
      </c>
      <c r="E8" s="54" t="s">
        <v>75</v>
      </c>
      <c r="F8" s="54" t="s">
        <v>76</v>
      </c>
      <c r="G8" s="75" t="s">
        <v>77</v>
      </c>
      <c r="H8" s="54"/>
      <c r="I8" s="54"/>
      <c r="J8" s="54"/>
      <c r="K8" s="54"/>
      <c r="L8" s="35"/>
      <c r="M8" s="35"/>
      <c r="N8" s="35"/>
      <c r="O8" s="7"/>
      <c r="P8" s="7"/>
    </row>
    <row r="9" spans="1:20" s="5" customFormat="1" ht="47">
      <c r="A9" s="54" t="s">
        <v>78</v>
      </c>
      <c r="B9" s="54" t="s">
        <v>65</v>
      </c>
      <c r="C9" s="54" t="s">
        <v>73</v>
      </c>
      <c r="D9" s="57" t="s">
        <v>74</v>
      </c>
      <c r="E9" s="54" t="s">
        <v>75</v>
      </c>
      <c r="F9" s="54" t="s">
        <v>76</v>
      </c>
      <c r="G9" s="75" t="s">
        <v>77</v>
      </c>
      <c r="H9" s="54"/>
      <c r="I9" s="54"/>
      <c r="J9" s="54"/>
      <c r="K9" s="54"/>
      <c r="L9" s="35"/>
      <c r="M9" s="35"/>
      <c r="N9" s="35"/>
      <c r="O9" s="7"/>
      <c r="P9" s="7"/>
    </row>
    <row r="10" spans="1:20" s="5" customFormat="1" ht="70.5">
      <c r="A10" s="54" t="s">
        <v>79</v>
      </c>
      <c r="B10" s="54" t="s">
        <v>65</v>
      </c>
      <c r="C10" s="54" t="s">
        <v>73</v>
      </c>
      <c r="D10" s="57" t="s">
        <v>74</v>
      </c>
      <c r="E10" s="54" t="s">
        <v>68</v>
      </c>
      <c r="F10" s="54" t="s">
        <v>76</v>
      </c>
      <c r="G10" s="75" t="s">
        <v>77</v>
      </c>
      <c r="H10" s="54"/>
      <c r="I10" s="54"/>
      <c r="J10" s="54"/>
      <c r="K10" s="54"/>
      <c r="L10" s="35"/>
      <c r="M10" s="35"/>
      <c r="N10" s="35"/>
      <c r="O10" s="7"/>
      <c r="P10" s="7"/>
    </row>
    <row r="11" spans="1:20" s="5" customFormat="1" ht="70.5">
      <c r="A11" s="54" t="s">
        <v>80</v>
      </c>
      <c r="B11" s="54" t="s">
        <v>65</v>
      </c>
      <c r="C11" s="54" t="s">
        <v>73</v>
      </c>
      <c r="D11" s="57" t="s">
        <v>74</v>
      </c>
      <c r="E11" s="54" t="s">
        <v>68</v>
      </c>
      <c r="F11" s="54" t="s">
        <v>76</v>
      </c>
      <c r="G11" s="75" t="s">
        <v>77</v>
      </c>
      <c r="H11" s="54"/>
      <c r="I11" s="54"/>
      <c r="J11" s="54"/>
      <c r="K11" s="54"/>
      <c r="L11" s="35"/>
      <c r="M11" s="35"/>
      <c r="N11" s="35"/>
      <c r="O11" s="7"/>
      <c r="P11" s="7"/>
    </row>
    <row r="12" spans="1:20" s="5" customFormat="1" ht="70.5">
      <c r="A12" s="54" t="s">
        <v>81</v>
      </c>
      <c r="B12" s="54" t="s">
        <v>65</v>
      </c>
      <c r="C12" s="54" t="s">
        <v>73</v>
      </c>
      <c r="D12" s="57" t="s">
        <v>74</v>
      </c>
      <c r="E12" s="54" t="s">
        <v>68</v>
      </c>
      <c r="F12" s="54" t="s">
        <v>76</v>
      </c>
      <c r="G12" s="75" t="s">
        <v>77</v>
      </c>
      <c r="H12" s="54"/>
      <c r="I12" s="54"/>
      <c r="J12" s="54"/>
      <c r="K12" s="54"/>
      <c r="L12" s="35"/>
      <c r="M12" s="35"/>
      <c r="N12" s="35"/>
      <c r="O12" s="7"/>
      <c r="P12" s="7"/>
    </row>
    <row r="13" spans="1:20" s="5" customFormat="1" ht="47">
      <c r="A13" s="54" t="s">
        <v>82</v>
      </c>
      <c r="B13" s="54" t="s">
        <v>65</v>
      </c>
      <c r="C13" s="54" t="s">
        <v>73</v>
      </c>
      <c r="D13" s="57" t="s">
        <v>74</v>
      </c>
      <c r="E13" s="54" t="s">
        <v>68</v>
      </c>
      <c r="F13" s="54" t="s">
        <v>76</v>
      </c>
      <c r="G13" s="75" t="s">
        <v>77</v>
      </c>
      <c r="H13" s="54"/>
      <c r="I13" s="54"/>
      <c r="J13" s="54"/>
      <c r="K13" s="54"/>
      <c r="L13" s="35"/>
      <c r="M13" s="35"/>
      <c r="N13" s="35"/>
      <c r="O13" s="7"/>
      <c r="P13" s="7"/>
    </row>
    <row r="14" spans="1:20" s="5" customFormat="1" ht="70.5">
      <c r="A14" s="54" t="s">
        <v>83</v>
      </c>
      <c r="B14" s="54" t="s">
        <v>65</v>
      </c>
      <c r="C14" s="54" t="s">
        <v>73</v>
      </c>
      <c r="D14" s="57" t="s">
        <v>74</v>
      </c>
      <c r="E14" s="54" t="s">
        <v>84</v>
      </c>
      <c r="F14" s="54" t="s">
        <v>76</v>
      </c>
      <c r="G14" s="75" t="s">
        <v>77</v>
      </c>
      <c r="H14" s="54"/>
      <c r="I14" s="54"/>
      <c r="J14" s="54"/>
      <c r="K14" s="54"/>
      <c r="L14" s="35"/>
      <c r="M14" s="35"/>
      <c r="N14" s="35"/>
      <c r="O14" s="7"/>
      <c r="P14" s="7"/>
    </row>
    <row r="15" spans="1:20" s="5" customFormat="1" ht="70.5">
      <c r="A15" s="54" t="s">
        <v>85</v>
      </c>
      <c r="B15" s="54" t="s">
        <v>65</v>
      </c>
      <c r="C15" s="54" t="s">
        <v>73</v>
      </c>
      <c r="D15" s="57" t="s">
        <v>74</v>
      </c>
      <c r="E15" s="54" t="s">
        <v>68</v>
      </c>
      <c r="F15" s="54" t="s">
        <v>76</v>
      </c>
      <c r="G15" s="75" t="s">
        <v>77</v>
      </c>
      <c r="H15" s="54"/>
      <c r="I15" s="54"/>
      <c r="J15" s="54"/>
      <c r="K15" s="54"/>
      <c r="L15" s="35"/>
      <c r="M15" s="35"/>
      <c r="N15" s="35"/>
      <c r="O15" s="7"/>
      <c r="P15" s="7"/>
    </row>
    <row r="16" spans="1:20" s="5" customFormat="1" ht="70.5">
      <c r="A16" s="54" t="s">
        <v>86</v>
      </c>
      <c r="B16" s="54" t="s">
        <v>65</v>
      </c>
      <c r="C16" s="54" t="s">
        <v>73</v>
      </c>
      <c r="D16" s="57" t="s">
        <v>74</v>
      </c>
      <c r="E16" s="54" t="s">
        <v>75</v>
      </c>
      <c r="F16" s="54" t="s">
        <v>76</v>
      </c>
      <c r="G16" s="75" t="s">
        <v>77</v>
      </c>
      <c r="H16" s="54"/>
      <c r="I16" s="54"/>
      <c r="J16" s="54"/>
      <c r="K16" s="54"/>
      <c r="L16" s="35"/>
      <c r="M16" s="35"/>
      <c r="N16" s="35"/>
      <c r="O16" s="7"/>
      <c r="P16" s="7"/>
    </row>
    <row r="17" spans="1:16" s="5" customFormat="1" ht="70.5">
      <c r="A17" s="54" t="s">
        <v>87</v>
      </c>
      <c r="B17" s="54" t="s">
        <v>65</v>
      </c>
      <c r="C17" s="54" t="s">
        <v>73</v>
      </c>
      <c r="D17" s="57" t="s">
        <v>74</v>
      </c>
      <c r="E17" s="54" t="s">
        <v>68</v>
      </c>
      <c r="F17" s="54" t="s">
        <v>76</v>
      </c>
      <c r="G17" s="75" t="s">
        <v>77</v>
      </c>
      <c r="H17" s="54"/>
      <c r="I17" s="54"/>
      <c r="J17" s="54"/>
      <c r="K17" s="54"/>
      <c r="L17" s="35"/>
      <c r="M17" s="35"/>
      <c r="N17" s="35"/>
      <c r="O17" s="7"/>
      <c r="P17" s="7"/>
    </row>
    <row r="18" spans="1:16" s="5" customFormat="1" ht="70.5">
      <c r="A18" s="54" t="s">
        <v>88</v>
      </c>
      <c r="B18" s="54" t="s">
        <v>65</v>
      </c>
      <c r="C18" s="54" t="s">
        <v>73</v>
      </c>
      <c r="D18" s="57" t="s">
        <v>74</v>
      </c>
      <c r="E18" s="54" t="s">
        <v>68</v>
      </c>
      <c r="F18" s="54" t="s">
        <v>76</v>
      </c>
      <c r="G18" s="75" t="s">
        <v>77</v>
      </c>
      <c r="H18" s="54"/>
      <c r="I18" s="54"/>
      <c r="J18" s="54"/>
      <c r="K18" s="54"/>
      <c r="L18" s="35"/>
      <c r="M18" s="35"/>
      <c r="N18" s="35"/>
      <c r="O18" s="7"/>
      <c r="P18" s="7"/>
    </row>
    <row r="19" spans="1:16" s="5" customFormat="1" ht="70.5">
      <c r="A19" s="54" t="s">
        <v>89</v>
      </c>
      <c r="B19" s="54" t="s">
        <v>65</v>
      </c>
      <c r="C19" s="54" t="s">
        <v>73</v>
      </c>
      <c r="D19" s="57" t="s">
        <v>74</v>
      </c>
      <c r="E19" s="54" t="s">
        <v>75</v>
      </c>
      <c r="F19" s="54" t="s">
        <v>76</v>
      </c>
      <c r="G19" s="75" t="s">
        <v>77</v>
      </c>
      <c r="H19" s="54"/>
      <c r="I19" s="54"/>
      <c r="J19" s="54"/>
      <c r="K19" s="54"/>
      <c r="L19" s="35"/>
      <c r="M19" s="35"/>
      <c r="N19" s="35"/>
      <c r="O19" s="7"/>
      <c r="P19" s="7"/>
    </row>
    <row r="20" spans="1:16" s="5" customFormat="1" ht="70.5">
      <c r="A20" s="54" t="s">
        <v>90</v>
      </c>
      <c r="B20" s="54" t="s">
        <v>65</v>
      </c>
      <c r="C20" s="54" t="s">
        <v>73</v>
      </c>
      <c r="D20" s="57" t="s">
        <v>74</v>
      </c>
      <c r="E20" s="54" t="s">
        <v>68</v>
      </c>
      <c r="F20" s="54" t="s">
        <v>69</v>
      </c>
      <c r="G20" s="75" t="s">
        <v>77</v>
      </c>
      <c r="H20" s="54"/>
      <c r="I20" s="54"/>
      <c r="J20" s="54"/>
      <c r="K20" s="54"/>
      <c r="L20" s="35"/>
      <c r="M20" s="35"/>
      <c r="N20" s="35"/>
      <c r="O20" s="7"/>
      <c r="P20" s="7"/>
    </row>
    <row r="21" spans="1:16" s="5" customFormat="1" ht="70.5">
      <c r="A21" s="54" t="s">
        <v>91</v>
      </c>
      <c r="B21" s="54" t="s">
        <v>65</v>
      </c>
      <c r="C21" s="54" t="s">
        <v>73</v>
      </c>
      <c r="D21" s="57" t="s">
        <v>74</v>
      </c>
      <c r="E21" s="54" t="s">
        <v>68</v>
      </c>
      <c r="F21" s="54" t="s">
        <v>69</v>
      </c>
      <c r="G21" s="74" t="s">
        <v>70</v>
      </c>
      <c r="H21" s="54"/>
      <c r="I21" s="54"/>
      <c r="J21" s="54"/>
      <c r="K21" s="54"/>
      <c r="L21" s="35"/>
      <c r="M21" s="35"/>
      <c r="N21" s="35"/>
      <c r="O21" s="7"/>
      <c r="P21" s="7"/>
    </row>
    <row r="22" spans="1:16" s="5" customFormat="1" ht="70.5">
      <c r="A22" s="54" t="s">
        <v>92</v>
      </c>
      <c r="B22" s="54" t="s">
        <v>65</v>
      </c>
      <c r="C22" s="54" t="s">
        <v>73</v>
      </c>
      <c r="D22" s="57" t="s">
        <v>74</v>
      </c>
      <c r="E22" s="54" t="s">
        <v>68</v>
      </c>
      <c r="F22" s="54" t="s">
        <v>76</v>
      </c>
      <c r="G22" s="75" t="s">
        <v>77</v>
      </c>
      <c r="H22" s="54"/>
      <c r="I22" s="54"/>
      <c r="J22" s="54"/>
      <c r="K22" s="54"/>
      <c r="L22" s="35"/>
      <c r="M22" s="35"/>
      <c r="N22" s="35"/>
      <c r="O22" s="7"/>
      <c r="P22" s="7"/>
    </row>
    <row r="23" spans="1:16" s="5" customFormat="1" ht="70.5">
      <c r="A23" s="54" t="s">
        <v>93</v>
      </c>
      <c r="B23" s="54" t="s">
        <v>65</v>
      </c>
      <c r="C23" s="54" t="s">
        <v>73</v>
      </c>
      <c r="D23" s="57" t="s">
        <v>74</v>
      </c>
      <c r="E23" s="54" t="s">
        <v>68</v>
      </c>
      <c r="F23" s="54" t="s">
        <v>69</v>
      </c>
      <c r="G23" s="74" t="s">
        <v>70</v>
      </c>
      <c r="H23" s="54"/>
      <c r="I23" s="54"/>
      <c r="J23" s="54"/>
      <c r="K23" s="54"/>
      <c r="L23" s="35"/>
      <c r="M23" s="35"/>
      <c r="N23" s="35"/>
      <c r="O23" s="7"/>
      <c r="P23" s="7"/>
    </row>
    <row r="24" spans="1:16" s="5" customFormat="1" ht="70.5">
      <c r="A24" s="54" t="s">
        <v>94</v>
      </c>
      <c r="B24" s="54" t="s">
        <v>65</v>
      </c>
      <c r="C24" s="54" t="s">
        <v>73</v>
      </c>
      <c r="D24" s="57" t="s">
        <v>74</v>
      </c>
      <c r="E24" s="54" t="s">
        <v>68</v>
      </c>
      <c r="F24" s="54" t="s">
        <v>69</v>
      </c>
      <c r="G24" s="75" t="s">
        <v>77</v>
      </c>
      <c r="H24" s="54"/>
      <c r="I24" s="54"/>
      <c r="J24" s="54"/>
      <c r="K24" s="54"/>
      <c r="L24" s="35"/>
      <c r="M24" s="35"/>
      <c r="N24" s="35"/>
      <c r="O24" s="7"/>
      <c r="P24" s="7"/>
    </row>
    <row r="25" spans="1:16" s="5" customFormat="1" ht="70.5">
      <c r="A25" s="54" t="s">
        <v>95</v>
      </c>
      <c r="B25" s="54" t="s">
        <v>65</v>
      </c>
      <c r="C25" s="54" t="s">
        <v>73</v>
      </c>
      <c r="D25" s="57" t="s">
        <v>74</v>
      </c>
      <c r="E25" s="54" t="s">
        <v>68</v>
      </c>
      <c r="F25" s="54" t="s">
        <v>76</v>
      </c>
      <c r="G25" s="75" t="s">
        <v>77</v>
      </c>
      <c r="H25" s="54"/>
      <c r="I25" s="54"/>
      <c r="J25" s="54"/>
      <c r="K25" s="54"/>
      <c r="L25" s="35"/>
      <c r="M25" s="35"/>
      <c r="N25" s="35"/>
      <c r="O25" s="7"/>
      <c r="P25" s="7"/>
    </row>
    <row r="26" spans="1:16" s="5" customFormat="1" ht="70.5">
      <c r="A26" s="54" t="s">
        <v>96</v>
      </c>
      <c r="B26" s="54" t="s">
        <v>65</v>
      </c>
      <c r="C26" s="54" t="s">
        <v>73</v>
      </c>
      <c r="D26" s="57" t="s">
        <v>74</v>
      </c>
      <c r="E26" s="54" t="s">
        <v>68</v>
      </c>
      <c r="F26" s="54" t="s">
        <v>69</v>
      </c>
      <c r="G26" s="74" t="s">
        <v>70</v>
      </c>
      <c r="H26" s="54"/>
      <c r="I26" s="54"/>
      <c r="J26" s="54"/>
      <c r="K26" s="54"/>
      <c r="L26" s="35"/>
      <c r="M26" s="35"/>
      <c r="N26" s="35"/>
      <c r="O26" s="7"/>
      <c r="P26" s="7"/>
    </row>
    <row r="27" spans="1:16" s="5" customFormat="1" ht="70.5">
      <c r="A27" s="54" t="s">
        <v>97</v>
      </c>
      <c r="B27" s="54" t="s">
        <v>65</v>
      </c>
      <c r="C27" s="54" t="s">
        <v>73</v>
      </c>
      <c r="D27" s="57" t="s">
        <v>74</v>
      </c>
      <c r="E27" s="54" t="s">
        <v>68</v>
      </c>
      <c r="F27" s="54" t="s">
        <v>69</v>
      </c>
      <c r="G27" s="74" t="s">
        <v>70</v>
      </c>
      <c r="H27" s="54"/>
      <c r="I27" s="54"/>
      <c r="J27" s="54"/>
      <c r="K27" s="54"/>
      <c r="L27" s="35"/>
      <c r="M27" s="35"/>
      <c r="N27" s="35"/>
      <c r="O27" s="7"/>
      <c r="P27" s="7"/>
    </row>
    <row r="28" spans="1:16" s="5" customFormat="1" ht="47">
      <c r="A28" s="54" t="s">
        <v>98</v>
      </c>
      <c r="B28" s="54" t="s">
        <v>65</v>
      </c>
      <c r="C28" s="54" t="s">
        <v>73</v>
      </c>
      <c r="D28" s="57" t="s">
        <v>74</v>
      </c>
      <c r="E28" s="54" t="s">
        <v>68</v>
      </c>
      <c r="F28" s="54" t="s">
        <v>76</v>
      </c>
      <c r="G28" s="75" t="s">
        <v>77</v>
      </c>
      <c r="H28" s="54"/>
      <c r="I28" s="54"/>
      <c r="J28" s="54"/>
      <c r="K28" s="54"/>
      <c r="L28" s="35"/>
      <c r="M28" s="35"/>
      <c r="N28" s="35"/>
      <c r="O28" s="7"/>
      <c r="P28" s="7"/>
    </row>
    <row r="29" spans="1:16" s="5" customFormat="1" ht="70.5">
      <c r="A29" s="54" t="s">
        <v>99</v>
      </c>
      <c r="B29" s="54" t="s">
        <v>65</v>
      </c>
      <c r="C29" s="54" t="s">
        <v>73</v>
      </c>
      <c r="D29" s="57" t="s">
        <v>74</v>
      </c>
      <c r="E29" s="54" t="s">
        <v>68</v>
      </c>
      <c r="F29" s="54" t="s">
        <v>76</v>
      </c>
      <c r="G29" s="75" t="s">
        <v>77</v>
      </c>
      <c r="H29" s="54"/>
      <c r="I29" s="54"/>
      <c r="J29" s="54"/>
      <c r="K29" s="54"/>
      <c r="L29" s="35"/>
      <c r="M29" s="35"/>
      <c r="N29" s="35"/>
      <c r="O29" s="7"/>
      <c r="P29" s="7"/>
    </row>
    <row r="30" spans="1:16" s="5" customFormat="1" ht="70.5">
      <c r="A30" s="54" t="s">
        <v>100</v>
      </c>
      <c r="B30" s="54" t="s">
        <v>65</v>
      </c>
      <c r="C30" s="54" t="s">
        <v>73</v>
      </c>
      <c r="D30" s="57" t="s">
        <v>74</v>
      </c>
      <c r="E30" s="54" t="s">
        <v>68</v>
      </c>
      <c r="F30" s="54" t="s">
        <v>76</v>
      </c>
      <c r="G30" s="75" t="s">
        <v>77</v>
      </c>
      <c r="H30" s="54"/>
      <c r="I30" s="54"/>
      <c r="J30" s="54"/>
      <c r="K30" s="54"/>
      <c r="L30" s="35"/>
      <c r="M30" s="35"/>
      <c r="N30" s="35"/>
      <c r="O30" s="7"/>
      <c r="P30" s="7"/>
    </row>
    <row r="31" spans="1:16" s="5" customFormat="1" ht="70.5">
      <c r="A31" s="54" t="s">
        <v>101</v>
      </c>
      <c r="B31" s="54" t="s">
        <v>65</v>
      </c>
      <c r="C31" s="54" t="s">
        <v>73</v>
      </c>
      <c r="D31" s="57" t="s">
        <v>74</v>
      </c>
      <c r="E31" s="54" t="s">
        <v>68</v>
      </c>
      <c r="F31" s="54" t="s">
        <v>76</v>
      </c>
      <c r="G31" s="75" t="s">
        <v>77</v>
      </c>
      <c r="H31" s="54"/>
      <c r="I31" s="54"/>
      <c r="J31" s="54"/>
      <c r="K31" s="54"/>
      <c r="L31" s="35"/>
      <c r="M31" s="35"/>
      <c r="N31" s="35"/>
      <c r="O31" s="7"/>
      <c r="P31" s="7"/>
    </row>
    <row r="32" spans="1:16" s="5" customFormat="1" ht="47">
      <c r="A32" s="54" t="s">
        <v>102</v>
      </c>
      <c r="B32" s="54" t="s">
        <v>65</v>
      </c>
      <c r="C32" s="54" t="s">
        <v>103</v>
      </c>
      <c r="D32" s="56" t="s">
        <v>67</v>
      </c>
      <c r="E32" s="54" t="s">
        <v>68</v>
      </c>
      <c r="F32" s="54" t="s">
        <v>69</v>
      </c>
      <c r="G32" s="75" t="s">
        <v>77</v>
      </c>
      <c r="H32" s="54"/>
      <c r="I32" s="54"/>
      <c r="J32" s="54"/>
      <c r="K32" s="54"/>
      <c r="L32" s="35"/>
      <c r="M32" s="35"/>
      <c r="N32" s="35"/>
      <c r="O32" s="7"/>
      <c r="P32" s="7"/>
    </row>
    <row r="33" spans="1:16" s="5" customFormat="1" ht="70.5">
      <c r="A33" s="54" t="s">
        <v>104</v>
      </c>
      <c r="B33" s="54" t="s">
        <v>65</v>
      </c>
      <c r="C33" s="54" t="s">
        <v>103</v>
      </c>
      <c r="D33" s="56" t="s">
        <v>67</v>
      </c>
      <c r="E33" s="54" t="s">
        <v>68</v>
      </c>
      <c r="F33" s="54" t="s">
        <v>69</v>
      </c>
      <c r="G33" s="75" t="s">
        <v>77</v>
      </c>
      <c r="H33" s="54"/>
      <c r="I33" s="54"/>
      <c r="J33" s="54"/>
      <c r="K33" s="54"/>
      <c r="L33" s="35"/>
      <c r="M33" s="35"/>
      <c r="N33" s="35"/>
      <c r="O33" s="7"/>
      <c r="P33" s="7"/>
    </row>
    <row r="34" spans="1:16" s="5" customFormat="1" ht="70.5">
      <c r="A34" s="54" t="s">
        <v>105</v>
      </c>
      <c r="B34" s="54" t="s">
        <v>106</v>
      </c>
      <c r="C34" s="54" t="s">
        <v>103</v>
      </c>
      <c r="D34" s="56" t="s">
        <v>67</v>
      </c>
      <c r="E34" s="54" t="s">
        <v>107</v>
      </c>
      <c r="F34" s="54" t="s">
        <v>69</v>
      </c>
      <c r="G34" s="75" t="s">
        <v>77</v>
      </c>
      <c r="H34" s="54"/>
      <c r="I34" s="54"/>
      <c r="J34" s="54"/>
      <c r="K34" s="54"/>
      <c r="L34" s="35"/>
      <c r="M34" s="35"/>
      <c r="N34" s="35"/>
      <c r="O34" s="7"/>
      <c r="P34" s="7"/>
    </row>
    <row r="35" spans="1:16" s="5" customFormat="1" ht="70.5">
      <c r="A35" s="54" t="s">
        <v>108</v>
      </c>
      <c r="B35" s="54" t="s">
        <v>106</v>
      </c>
      <c r="C35" s="54" t="s">
        <v>103</v>
      </c>
      <c r="D35" s="56" t="s">
        <v>67</v>
      </c>
      <c r="E35" s="54" t="s">
        <v>107</v>
      </c>
      <c r="F35" s="54" t="s">
        <v>69</v>
      </c>
      <c r="G35" s="75" t="s">
        <v>77</v>
      </c>
      <c r="H35" s="54"/>
      <c r="I35" s="54"/>
      <c r="J35" s="54"/>
      <c r="K35" s="54"/>
      <c r="L35" s="35"/>
      <c r="M35" s="35"/>
      <c r="N35" s="35"/>
      <c r="O35" s="7"/>
      <c r="P35" s="7"/>
    </row>
    <row r="36" spans="1:16" s="5" customFormat="1" ht="70.5">
      <c r="A36" s="54" t="s">
        <v>109</v>
      </c>
      <c r="B36" s="54" t="s">
        <v>65</v>
      </c>
      <c r="C36" s="54" t="s">
        <v>103</v>
      </c>
      <c r="D36" s="56" t="s">
        <v>67</v>
      </c>
      <c r="E36" s="54" t="s">
        <v>68</v>
      </c>
      <c r="F36" s="54" t="s">
        <v>69</v>
      </c>
      <c r="G36" s="74" t="s">
        <v>70</v>
      </c>
      <c r="H36" s="54"/>
      <c r="I36" s="54"/>
      <c r="J36" s="54"/>
      <c r="K36" s="54"/>
      <c r="L36" s="35"/>
      <c r="M36" s="35"/>
      <c r="N36" s="35"/>
      <c r="O36" s="7"/>
      <c r="P36" s="7"/>
    </row>
    <row r="37" spans="1:16" s="5" customFormat="1" ht="47">
      <c r="A37" s="54" t="s">
        <v>110</v>
      </c>
      <c r="B37" s="54" t="s">
        <v>111</v>
      </c>
      <c r="C37" s="54" t="s">
        <v>103</v>
      </c>
      <c r="D37" s="56" t="s">
        <v>67</v>
      </c>
      <c r="E37" s="54" t="s">
        <v>112</v>
      </c>
      <c r="F37" s="54" t="s">
        <v>112</v>
      </c>
      <c r="G37" s="75" t="s">
        <v>77</v>
      </c>
      <c r="H37" s="54"/>
      <c r="I37" s="54"/>
      <c r="J37" s="54"/>
      <c r="K37" s="54"/>
      <c r="L37" s="35"/>
      <c r="M37" s="35"/>
      <c r="N37" s="35"/>
      <c r="O37" s="7"/>
      <c r="P37" s="7"/>
    </row>
    <row r="38" spans="1:16" s="5" customFormat="1" ht="47">
      <c r="A38" s="54" t="s">
        <v>113</v>
      </c>
      <c r="B38" s="54" t="s">
        <v>65</v>
      </c>
      <c r="C38" s="54" t="s">
        <v>103</v>
      </c>
      <c r="D38" s="56" t="s">
        <v>67</v>
      </c>
      <c r="E38" s="54" t="s">
        <v>68</v>
      </c>
      <c r="F38" s="54" t="s">
        <v>69</v>
      </c>
      <c r="G38" s="75" t="s">
        <v>77</v>
      </c>
      <c r="H38" s="54"/>
      <c r="I38" s="54"/>
      <c r="J38" s="54"/>
      <c r="K38" s="54"/>
      <c r="L38" s="35"/>
      <c r="M38" s="35"/>
      <c r="N38" s="35"/>
      <c r="O38" s="7"/>
      <c r="P38" s="7"/>
    </row>
    <row r="39" spans="1:16" s="5" customFormat="1" ht="47">
      <c r="A39" s="54" t="s">
        <v>114</v>
      </c>
      <c r="B39" s="54" t="s">
        <v>106</v>
      </c>
      <c r="C39" s="54" t="s">
        <v>103</v>
      </c>
      <c r="D39" s="56" t="s">
        <v>67</v>
      </c>
      <c r="E39" s="54" t="s">
        <v>107</v>
      </c>
      <c r="F39" s="54" t="s">
        <v>69</v>
      </c>
      <c r="G39" s="75" t="s">
        <v>77</v>
      </c>
      <c r="H39" s="54"/>
      <c r="I39" s="54"/>
      <c r="J39" s="54"/>
      <c r="K39" s="54"/>
      <c r="L39" s="35"/>
      <c r="M39" s="35"/>
      <c r="N39" s="35"/>
      <c r="O39" s="7"/>
      <c r="P39" s="7"/>
    </row>
    <row r="40" spans="1:16" s="5" customFormat="1" ht="70.5">
      <c r="A40" s="54" t="s">
        <v>115</v>
      </c>
      <c r="B40" s="54" t="s">
        <v>65</v>
      </c>
      <c r="C40" s="54" t="s">
        <v>116</v>
      </c>
      <c r="D40" s="56" t="s">
        <v>67</v>
      </c>
      <c r="E40" s="54" t="s">
        <v>68</v>
      </c>
      <c r="F40" s="54" t="s">
        <v>69</v>
      </c>
      <c r="G40" s="75" t="s">
        <v>77</v>
      </c>
      <c r="H40" s="54"/>
      <c r="I40" s="54"/>
      <c r="J40" s="54"/>
      <c r="K40" s="54"/>
      <c r="L40" s="35"/>
      <c r="M40" s="35"/>
      <c r="N40" s="35"/>
      <c r="O40" s="7"/>
      <c r="P40" s="7"/>
    </row>
    <row r="41" spans="1:16" s="5" customFormat="1" ht="70.5">
      <c r="A41" s="54" t="s">
        <v>117</v>
      </c>
      <c r="B41" s="54" t="s">
        <v>65</v>
      </c>
      <c r="C41" s="54" t="s">
        <v>118</v>
      </c>
      <c r="D41" s="57" t="s">
        <v>74</v>
      </c>
      <c r="E41" s="54" t="s">
        <v>68</v>
      </c>
      <c r="F41" s="54" t="s">
        <v>69</v>
      </c>
      <c r="G41" s="74" t="s">
        <v>70</v>
      </c>
      <c r="H41" s="54"/>
      <c r="I41" s="54"/>
      <c r="J41" s="54"/>
      <c r="K41" s="54"/>
      <c r="L41" s="35"/>
      <c r="M41" s="35"/>
      <c r="N41" s="35"/>
      <c r="O41" s="7"/>
      <c r="P41" s="7"/>
    </row>
    <row r="42" spans="1:16" s="5" customFormat="1" ht="47">
      <c r="A42" s="54" t="s">
        <v>119</v>
      </c>
      <c r="B42" s="54" t="s">
        <v>65</v>
      </c>
      <c r="C42" s="54" t="s">
        <v>120</v>
      </c>
      <c r="D42" s="57" t="s">
        <v>74</v>
      </c>
      <c r="E42" s="54" t="s">
        <v>84</v>
      </c>
      <c r="F42" s="54" t="s">
        <v>76</v>
      </c>
      <c r="G42" s="75" t="s">
        <v>77</v>
      </c>
      <c r="H42" s="54"/>
      <c r="I42" s="54"/>
      <c r="J42" s="54"/>
      <c r="K42" s="54"/>
      <c r="L42" s="35"/>
      <c r="M42" s="35"/>
      <c r="N42" s="35"/>
      <c r="O42" s="7"/>
      <c r="P42" s="7"/>
    </row>
    <row r="43" spans="1:16" s="5" customFormat="1" ht="47">
      <c r="A43" s="54" t="s">
        <v>121</v>
      </c>
      <c r="B43" s="54" t="s">
        <v>65</v>
      </c>
      <c r="C43" s="54" t="s">
        <v>120</v>
      </c>
      <c r="D43" s="57" t="s">
        <v>74</v>
      </c>
      <c r="E43" s="54" t="s">
        <v>84</v>
      </c>
      <c r="F43" s="54" t="s">
        <v>76</v>
      </c>
      <c r="G43" s="75" t="s">
        <v>77</v>
      </c>
      <c r="H43" s="54"/>
      <c r="I43" s="54"/>
      <c r="J43" s="54"/>
      <c r="K43" s="54"/>
      <c r="L43" s="35"/>
      <c r="M43" s="35"/>
      <c r="N43" s="35"/>
      <c r="O43" s="7"/>
      <c r="P43" s="7"/>
    </row>
    <row r="44" spans="1:16" s="5" customFormat="1" ht="47">
      <c r="A44" s="54" t="s">
        <v>122</v>
      </c>
      <c r="B44" s="54" t="s">
        <v>65</v>
      </c>
      <c r="C44" s="54" t="s">
        <v>120</v>
      </c>
      <c r="D44" s="57" t="s">
        <v>74</v>
      </c>
      <c r="E44" s="54" t="s">
        <v>84</v>
      </c>
      <c r="F44" s="54" t="s">
        <v>76</v>
      </c>
      <c r="G44" s="75" t="s">
        <v>77</v>
      </c>
      <c r="H44" s="54"/>
      <c r="I44" s="54"/>
      <c r="J44" s="54"/>
      <c r="K44" s="54"/>
      <c r="L44" s="35"/>
      <c r="M44" s="35"/>
      <c r="N44" s="35"/>
      <c r="O44" s="7"/>
      <c r="P44" s="7"/>
    </row>
    <row r="45" spans="1:16" s="5" customFormat="1" ht="47">
      <c r="A45" s="54" t="s">
        <v>123</v>
      </c>
      <c r="B45" s="54" t="s">
        <v>65</v>
      </c>
      <c r="C45" s="54" t="s">
        <v>120</v>
      </c>
      <c r="D45" s="57" t="s">
        <v>74</v>
      </c>
      <c r="E45" s="54" t="s">
        <v>84</v>
      </c>
      <c r="F45" s="54" t="s">
        <v>76</v>
      </c>
      <c r="G45" s="75" t="s">
        <v>77</v>
      </c>
      <c r="H45" s="54"/>
      <c r="I45" s="54"/>
      <c r="J45" s="54"/>
      <c r="K45" s="54"/>
      <c r="L45" s="35"/>
      <c r="M45" s="35"/>
      <c r="N45" s="35"/>
      <c r="O45" s="7"/>
      <c r="P45" s="7"/>
    </row>
    <row r="46" spans="1:16" s="5" customFormat="1" ht="47">
      <c r="A46" s="54" t="s">
        <v>124</v>
      </c>
      <c r="B46" s="54" t="s">
        <v>65</v>
      </c>
      <c r="C46" s="54" t="s">
        <v>120</v>
      </c>
      <c r="D46" s="57" t="s">
        <v>74</v>
      </c>
      <c r="E46" s="54" t="s">
        <v>84</v>
      </c>
      <c r="F46" s="54" t="s">
        <v>76</v>
      </c>
      <c r="G46" s="75" t="s">
        <v>77</v>
      </c>
      <c r="H46" s="54"/>
      <c r="I46" s="54"/>
      <c r="J46" s="54"/>
      <c r="K46" s="54"/>
      <c r="L46" s="35"/>
      <c r="M46" s="35"/>
      <c r="N46" s="35"/>
      <c r="O46" s="7"/>
      <c r="P46" s="7"/>
    </row>
    <row r="47" spans="1:16" s="5" customFormat="1" ht="47">
      <c r="A47" s="54" t="s">
        <v>125</v>
      </c>
      <c r="B47" s="54" t="s">
        <v>65</v>
      </c>
      <c r="C47" s="54" t="s">
        <v>120</v>
      </c>
      <c r="D47" s="57" t="s">
        <v>74</v>
      </c>
      <c r="E47" s="54" t="s">
        <v>84</v>
      </c>
      <c r="F47" s="54" t="s">
        <v>76</v>
      </c>
      <c r="G47" s="75" t="s">
        <v>77</v>
      </c>
      <c r="H47" s="54"/>
      <c r="I47" s="54"/>
      <c r="J47" s="54"/>
      <c r="K47" s="54"/>
      <c r="L47" s="35"/>
      <c r="M47" s="35"/>
      <c r="N47" s="35"/>
      <c r="O47" s="7"/>
      <c r="P47" s="7"/>
    </row>
    <row r="48" spans="1:16" s="5" customFormat="1" ht="70.5">
      <c r="A48" s="54" t="s">
        <v>126</v>
      </c>
      <c r="B48" s="54" t="s">
        <v>65</v>
      </c>
      <c r="C48" s="54" t="s">
        <v>127</v>
      </c>
      <c r="D48" s="57" t="s">
        <v>74</v>
      </c>
      <c r="E48" s="54" t="s">
        <v>84</v>
      </c>
      <c r="F48" s="54" t="s">
        <v>76</v>
      </c>
      <c r="G48" s="75" t="s">
        <v>77</v>
      </c>
      <c r="H48" s="54"/>
      <c r="I48" s="54"/>
      <c r="J48" s="54"/>
      <c r="K48" s="54"/>
      <c r="L48" s="35"/>
      <c r="M48" s="35"/>
      <c r="N48" s="35"/>
      <c r="O48" s="7"/>
      <c r="P48" s="7"/>
    </row>
    <row r="49" spans="1:16" s="5" customFormat="1" ht="47">
      <c r="A49" s="54" t="s">
        <v>128</v>
      </c>
      <c r="B49" s="54" t="s">
        <v>65</v>
      </c>
      <c r="C49" s="54" t="s">
        <v>127</v>
      </c>
      <c r="D49" s="57" t="s">
        <v>74</v>
      </c>
      <c r="E49" s="54" t="s">
        <v>68</v>
      </c>
      <c r="F49" s="54" t="s">
        <v>69</v>
      </c>
      <c r="G49" s="75" t="s">
        <v>77</v>
      </c>
      <c r="H49" s="54"/>
      <c r="I49" s="54"/>
      <c r="J49" s="54"/>
      <c r="K49" s="54"/>
      <c r="L49" s="35"/>
      <c r="M49" s="35"/>
      <c r="N49" s="35"/>
      <c r="O49" s="7"/>
      <c r="P49" s="7"/>
    </row>
    <row r="50" spans="1:16" s="5" customFormat="1" ht="47">
      <c r="A50" s="54" t="s">
        <v>129</v>
      </c>
      <c r="B50" s="54" t="s">
        <v>65</v>
      </c>
      <c r="C50" s="54" t="s">
        <v>127</v>
      </c>
      <c r="D50" s="57" t="s">
        <v>74</v>
      </c>
      <c r="E50" s="54" t="s">
        <v>68</v>
      </c>
      <c r="F50" s="54" t="s">
        <v>69</v>
      </c>
      <c r="G50" s="75" t="s">
        <v>77</v>
      </c>
      <c r="H50" s="54"/>
      <c r="I50" s="54"/>
      <c r="J50" s="54"/>
      <c r="K50" s="54"/>
      <c r="L50" s="35"/>
      <c r="M50" s="35"/>
      <c r="N50" s="35"/>
      <c r="O50" s="7"/>
      <c r="P50" s="7"/>
    </row>
    <row r="51" spans="1:16" s="5" customFormat="1" ht="47">
      <c r="A51" s="54" t="s">
        <v>130</v>
      </c>
      <c r="B51" s="54" t="s">
        <v>65</v>
      </c>
      <c r="C51" s="54" t="s">
        <v>127</v>
      </c>
      <c r="D51" s="57" t="s">
        <v>74</v>
      </c>
      <c r="E51" s="54" t="s">
        <v>84</v>
      </c>
      <c r="F51" s="54" t="s">
        <v>76</v>
      </c>
      <c r="G51" s="75" t="s">
        <v>77</v>
      </c>
      <c r="H51" s="54"/>
      <c r="I51" s="54"/>
      <c r="J51" s="54"/>
      <c r="K51" s="54"/>
      <c r="L51" s="35"/>
      <c r="M51" s="35"/>
      <c r="N51" s="35"/>
      <c r="O51" s="7"/>
      <c r="P51" s="7"/>
    </row>
    <row r="52" spans="1:16" s="5" customFormat="1" ht="70.5">
      <c r="A52" s="54" t="s">
        <v>131</v>
      </c>
      <c r="B52" s="54" t="s">
        <v>65</v>
      </c>
      <c r="C52" s="54" t="s">
        <v>127</v>
      </c>
      <c r="D52" s="57" t="s">
        <v>74</v>
      </c>
      <c r="E52" s="54" t="s">
        <v>68</v>
      </c>
      <c r="F52" s="54" t="s">
        <v>69</v>
      </c>
      <c r="G52" s="75" t="s">
        <v>77</v>
      </c>
      <c r="H52" s="54"/>
      <c r="I52" s="54"/>
      <c r="J52" s="54"/>
      <c r="K52" s="54"/>
      <c r="L52" s="35"/>
      <c r="M52" s="35"/>
      <c r="N52" s="35"/>
      <c r="O52" s="7"/>
      <c r="P52" s="7"/>
    </row>
    <row r="53" spans="1:16" s="5" customFormat="1" ht="47">
      <c r="A53" s="54" t="s">
        <v>132</v>
      </c>
      <c r="B53" s="54" t="s">
        <v>65</v>
      </c>
      <c r="C53" s="54" t="s">
        <v>127</v>
      </c>
      <c r="D53" s="57" t="s">
        <v>74</v>
      </c>
      <c r="E53" s="54" t="s">
        <v>68</v>
      </c>
      <c r="F53" s="54" t="s">
        <v>69</v>
      </c>
      <c r="G53" s="74" t="s">
        <v>70</v>
      </c>
      <c r="H53" s="54"/>
      <c r="I53" s="54"/>
      <c r="J53" s="54"/>
      <c r="K53" s="54"/>
      <c r="L53" s="35"/>
      <c r="M53" s="35"/>
      <c r="N53" s="35"/>
      <c r="O53" s="7"/>
      <c r="P53" s="7"/>
    </row>
    <row r="54" spans="1:16" s="5" customFormat="1" ht="47">
      <c r="A54" s="54" t="s">
        <v>133</v>
      </c>
      <c r="B54" s="54" t="s">
        <v>65</v>
      </c>
      <c r="C54" s="54" t="s">
        <v>127</v>
      </c>
      <c r="D54" s="57" t="s">
        <v>74</v>
      </c>
      <c r="E54" s="54" t="s">
        <v>84</v>
      </c>
      <c r="F54" s="54" t="s">
        <v>76</v>
      </c>
      <c r="G54" s="75" t="s">
        <v>77</v>
      </c>
      <c r="H54" s="54"/>
      <c r="I54" s="54"/>
      <c r="J54" s="54"/>
      <c r="K54" s="54"/>
      <c r="L54" s="35"/>
      <c r="M54" s="35"/>
      <c r="N54" s="35"/>
      <c r="O54" s="7"/>
      <c r="P54" s="7"/>
    </row>
    <row r="55" spans="1:16" s="5" customFormat="1" ht="70.5">
      <c r="A55" s="54" t="s">
        <v>134</v>
      </c>
      <c r="B55" s="54" t="s">
        <v>65</v>
      </c>
      <c r="C55" s="54" t="s">
        <v>127</v>
      </c>
      <c r="D55" s="57" t="s">
        <v>74</v>
      </c>
      <c r="E55" s="54" t="s">
        <v>68</v>
      </c>
      <c r="F55" s="54" t="s">
        <v>69</v>
      </c>
      <c r="G55" s="74" t="s">
        <v>70</v>
      </c>
      <c r="H55" s="54"/>
      <c r="I55" s="54"/>
      <c r="J55" s="54"/>
      <c r="K55" s="54"/>
      <c r="L55" s="35"/>
      <c r="M55" s="35"/>
      <c r="N55" s="35"/>
      <c r="O55" s="7"/>
      <c r="P55" s="7"/>
    </row>
    <row r="56" spans="1:16" s="5" customFormat="1" ht="47">
      <c r="A56" s="54" t="s">
        <v>135</v>
      </c>
      <c r="B56" s="54" t="s">
        <v>65</v>
      </c>
      <c r="C56" s="54" t="s">
        <v>127</v>
      </c>
      <c r="D56" s="57" t="s">
        <v>74</v>
      </c>
      <c r="E56" s="54" t="s">
        <v>68</v>
      </c>
      <c r="F56" s="54" t="s">
        <v>69</v>
      </c>
      <c r="G56" s="75" t="s">
        <v>77</v>
      </c>
      <c r="H56" s="54"/>
      <c r="I56" s="54"/>
      <c r="J56" s="54"/>
      <c r="K56" s="54"/>
      <c r="L56" s="35"/>
      <c r="M56" s="35"/>
      <c r="N56" s="35"/>
      <c r="O56" s="7"/>
      <c r="P56" s="7"/>
    </row>
    <row r="57" spans="1:16" s="5" customFormat="1" ht="70.5">
      <c r="A57" s="54" t="s">
        <v>136</v>
      </c>
      <c r="B57" s="54" t="s">
        <v>65</v>
      </c>
      <c r="C57" s="54" t="s">
        <v>127</v>
      </c>
      <c r="D57" s="57" t="s">
        <v>74</v>
      </c>
      <c r="E57" s="54" t="s">
        <v>68</v>
      </c>
      <c r="F57" s="54" t="s">
        <v>69</v>
      </c>
      <c r="G57" s="75" t="s">
        <v>77</v>
      </c>
      <c r="H57" s="54"/>
      <c r="I57" s="54"/>
      <c r="J57" s="54"/>
      <c r="K57" s="54"/>
      <c r="L57" s="35"/>
      <c r="M57" s="35"/>
      <c r="N57" s="35"/>
      <c r="O57" s="7"/>
      <c r="P57" s="7"/>
    </row>
    <row r="58" spans="1:16" s="5" customFormat="1" ht="47">
      <c r="A58" s="54" t="s">
        <v>137</v>
      </c>
      <c r="B58" s="54" t="s">
        <v>65</v>
      </c>
      <c r="C58" s="54" t="s">
        <v>127</v>
      </c>
      <c r="D58" s="57" t="s">
        <v>74</v>
      </c>
      <c r="E58" s="54" t="s">
        <v>68</v>
      </c>
      <c r="F58" s="54" t="s">
        <v>69</v>
      </c>
      <c r="G58" s="75" t="s">
        <v>77</v>
      </c>
      <c r="H58" s="54"/>
      <c r="I58" s="54"/>
      <c r="J58" s="54"/>
      <c r="K58" s="54"/>
      <c r="L58" s="35"/>
      <c r="M58" s="35"/>
      <c r="N58" s="35"/>
      <c r="O58" s="7"/>
      <c r="P58" s="7"/>
    </row>
    <row r="59" spans="1:16" s="5" customFormat="1" ht="70.5">
      <c r="A59" s="54" t="s">
        <v>138</v>
      </c>
      <c r="B59" s="54" t="s">
        <v>139</v>
      </c>
      <c r="C59" s="54" t="s">
        <v>127</v>
      </c>
      <c r="D59" s="57" t="s">
        <v>74</v>
      </c>
      <c r="E59" s="54" t="s">
        <v>68</v>
      </c>
      <c r="F59" s="54" t="s">
        <v>69</v>
      </c>
      <c r="G59" s="74" t="s">
        <v>70</v>
      </c>
      <c r="H59" s="54"/>
      <c r="I59" s="54"/>
      <c r="J59" s="54"/>
      <c r="K59" s="54"/>
      <c r="L59" s="35"/>
      <c r="M59" s="35"/>
      <c r="N59" s="35"/>
      <c r="O59" s="7"/>
      <c r="P59" s="7"/>
    </row>
    <row r="60" spans="1:16" s="5" customFormat="1" ht="70.5">
      <c r="A60" s="54" t="s">
        <v>140</v>
      </c>
      <c r="B60" s="54" t="s">
        <v>65</v>
      </c>
      <c r="C60" s="54" t="s">
        <v>127</v>
      </c>
      <c r="D60" s="57" t="s">
        <v>74</v>
      </c>
      <c r="E60" s="54" t="s">
        <v>68</v>
      </c>
      <c r="F60" s="54" t="s">
        <v>69</v>
      </c>
      <c r="G60" s="74" t="s">
        <v>70</v>
      </c>
      <c r="H60" s="54"/>
      <c r="I60" s="54"/>
      <c r="J60" s="54"/>
      <c r="K60" s="54"/>
      <c r="L60" s="35"/>
      <c r="M60" s="35"/>
      <c r="N60" s="35"/>
      <c r="O60" s="7"/>
      <c r="P60" s="7"/>
    </row>
    <row r="61" spans="1:16" s="5" customFormat="1" ht="70.5">
      <c r="A61" s="54" t="s">
        <v>141</v>
      </c>
      <c r="B61" s="54" t="s">
        <v>65</v>
      </c>
      <c r="C61" s="54" t="s">
        <v>127</v>
      </c>
      <c r="D61" s="57" t="s">
        <v>74</v>
      </c>
      <c r="E61" s="54" t="s">
        <v>68</v>
      </c>
      <c r="F61" s="54" t="s">
        <v>69</v>
      </c>
      <c r="G61" s="75" t="s">
        <v>77</v>
      </c>
      <c r="H61" s="54"/>
      <c r="I61" s="54"/>
      <c r="J61" s="54"/>
      <c r="K61" s="54"/>
      <c r="L61" s="35"/>
      <c r="M61" s="35"/>
      <c r="N61" s="35"/>
      <c r="O61" s="7"/>
      <c r="P61" s="7"/>
    </row>
    <row r="62" spans="1:16" s="5" customFormat="1" ht="70.5">
      <c r="A62" s="54" t="s">
        <v>142</v>
      </c>
      <c r="B62" s="54" t="s">
        <v>65</v>
      </c>
      <c r="C62" s="54" t="s">
        <v>143</v>
      </c>
      <c r="D62" s="57" t="s">
        <v>74</v>
      </c>
      <c r="E62" s="54" t="s">
        <v>75</v>
      </c>
      <c r="F62" s="54" t="s">
        <v>144</v>
      </c>
      <c r="G62" s="75" t="s">
        <v>77</v>
      </c>
      <c r="H62" s="54"/>
      <c r="I62" s="54"/>
      <c r="J62" s="54"/>
      <c r="K62" s="54"/>
      <c r="L62" s="35"/>
      <c r="M62" s="35"/>
      <c r="N62" s="35"/>
      <c r="O62" s="7"/>
      <c r="P62" s="7"/>
    </row>
    <row r="63" spans="1:16" s="5" customFormat="1" ht="47">
      <c r="A63" s="54" t="s">
        <v>145</v>
      </c>
      <c r="B63" s="54" t="s">
        <v>65</v>
      </c>
      <c r="C63" s="54" t="s">
        <v>143</v>
      </c>
      <c r="D63" s="57" t="s">
        <v>74</v>
      </c>
      <c r="E63" s="54" t="s">
        <v>75</v>
      </c>
      <c r="F63" s="54" t="s">
        <v>144</v>
      </c>
      <c r="G63" s="75" t="s">
        <v>77</v>
      </c>
      <c r="H63" s="54"/>
      <c r="I63" s="54"/>
      <c r="J63" s="54"/>
      <c r="K63" s="54"/>
      <c r="L63" s="35"/>
      <c r="M63" s="35"/>
      <c r="N63" s="35"/>
      <c r="O63" s="7"/>
      <c r="P63" s="7"/>
    </row>
    <row r="64" spans="1:16" s="5" customFormat="1" ht="70.5">
      <c r="A64" s="54" t="s">
        <v>146</v>
      </c>
      <c r="B64" s="54" t="s">
        <v>65</v>
      </c>
      <c r="C64" s="54" t="s">
        <v>143</v>
      </c>
      <c r="D64" s="57" t="s">
        <v>74</v>
      </c>
      <c r="E64" s="54" t="s">
        <v>75</v>
      </c>
      <c r="F64" s="54" t="s">
        <v>144</v>
      </c>
      <c r="G64" s="75" t="s">
        <v>77</v>
      </c>
      <c r="H64" s="54"/>
      <c r="I64" s="54"/>
      <c r="J64" s="54"/>
      <c r="K64" s="54"/>
      <c r="L64" s="35"/>
      <c r="M64" s="35"/>
      <c r="N64" s="35"/>
      <c r="O64" s="7"/>
      <c r="P64" s="7"/>
    </row>
    <row r="65" spans="1:16" s="5" customFormat="1" ht="70.5">
      <c r="A65" s="54" t="s">
        <v>147</v>
      </c>
      <c r="B65" s="54" t="s">
        <v>65</v>
      </c>
      <c r="C65" s="54" t="s">
        <v>143</v>
      </c>
      <c r="D65" s="57" t="s">
        <v>74</v>
      </c>
      <c r="E65" s="54" t="s">
        <v>75</v>
      </c>
      <c r="F65" s="54" t="s">
        <v>144</v>
      </c>
      <c r="G65" s="75" t="s">
        <v>77</v>
      </c>
      <c r="H65" s="54"/>
      <c r="I65" s="54"/>
      <c r="J65" s="54"/>
      <c r="K65" s="54"/>
      <c r="L65" s="35"/>
      <c r="M65" s="35"/>
      <c r="N65" s="35"/>
      <c r="O65" s="7"/>
      <c r="P65" s="7"/>
    </row>
    <row r="66" spans="1:16" s="5" customFormat="1" ht="70.5">
      <c r="A66" s="54" t="s">
        <v>148</v>
      </c>
      <c r="B66" s="54" t="s">
        <v>106</v>
      </c>
      <c r="C66" s="54" t="s">
        <v>143</v>
      </c>
      <c r="D66" s="57" t="s">
        <v>74</v>
      </c>
      <c r="E66" s="54" t="s">
        <v>107</v>
      </c>
      <c r="F66" s="54" t="s">
        <v>69</v>
      </c>
      <c r="G66" s="75" t="s">
        <v>77</v>
      </c>
      <c r="H66" s="54"/>
      <c r="I66" s="54"/>
      <c r="J66" s="54"/>
      <c r="K66" s="54"/>
      <c r="L66" s="35"/>
      <c r="M66" s="35"/>
      <c r="N66" s="35"/>
      <c r="O66" s="7"/>
      <c r="P66" s="7"/>
    </row>
    <row r="67" spans="1:16" s="5" customFormat="1" ht="70.5">
      <c r="A67" s="54" t="s">
        <v>149</v>
      </c>
      <c r="B67" s="54" t="s">
        <v>106</v>
      </c>
      <c r="C67" s="54" t="s">
        <v>143</v>
      </c>
      <c r="D67" s="57" t="s">
        <v>74</v>
      </c>
      <c r="E67" s="54" t="s">
        <v>107</v>
      </c>
      <c r="F67" s="54" t="s">
        <v>69</v>
      </c>
      <c r="G67" s="75" t="s">
        <v>77</v>
      </c>
      <c r="H67" s="54"/>
      <c r="I67" s="54"/>
      <c r="J67" s="54"/>
      <c r="K67" s="54"/>
      <c r="L67" s="35"/>
      <c r="M67" s="35"/>
      <c r="N67" s="35"/>
      <c r="O67" s="7"/>
      <c r="P67" s="7"/>
    </row>
    <row r="68" spans="1:16" s="5" customFormat="1" ht="47">
      <c r="A68" s="54" t="s">
        <v>150</v>
      </c>
      <c r="B68" s="54" t="s">
        <v>65</v>
      </c>
      <c r="C68" s="54" t="s">
        <v>143</v>
      </c>
      <c r="D68" s="57" t="s">
        <v>74</v>
      </c>
      <c r="E68" s="54" t="s">
        <v>84</v>
      </c>
      <c r="F68" s="54" t="s">
        <v>69</v>
      </c>
      <c r="G68" s="75" t="s">
        <v>77</v>
      </c>
      <c r="H68" s="54"/>
      <c r="I68" s="54"/>
      <c r="J68" s="54"/>
      <c r="K68" s="54"/>
      <c r="L68" s="35"/>
      <c r="M68" s="35"/>
      <c r="N68" s="35"/>
      <c r="O68" s="7"/>
      <c r="P68" s="7"/>
    </row>
    <row r="69" spans="1:16" s="5" customFormat="1" ht="47">
      <c r="A69" s="54" t="s">
        <v>151</v>
      </c>
      <c r="B69" s="54" t="s">
        <v>65</v>
      </c>
      <c r="C69" s="54" t="s">
        <v>143</v>
      </c>
      <c r="D69" s="57" t="s">
        <v>74</v>
      </c>
      <c r="E69" s="54" t="s">
        <v>68</v>
      </c>
      <c r="F69" s="54" t="s">
        <v>69</v>
      </c>
      <c r="G69" s="75" t="s">
        <v>77</v>
      </c>
      <c r="H69" s="54"/>
      <c r="I69" s="54"/>
      <c r="J69" s="54"/>
      <c r="K69" s="54"/>
      <c r="L69" s="35"/>
      <c r="M69" s="35"/>
      <c r="N69" s="35"/>
      <c r="O69" s="7"/>
      <c r="P69" s="7"/>
    </row>
    <row r="70" spans="1:16" s="5" customFormat="1" ht="47">
      <c r="A70" s="54" t="s">
        <v>152</v>
      </c>
      <c r="B70" s="54" t="s">
        <v>65</v>
      </c>
      <c r="C70" s="54" t="s">
        <v>143</v>
      </c>
      <c r="D70" s="57" t="s">
        <v>74</v>
      </c>
      <c r="E70" s="54" t="s">
        <v>75</v>
      </c>
      <c r="F70" s="54" t="s">
        <v>144</v>
      </c>
      <c r="G70" s="75" t="s">
        <v>77</v>
      </c>
      <c r="H70" s="54"/>
      <c r="I70" s="54"/>
      <c r="J70" s="54"/>
      <c r="K70" s="54"/>
      <c r="L70" s="35"/>
      <c r="M70" s="35"/>
      <c r="N70" s="35"/>
      <c r="O70" s="7"/>
      <c r="P70" s="7"/>
    </row>
    <row r="71" spans="1:16" s="5" customFormat="1" ht="47">
      <c r="A71" s="54" t="s">
        <v>153</v>
      </c>
      <c r="B71" s="54" t="s">
        <v>65</v>
      </c>
      <c r="C71" s="54" t="s">
        <v>143</v>
      </c>
      <c r="D71" s="57" t="s">
        <v>74</v>
      </c>
      <c r="E71" s="54" t="s">
        <v>75</v>
      </c>
      <c r="F71" s="54" t="s">
        <v>144</v>
      </c>
      <c r="G71" s="75" t="s">
        <v>77</v>
      </c>
      <c r="H71" s="54"/>
      <c r="I71" s="54"/>
      <c r="J71" s="54"/>
      <c r="K71" s="54"/>
      <c r="L71" s="35"/>
      <c r="M71" s="35"/>
      <c r="N71" s="35"/>
      <c r="O71" s="7"/>
      <c r="P71" s="7"/>
    </row>
    <row r="72" spans="1:16" s="5" customFormat="1" ht="47">
      <c r="A72" s="54" t="s">
        <v>154</v>
      </c>
      <c r="B72" s="54" t="s">
        <v>65</v>
      </c>
      <c r="C72" s="54" t="s">
        <v>143</v>
      </c>
      <c r="D72" s="57" t="s">
        <v>74</v>
      </c>
      <c r="E72" s="54" t="s">
        <v>84</v>
      </c>
      <c r="F72" s="54" t="s">
        <v>69</v>
      </c>
      <c r="G72" s="75" t="s">
        <v>77</v>
      </c>
      <c r="H72" s="54"/>
      <c r="I72" s="54"/>
      <c r="J72" s="54"/>
      <c r="K72" s="54"/>
      <c r="L72" s="35"/>
      <c r="M72" s="35"/>
      <c r="N72" s="35"/>
      <c r="O72" s="7"/>
      <c r="P72" s="7"/>
    </row>
    <row r="73" spans="1:16" s="5" customFormat="1" ht="47">
      <c r="A73" s="54" t="s">
        <v>155</v>
      </c>
      <c r="B73" s="54" t="s">
        <v>65</v>
      </c>
      <c r="C73" s="54" t="s">
        <v>143</v>
      </c>
      <c r="D73" s="57" t="s">
        <v>74</v>
      </c>
      <c r="E73" s="54" t="s">
        <v>84</v>
      </c>
      <c r="F73" s="54" t="s">
        <v>69</v>
      </c>
      <c r="G73" s="75" t="s">
        <v>77</v>
      </c>
      <c r="H73" s="54"/>
      <c r="I73" s="54"/>
      <c r="J73" s="54"/>
      <c r="K73" s="54"/>
      <c r="L73" s="35"/>
      <c r="M73" s="35"/>
      <c r="N73" s="35"/>
      <c r="O73" s="7"/>
      <c r="P73" s="7"/>
    </row>
    <row r="74" spans="1:16" s="5" customFormat="1" ht="70.5">
      <c r="A74" s="54" t="s">
        <v>156</v>
      </c>
      <c r="B74" s="54" t="s">
        <v>65</v>
      </c>
      <c r="C74" s="54" t="s">
        <v>143</v>
      </c>
      <c r="D74" s="57" t="s">
        <v>74</v>
      </c>
      <c r="E74" s="54" t="s">
        <v>75</v>
      </c>
      <c r="F74" s="54" t="s">
        <v>144</v>
      </c>
      <c r="G74" s="75" t="s">
        <v>77</v>
      </c>
      <c r="H74" s="54"/>
      <c r="I74" s="54"/>
      <c r="J74" s="54"/>
      <c r="K74" s="54"/>
      <c r="L74" s="35"/>
      <c r="M74" s="35"/>
      <c r="N74" s="35"/>
      <c r="O74" s="7"/>
      <c r="P74" s="7"/>
    </row>
    <row r="75" spans="1:16" s="5" customFormat="1" ht="70.5">
      <c r="A75" s="54" t="s">
        <v>157</v>
      </c>
      <c r="B75" s="54" t="s">
        <v>65</v>
      </c>
      <c r="C75" s="54" t="s">
        <v>143</v>
      </c>
      <c r="D75" s="57" t="s">
        <v>74</v>
      </c>
      <c r="E75" s="54" t="s">
        <v>75</v>
      </c>
      <c r="F75" s="54" t="s">
        <v>144</v>
      </c>
      <c r="G75" s="75" t="s">
        <v>77</v>
      </c>
      <c r="H75" s="54"/>
      <c r="I75" s="54"/>
      <c r="J75" s="54"/>
      <c r="K75" s="54"/>
      <c r="L75" s="35"/>
      <c r="M75" s="35"/>
      <c r="N75" s="35"/>
      <c r="O75" s="7"/>
      <c r="P75" s="7"/>
    </row>
    <row r="76" spans="1:16" s="5" customFormat="1" ht="70.5">
      <c r="A76" s="54" t="s">
        <v>158</v>
      </c>
      <c r="B76" s="54" t="s">
        <v>65</v>
      </c>
      <c r="C76" s="54" t="s">
        <v>143</v>
      </c>
      <c r="D76" s="57" t="s">
        <v>74</v>
      </c>
      <c r="E76" s="54" t="s">
        <v>68</v>
      </c>
      <c r="F76" s="54" t="s">
        <v>69</v>
      </c>
      <c r="G76" s="75" t="s">
        <v>77</v>
      </c>
      <c r="H76" s="54"/>
      <c r="I76" s="54"/>
      <c r="J76" s="54"/>
      <c r="K76" s="54"/>
      <c r="L76" s="35"/>
      <c r="M76" s="35"/>
      <c r="N76" s="35"/>
      <c r="O76" s="7"/>
      <c r="P76" s="7"/>
    </row>
    <row r="77" spans="1:16" s="5" customFormat="1" ht="70.5">
      <c r="A77" s="54" t="s">
        <v>159</v>
      </c>
      <c r="B77" s="54" t="s">
        <v>65</v>
      </c>
      <c r="C77" s="54" t="s">
        <v>143</v>
      </c>
      <c r="D77" s="57" t="s">
        <v>74</v>
      </c>
      <c r="E77" s="54" t="s">
        <v>68</v>
      </c>
      <c r="F77" s="54" t="s">
        <v>69</v>
      </c>
      <c r="G77" s="75" t="s">
        <v>77</v>
      </c>
      <c r="H77" s="54"/>
      <c r="I77" s="54"/>
      <c r="J77" s="54"/>
      <c r="K77" s="54"/>
      <c r="L77" s="35"/>
      <c r="M77" s="35"/>
      <c r="N77" s="35"/>
      <c r="O77" s="7"/>
      <c r="P77" s="7"/>
    </row>
    <row r="78" spans="1:16" s="5" customFormat="1" ht="70.5">
      <c r="A78" s="54" t="s">
        <v>160</v>
      </c>
      <c r="B78" s="54" t="s">
        <v>65</v>
      </c>
      <c r="C78" s="54" t="s">
        <v>143</v>
      </c>
      <c r="D78" s="57" t="s">
        <v>74</v>
      </c>
      <c r="E78" s="54" t="s">
        <v>75</v>
      </c>
      <c r="F78" s="54" t="s">
        <v>144</v>
      </c>
      <c r="G78" s="75" t="s">
        <v>77</v>
      </c>
      <c r="H78" s="54"/>
      <c r="I78" s="54"/>
      <c r="J78" s="54"/>
      <c r="K78" s="54"/>
      <c r="L78" s="35"/>
      <c r="M78" s="35"/>
      <c r="N78" s="35"/>
      <c r="O78" s="7"/>
      <c r="P78" s="7"/>
    </row>
    <row r="79" spans="1:16" s="5" customFormat="1" ht="47">
      <c r="A79" s="54" t="s">
        <v>161</v>
      </c>
      <c r="B79" s="54" t="s">
        <v>65</v>
      </c>
      <c r="C79" s="54" t="s">
        <v>143</v>
      </c>
      <c r="D79" s="57" t="s">
        <v>74</v>
      </c>
      <c r="E79" s="54" t="s">
        <v>75</v>
      </c>
      <c r="F79" s="54" t="s">
        <v>144</v>
      </c>
      <c r="G79" s="75" t="s">
        <v>77</v>
      </c>
      <c r="H79" s="54"/>
      <c r="I79" s="54"/>
      <c r="J79" s="54"/>
      <c r="K79" s="54"/>
      <c r="L79" s="35"/>
      <c r="M79" s="35"/>
      <c r="N79" s="35"/>
      <c r="O79" s="7"/>
      <c r="P79" s="7"/>
    </row>
    <row r="80" spans="1:16" s="5" customFormat="1" ht="47">
      <c r="A80" s="54" t="s">
        <v>162</v>
      </c>
      <c r="B80" s="54" t="s">
        <v>65</v>
      </c>
      <c r="C80" s="54" t="s">
        <v>143</v>
      </c>
      <c r="D80" s="57" t="s">
        <v>74</v>
      </c>
      <c r="E80" s="54" t="s">
        <v>68</v>
      </c>
      <c r="F80" s="54" t="s">
        <v>69</v>
      </c>
      <c r="G80" s="74" t="s">
        <v>70</v>
      </c>
      <c r="H80" s="54"/>
      <c r="I80" s="54"/>
      <c r="J80" s="54"/>
      <c r="K80" s="54"/>
      <c r="L80" s="35"/>
      <c r="M80" s="35"/>
      <c r="N80" s="35"/>
      <c r="O80" s="7"/>
      <c r="P80" s="7"/>
    </row>
    <row r="81" spans="1:16" s="5" customFormat="1" ht="70.5">
      <c r="A81" s="54" t="s">
        <v>163</v>
      </c>
      <c r="B81" s="54" t="s">
        <v>106</v>
      </c>
      <c r="C81" s="54" t="s">
        <v>143</v>
      </c>
      <c r="D81" s="57" t="s">
        <v>74</v>
      </c>
      <c r="E81" s="54" t="s">
        <v>107</v>
      </c>
      <c r="F81" s="54" t="s">
        <v>69</v>
      </c>
      <c r="G81" s="75" t="s">
        <v>77</v>
      </c>
      <c r="H81" s="54"/>
      <c r="I81" s="54"/>
      <c r="J81" s="54"/>
      <c r="K81" s="54"/>
      <c r="L81" s="35"/>
      <c r="M81" s="35"/>
      <c r="N81" s="35"/>
      <c r="O81" s="7"/>
      <c r="P81" s="7"/>
    </row>
    <row r="82" spans="1:16" s="5" customFormat="1" ht="47">
      <c r="A82" s="54" t="s">
        <v>164</v>
      </c>
      <c r="B82" s="54" t="s">
        <v>65</v>
      </c>
      <c r="C82" s="54" t="s">
        <v>143</v>
      </c>
      <c r="D82" s="57" t="s">
        <v>74</v>
      </c>
      <c r="E82" s="54" t="s">
        <v>68</v>
      </c>
      <c r="F82" s="54" t="s">
        <v>69</v>
      </c>
      <c r="G82" s="75" t="s">
        <v>77</v>
      </c>
      <c r="H82" s="54"/>
      <c r="I82" s="54"/>
      <c r="J82" s="54"/>
      <c r="K82" s="54"/>
      <c r="L82" s="35"/>
      <c r="M82" s="35"/>
      <c r="N82" s="35"/>
      <c r="O82" s="7"/>
      <c r="P82" s="7"/>
    </row>
    <row r="83" spans="1:16" s="5" customFormat="1" ht="70.5">
      <c r="A83" s="54" t="s">
        <v>165</v>
      </c>
      <c r="B83" s="54" t="s">
        <v>65</v>
      </c>
      <c r="C83" s="54" t="s">
        <v>143</v>
      </c>
      <c r="D83" s="57" t="s">
        <v>74</v>
      </c>
      <c r="E83" s="54" t="s">
        <v>75</v>
      </c>
      <c r="F83" s="54" t="s">
        <v>144</v>
      </c>
      <c r="G83" s="75" t="s">
        <v>77</v>
      </c>
      <c r="H83" s="54"/>
      <c r="I83" s="54"/>
      <c r="J83" s="54"/>
      <c r="K83" s="54"/>
      <c r="L83" s="35"/>
      <c r="M83" s="35"/>
      <c r="N83" s="35"/>
      <c r="O83" s="7"/>
      <c r="P83" s="7"/>
    </row>
    <row r="84" spans="1:16" s="5" customFormat="1" ht="70.5">
      <c r="A84" s="54" t="s">
        <v>166</v>
      </c>
      <c r="B84" s="54" t="s">
        <v>106</v>
      </c>
      <c r="C84" s="54" t="s">
        <v>143</v>
      </c>
      <c r="D84" s="57" t="s">
        <v>74</v>
      </c>
      <c r="E84" s="54" t="s">
        <v>107</v>
      </c>
      <c r="F84" s="54" t="s">
        <v>69</v>
      </c>
      <c r="G84" s="75" t="s">
        <v>77</v>
      </c>
      <c r="H84" s="54"/>
      <c r="I84" s="54"/>
      <c r="J84" s="54"/>
      <c r="K84" s="54"/>
      <c r="L84" s="35"/>
      <c r="M84" s="35"/>
      <c r="N84" s="35"/>
      <c r="O84" s="7"/>
      <c r="P84" s="7"/>
    </row>
    <row r="85" spans="1:16" s="5" customFormat="1" ht="70.5">
      <c r="A85" s="54" t="s">
        <v>167</v>
      </c>
      <c r="B85" s="54" t="s">
        <v>65</v>
      </c>
      <c r="C85" s="54" t="s">
        <v>143</v>
      </c>
      <c r="D85" s="57" t="s">
        <v>74</v>
      </c>
      <c r="E85" s="54" t="s">
        <v>68</v>
      </c>
      <c r="F85" s="54" t="s">
        <v>69</v>
      </c>
      <c r="G85" s="75" t="s">
        <v>77</v>
      </c>
      <c r="H85" s="54"/>
      <c r="I85" s="54"/>
      <c r="J85" s="54"/>
      <c r="K85" s="54"/>
      <c r="L85" s="35"/>
      <c r="M85" s="35"/>
      <c r="N85" s="35"/>
      <c r="O85" s="7"/>
      <c r="P85" s="7"/>
    </row>
    <row r="86" spans="1:16" s="5" customFormat="1" ht="70.5">
      <c r="A86" s="54" t="s">
        <v>168</v>
      </c>
      <c r="B86" s="54" t="s">
        <v>65</v>
      </c>
      <c r="C86" s="54" t="s">
        <v>143</v>
      </c>
      <c r="D86" s="57" t="s">
        <v>74</v>
      </c>
      <c r="E86" s="54" t="s">
        <v>68</v>
      </c>
      <c r="F86" s="54" t="s">
        <v>69</v>
      </c>
      <c r="G86" s="75" t="s">
        <v>77</v>
      </c>
      <c r="H86" s="54"/>
      <c r="I86" s="54"/>
      <c r="J86" s="54"/>
      <c r="K86" s="54"/>
      <c r="L86" s="35"/>
      <c r="M86" s="35"/>
      <c r="N86" s="35"/>
      <c r="O86" s="7"/>
      <c r="P86" s="7"/>
    </row>
    <row r="87" spans="1:16" s="5" customFormat="1" ht="70.5">
      <c r="A87" s="54" t="s">
        <v>169</v>
      </c>
      <c r="B87" s="54" t="s">
        <v>65</v>
      </c>
      <c r="C87" s="54" t="s">
        <v>143</v>
      </c>
      <c r="D87" s="57" t="s">
        <v>74</v>
      </c>
      <c r="E87" s="54" t="s">
        <v>75</v>
      </c>
      <c r="F87" s="54" t="s">
        <v>144</v>
      </c>
      <c r="G87" s="75" t="s">
        <v>77</v>
      </c>
      <c r="H87" s="54"/>
      <c r="I87" s="54"/>
      <c r="J87" s="54"/>
      <c r="K87" s="54"/>
      <c r="L87" s="35"/>
      <c r="M87" s="35"/>
      <c r="N87" s="35"/>
      <c r="O87" s="7"/>
      <c r="P87" s="7"/>
    </row>
    <row r="88" spans="1:16" s="5" customFormat="1" ht="47">
      <c r="A88" s="54" t="s">
        <v>170</v>
      </c>
      <c r="B88" s="54" t="s">
        <v>65</v>
      </c>
      <c r="C88" s="54" t="s">
        <v>143</v>
      </c>
      <c r="D88" s="57" t="s">
        <v>74</v>
      </c>
      <c r="E88" s="54" t="s">
        <v>68</v>
      </c>
      <c r="F88" s="54" t="s">
        <v>69</v>
      </c>
      <c r="G88" s="75" t="s">
        <v>77</v>
      </c>
      <c r="H88" s="54"/>
      <c r="I88" s="54"/>
      <c r="J88" s="54"/>
      <c r="K88" s="54"/>
      <c r="L88" s="35"/>
      <c r="M88" s="35"/>
      <c r="N88" s="35"/>
      <c r="O88" s="7"/>
      <c r="P88" s="7"/>
    </row>
    <row r="89" spans="1:16" s="5" customFormat="1" ht="70.5">
      <c r="A89" s="54" t="s">
        <v>171</v>
      </c>
      <c r="B89" s="54" t="s">
        <v>106</v>
      </c>
      <c r="C89" s="54" t="s">
        <v>143</v>
      </c>
      <c r="D89" s="57" t="s">
        <v>74</v>
      </c>
      <c r="E89" s="54" t="s">
        <v>107</v>
      </c>
      <c r="F89" s="54" t="s">
        <v>69</v>
      </c>
      <c r="G89" s="75" t="s">
        <v>77</v>
      </c>
      <c r="H89" s="54"/>
      <c r="I89" s="54"/>
      <c r="J89" s="54"/>
      <c r="K89" s="54"/>
      <c r="L89" s="35"/>
      <c r="M89" s="35"/>
      <c r="N89" s="35"/>
      <c r="O89" s="7"/>
      <c r="P89" s="7"/>
    </row>
    <row r="90" spans="1:16" s="5" customFormat="1" ht="70.5">
      <c r="A90" s="54" t="s">
        <v>172</v>
      </c>
      <c r="B90" s="54" t="s">
        <v>106</v>
      </c>
      <c r="C90" s="54" t="s">
        <v>143</v>
      </c>
      <c r="D90" s="57" t="s">
        <v>74</v>
      </c>
      <c r="E90" s="54" t="s">
        <v>107</v>
      </c>
      <c r="F90" s="54" t="s">
        <v>69</v>
      </c>
      <c r="G90" s="74" t="s">
        <v>70</v>
      </c>
      <c r="H90" s="54"/>
      <c r="I90" s="54"/>
      <c r="J90" s="54"/>
      <c r="K90" s="54"/>
      <c r="L90" s="35"/>
      <c r="M90" s="35"/>
      <c r="N90" s="35"/>
      <c r="O90" s="7"/>
      <c r="P90" s="7"/>
    </row>
    <row r="91" spans="1:16" s="5" customFormat="1" ht="47">
      <c r="A91" s="54" t="s">
        <v>173</v>
      </c>
      <c r="B91" s="54" t="s">
        <v>106</v>
      </c>
      <c r="C91" s="54" t="s">
        <v>143</v>
      </c>
      <c r="D91" s="57" t="s">
        <v>74</v>
      </c>
      <c r="E91" s="54" t="s">
        <v>107</v>
      </c>
      <c r="F91" s="54" t="s">
        <v>69</v>
      </c>
      <c r="G91" s="75" t="s">
        <v>77</v>
      </c>
      <c r="H91" s="54"/>
      <c r="I91" s="54"/>
      <c r="J91" s="54"/>
      <c r="K91" s="54"/>
      <c r="L91" s="35"/>
      <c r="M91" s="35"/>
      <c r="N91" s="35"/>
      <c r="O91" s="7"/>
      <c r="P91" s="7"/>
    </row>
    <row r="92" spans="1:16" s="5" customFormat="1" ht="47">
      <c r="A92" s="54" t="s">
        <v>174</v>
      </c>
      <c r="B92" s="54" t="s">
        <v>65</v>
      </c>
      <c r="C92" s="54" t="s">
        <v>143</v>
      </c>
      <c r="D92" s="57" t="s">
        <v>74</v>
      </c>
      <c r="E92" s="54" t="s">
        <v>68</v>
      </c>
      <c r="F92" s="54" t="s">
        <v>69</v>
      </c>
      <c r="G92" s="75" t="s">
        <v>77</v>
      </c>
      <c r="H92" s="54"/>
      <c r="I92" s="54"/>
      <c r="J92" s="54"/>
      <c r="K92" s="54"/>
      <c r="L92" s="35"/>
      <c r="M92" s="35"/>
      <c r="N92" s="35"/>
      <c r="O92" s="7"/>
      <c r="P92" s="7"/>
    </row>
    <row r="93" spans="1:16" s="5" customFormat="1" ht="47">
      <c r="A93" s="54" t="s">
        <v>175</v>
      </c>
      <c r="B93" s="54" t="s">
        <v>65</v>
      </c>
      <c r="C93" s="54" t="s">
        <v>143</v>
      </c>
      <c r="D93" s="57" t="s">
        <v>74</v>
      </c>
      <c r="E93" s="54" t="s">
        <v>84</v>
      </c>
      <c r="F93" s="54" t="s">
        <v>76</v>
      </c>
      <c r="G93" s="75" t="s">
        <v>77</v>
      </c>
      <c r="H93" s="54"/>
      <c r="I93" s="54"/>
      <c r="J93" s="54"/>
      <c r="K93" s="54"/>
      <c r="L93" s="35"/>
      <c r="M93" s="35"/>
      <c r="N93" s="35"/>
      <c r="O93" s="7"/>
      <c r="P93" s="7"/>
    </row>
    <row r="94" spans="1:16" s="5" customFormat="1" ht="94">
      <c r="A94" s="54" t="s">
        <v>176</v>
      </c>
      <c r="B94" s="54" t="s">
        <v>65</v>
      </c>
      <c r="C94" s="54" t="s">
        <v>177</v>
      </c>
      <c r="D94" s="56" t="s">
        <v>67</v>
      </c>
      <c r="E94" s="54" t="s">
        <v>84</v>
      </c>
      <c r="F94" s="54" t="s">
        <v>76</v>
      </c>
      <c r="G94" s="75" t="s">
        <v>77</v>
      </c>
      <c r="H94" s="54"/>
      <c r="I94" s="54"/>
      <c r="J94" s="54"/>
      <c r="K94" s="54" t="s">
        <v>178</v>
      </c>
      <c r="L94" s="35"/>
      <c r="M94" s="35"/>
      <c r="N94" s="35"/>
      <c r="O94" s="7"/>
      <c r="P94" s="7"/>
    </row>
    <row r="95" spans="1:16" s="5" customFormat="1" ht="47">
      <c r="A95" s="54" t="s">
        <v>179</v>
      </c>
      <c r="B95" s="54" t="s">
        <v>65</v>
      </c>
      <c r="C95" s="54" t="s">
        <v>143</v>
      </c>
      <c r="D95" s="57" t="s">
        <v>74</v>
      </c>
      <c r="E95" s="54" t="s">
        <v>68</v>
      </c>
      <c r="F95" s="54" t="s">
        <v>69</v>
      </c>
      <c r="G95" s="75" t="s">
        <v>77</v>
      </c>
      <c r="H95" s="54"/>
      <c r="I95" s="54"/>
      <c r="J95" s="54"/>
      <c r="K95" s="54"/>
      <c r="L95" s="35"/>
      <c r="M95" s="35"/>
      <c r="N95" s="35"/>
      <c r="O95" s="7"/>
      <c r="P95" s="7"/>
    </row>
    <row r="96" spans="1:16" s="5" customFormat="1" ht="47">
      <c r="A96" s="54" t="s">
        <v>180</v>
      </c>
      <c r="B96" s="54" t="s">
        <v>106</v>
      </c>
      <c r="C96" s="54" t="s">
        <v>143</v>
      </c>
      <c r="D96" s="57" t="s">
        <v>74</v>
      </c>
      <c r="E96" s="54" t="s">
        <v>107</v>
      </c>
      <c r="F96" s="54" t="s">
        <v>69</v>
      </c>
      <c r="G96" s="75" t="s">
        <v>77</v>
      </c>
      <c r="H96" s="54"/>
      <c r="I96" s="54"/>
      <c r="J96" s="54"/>
      <c r="K96" s="54"/>
      <c r="L96" s="35"/>
      <c r="M96" s="35"/>
      <c r="N96" s="35"/>
      <c r="O96" s="7"/>
      <c r="P96" s="7"/>
    </row>
    <row r="97" spans="1:16" s="5" customFormat="1" ht="47">
      <c r="A97" s="54" t="s">
        <v>181</v>
      </c>
      <c r="B97" s="54" t="s">
        <v>65</v>
      </c>
      <c r="C97" s="54" t="s">
        <v>143</v>
      </c>
      <c r="D97" s="57" t="s">
        <v>74</v>
      </c>
      <c r="E97" s="54" t="s">
        <v>107</v>
      </c>
      <c r="F97" s="54" t="s">
        <v>69</v>
      </c>
      <c r="G97" s="75" t="s">
        <v>77</v>
      </c>
      <c r="H97" s="54"/>
      <c r="I97" s="54"/>
      <c r="J97" s="54"/>
      <c r="K97" s="54"/>
      <c r="L97" s="35"/>
      <c r="M97" s="35"/>
      <c r="N97" s="35"/>
      <c r="O97" s="7"/>
      <c r="P97" s="7"/>
    </row>
    <row r="98" spans="1:16" s="5" customFormat="1" ht="47">
      <c r="A98" s="54" t="s">
        <v>182</v>
      </c>
      <c r="B98" s="54" t="s">
        <v>65</v>
      </c>
      <c r="C98" s="54" t="s">
        <v>143</v>
      </c>
      <c r="D98" s="57" t="s">
        <v>74</v>
      </c>
      <c r="E98" s="54" t="s">
        <v>68</v>
      </c>
      <c r="F98" s="54" t="s">
        <v>69</v>
      </c>
      <c r="G98" s="75" t="s">
        <v>77</v>
      </c>
      <c r="H98" s="54"/>
      <c r="I98" s="54"/>
      <c r="J98" s="54"/>
      <c r="K98" s="54"/>
      <c r="L98" s="35"/>
      <c r="M98" s="35"/>
      <c r="N98" s="35"/>
      <c r="O98" s="7"/>
      <c r="P98" s="7"/>
    </row>
    <row r="99" spans="1:16" s="5" customFormat="1" ht="70.5">
      <c r="A99" s="54" t="s">
        <v>183</v>
      </c>
      <c r="B99" s="54" t="s">
        <v>65</v>
      </c>
      <c r="C99" s="54" t="s">
        <v>143</v>
      </c>
      <c r="D99" s="57" t="s">
        <v>74</v>
      </c>
      <c r="E99" s="54" t="s">
        <v>68</v>
      </c>
      <c r="F99" s="54" t="s">
        <v>69</v>
      </c>
      <c r="G99" s="75" t="s">
        <v>77</v>
      </c>
      <c r="H99" s="54"/>
      <c r="I99" s="54"/>
      <c r="J99" s="54"/>
      <c r="K99" s="54"/>
      <c r="L99" s="35"/>
      <c r="M99" s="35"/>
      <c r="N99" s="35"/>
      <c r="O99" s="7"/>
      <c r="P99" s="7"/>
    </row>
    <row r="100" spans="1:16" s="5" customFormat="1" ht="47">
      <c r="A100" s="54" t="s">
        <v>184</v>
      </c>
      <c r="B100" s="54" t="s">
        <v>65</v>
      </c>
      <c r="C100" s="54" t="s">
        <v>143</v>
      </c>
      <c r="D100" s="57" t="s">
        <v>74</v>
      </c>
      <c r="E100" s="54" t="s">
        <v>68</v>
      </c>
      <c r="F100" s="54" t="s">
        <v>69</v>
      </c>
      <c r="G100" s="75" t="s">
        <v>77</v>
      </c>
      <c r="H100" s="54"/>
      <c r="I100" s="54"/>
      <c r="J100" s="54"/>
      <c r="K100" s="54"/>
      <c r="L100" s="35"/>
      <c r="M100" s="35"/>
      <c r="N100" s="35"/>
      <c r="O100" s="7"/>
      <c r="P100" s="7"/>
    </row>
    <row r="101" spans="1:16" s="5" customFormat="1" ht="70.5">
      <c r="A101" s="54" t="s">
        <v>185</v>
      </c>
      <c r="B101" s="54" t="s">
        <v>65</v>
      </c>
      <c r="C101" s="54" t="s">
        <v>143</v>
      </c>
      <c r="D101" s="57" t="s">
        <v>74</v>
      </c>
      <c r="E101" s="54" t="s">
        <v>68</v>
      </c>
      <c r="F101" s="54" t="s">
        <v>69</v>
      </c>
      <c r="G101" s="75" t="s">
        <v>77</v>
      </c>
      <c r="H101" s="54"/>
      <c r="I101" s="54"/>
      <c r="J101" s="54"/>
      <c r="K101" s="54"/>
      <c r="L101" s="35"/>
      <c r="M101" s="35"/>
      <c r="N101" s="35"/>
      <c r="O101" s="7"/>
      <c r="P101" s="7"/>
    </row>
    <row r="102" spans="1:16" s="5" customFormat="1" ht="70.5">
      <c r="A102" s="54" t="s">
        <v>186</v>
      </c>
      <c r="B102" s="54" t="s">
        <v>65</v>
      </c>
      <c r="C102" s="54" t="s">
        <v>143</v>
      </c>
      <c r="D102" s="57" t="s">
        <v>74</v>
      </c>
      <c r="E102" s="54" t="s">
        <v>84</v>
      </c>
      <c r="F102" s="54" t="s">
        <v>76</v>
      </c>
      <c r="G102" s="75" t="s">
        <v>77</v>
      </c>
      <c r="H102" s="54"/>
      <c r="I102" s="54"/>
      <c r="J102" s="54"/>
      <c r="K102" s="54"/>
      <c r="L102" s="35"/>
      <c r="M102" s="35"/>
      <c r="N102" s="35"/>
      <c r="O102" s="7"/>
      <c r="P102" s="7"/>
    </row>
    <row r="103" spans="1:16" s="5" customFormat="1" ht="70.5">
      <c r="A103" s="54" t="s">
        <v>187</v>
      </c>
      <c r="B103" s="54" t="s">
        <v>65</v>
      </c>
      <c r="C103" s="54" t="s">
        <v>143</v>
      </c>
      <c r="D103" s="57" t="s">
        <v>74</v>
      </c>
      <c r="E103" s="54" t="s">
        <v>84</v>
      </c>
      <c r="F103" s="54" t="s">
        <v>76</v>
      </c>
      <c r="G103" s="75" t="s">
        <v>77</v>
      </c>
      <c r="H103" s="54"/>
      <c r="I103" s="54"/>
      <c r="J103" s="54"/>
      <c r="K103" s="54"/>
      <c r="L103" s="35"/>
      <c r="M103" s="35"/>
      <c r="N103" s="35"/>
      <c r="O103" s="7"/>
      <c r="P103" s="7"/>
    </row>
    <row r="104" spans="1:16" s="5" customFormat="1" ht="47">
      <c r="A104" s="54" t="s">
        <v>44</v>
      </c>
      <c r="B104" s="54" t="s">
        <v>65</v>
      </c>
      <c r="C104" s="54" t="s">
        <v>143</v>
      </c>
      <c r="D104" s="57" t="s">
        <v>74</v>
      </c>
      <c r="E104" s="54" t="s">
        <v>84</v>
      </c>
      <c r="F104" s="54" t="s">
        <v>69</v>
      </c>
      <c r="G104" s="75" t="s">
        <v>77</v>
      </c>
      <c r="H104" s="54"/>
      <c r="I104" s="54"/>
      <c r="J104" s="54"/>
      <c r="K104" s="54"/>
      <c r="L104" s="35"/>
      <c r="M104" s="35"/>
      <c r="N104" s="35"/>
      <c r="O104" s="7"/>
      <c r="P104" s="7"/>
    </row>
    <row r="105" spans="1:16" s="5" customFormat="1" ht="47">
      <c r="A105" s="54" t="s">
        <v>188</v>
      </c>
      <c r="B105" s="54" t="s">
        <v>65</v>
      </c>
      <c r="C105" s="54" t="s">
        <v>143</v>
      </c>
      <c r="D105" s="57" t="s">
        <v>74</v>
      </c>
      <c r="E105" s="54" t="s">
        <v>68</v>
      </c>
      <c r="F105" s="54" t="s">
        <v>69</v>
      </c>
      <c r="G105" s="75" t="s">
        <v>77</v>
      </c>
      <c r="H105" s="54"/>
      <c r="I105" s="54"/>
      <c r="J105" s="54"/>
      <c r="K105" s="54" t="s">
        <v>189</v>
      </c>
      <c r="L105" s="35"/>
      <c r="M105" s="35"/>
      <c r="N105" s="35"/>
      <c r="O105" s="7"/>
      <c r="P105" s="7"/>
    </row>
    <row r="106" spans="1:16" s="5" customFormat="1" ht="70.5">
      <c r="A106" s="54" t="s">
        <v>190</v>
      </c>
      <c r="B106" s="54" t="s">
        <v>65</v>
      </c>
      <c r="C106" s="54" t="s">
        <v>143</v>
      </c>
      <c r="D106" s="57" t="s">
        <v>74</v>
      </c>
      <c r="E106" s="54" t="s">
        <v>68</v>
      </c>
      <c r="F106" s="54" t="s">
        <v>69</v>
      </c>
      <c r="G106" s="75" t="s">
        <v>77</v>
      </c>
      <c r="H106" s="54"/>
      <c r="I106" s="54"/>
      <c r="J106" s="54"/>
      <c r="K106" s="54"/>
      <c r="L106" s="35"/>
      <c r="M106" s="35"/>
      <c r="N106" s="35"/>
      <c r="O106" s="7"/>
      <c r="P106" s="7"/>
    </row>
    <row r="107" spans="1:16" s="5" customFormat="1" ht="70.5">
      <c r="A107" s="54" t="s">
        <v>1380</v>
      </c>
      <c r="B107" s="54" t="s">
        <v>65</v>
      </c>
      <c r="C107" s="54" t="s">
        <v>677</v>
      </c>
      <c r="D107" s="56" t="s">
        <v>67</v>
      </c>
      <c r="E107" s="54" t="s">
        <v>84</v>
      </c>
      <c r="F107" s="54" t="s">
        <v>76</v>
      </c>
      <c r="G107" s="75" t="s">
        <v>77</v>
      </c>
      <c r="H107" s="54"/>
      <c r="I107" s="54"/>
      <c r="J107" s="54"/>
      <c r="K107" s="54"/>
      <c r="L107" s="35"/>
      <c r="M107" s="35"/>
      <c r="N107" s="35"/>
      <c r="O107" s="7"/>
      <c r="P107" s="7"/>
    </row>
    <row r="108" spans="1:16" s="5" customFormat="1" ht="70.5">
      <c r="A108" s="54" t="s">
        <v>1381</v>
      </c>
      <c r="B108" s="54" t="s">
        <v>65</v>
      </c>
      <c r="C108" s="54" t="s">
        <v>677</v>
      </c>
      <c r="D108" s="56" t="s">
        <v>67</v>
      </c>
      <c r="E108" s="54" t="s">
        <v>84</v>
      </c>
      <c r="F108" s="54" t="s">
        <v>76</v>
      </c>
      <c r="G108" s="75" t="s">
        <v>77</v>
      </c>
      <c r="H108" s="54"/>
      <c r="I108" s="54"/>
      <c r="J108" s="54"/>
      <c r="K108" s="54"/>
      <c r="L108" s="35"/>
      <c r="M108" s="35"/>
      <c r="N108" s="35"/>
      <c r="O108" s="7"/>
      <c r="P108" s="7"/>
    </row>
    <row r="109" spans="1:16" s="5" customFormat="1" ht="70.5">
      <c r="A109" s="54" t="s">
        <v>1382</v>
      </c>
      <c r="B109" s="54" t="s">
        <v>65</v>
      </c>
      <c r="C109" s="54" t="s">
        <v>677</v>
      </c>
      <c r="D109" s="56" t="s">
        <v>67</v>
      </c>
      <c r="E109" s="54" t="s">
        <v>84</v>
      </c>
      <c r="F109" s="54" t="s">
        <v>76</v>
      </c>
      <c r="G109" s="75" t="s">
        <v>77</v>
      </c>
      <c r="H109" s="54"/>
      <c r="I109" s="54"/>
      <c r="J109" s="54"/>
      <c r="K109" s="54"/>
      <c r="L109" s="35"/>
      <c r="M109" s="35"/>
      <c r="N109" s="35"/>
      <c r="O109" s="7"/>
      <c r="P109" s="7"/>
    </row>
    <row r="110" spans="1:16" s="5" customFormat="1" ht="23.5">
      <c r="A110" s="54" t="s">
        <v>191</v>
      </c>
      <c r="B110" s="54" t="s">
        <v>65</v>
      </c>
      <c r="C110" s="54" t="s">
        <v>192</v>
      </c>
      <c r="D110" s="58" t="s">
        <v>77</v>
      </c>
      <c r="E110" s="54" t="s">
        <v>68</v>
      </c>
      <c r="F110" s="54" t="s">
        <v>76</v>
      </c>
      <c r="G110" s="75" t="s">
        <v>77</v>
      </c>
      <c r="H110" s="54"/>
      <c r="I110" s="54"/>
      <c r="J110" s="54"/>
      <c r="K110" s="54"/>
      <c r="L110" s="35"/>
      <c r="M110" s="35"/>
      <c r="N110" s="35"/>
      <c r="O110" s="7"/>
      <c r="P110" s="7"/>
    </row>
    <row r="111" spans="1:16" s="5" customFormat="1" ht="23.5">
      <c r="A111" s="54" t="s">
        <v>193</v>
      </c>
      <c r="B111" s="54" t="s">
        <v>65</v>
      </c>
      <c r="C111" s="54" t="s">
        <v>192</v>
      </c>
      <c r="D111" s="58" t="s">
        <v>77</v>
      </c>
      <c r="E111" s="54" t="s">
        <v>68</v>
      </c>
      <c r="F111" s="54" t="s">
        <v>76</v>
      </c>
      <c r="G111" s="75" t="s">
        <v>77</v>
      </c>
      <c r="H111" s="54"/>
      <c r="I111" s="54"/>
      <c r="J111" s="54"/>
      <c r="K111" s="54"/>
      <c r="L111" s="35"/>
      <c r="M111" s="35"/>
      <c r="N111" s="35"/>
      <c r="O111" s="7"/>
      <c r="P111" s="7"/>
    </row>
    <row r="112" spans="1:16" s="5" customFormat="1" ht="23.5">
      <c r="A112" s="54" t="s">
        <v>194</v>
      </c>
      <c r="B112" s="54" t="s">
        <v>65</v>
      </c>
      <c r="C112" s="54" t="s">
        <v>192</v>
      </c>
      <c r="D112" s="58" t="s">
        <v>77</v>
      </c>
      <c r="E112" s="54" t="s">
        <v>68</v>
      </c>
      <c r="F112" s="54" t="s">
        <v>76</v>
      </c>
      <c r="G112" s="75" t="s">
        <v>77</v>
      </c>
      <c r="H112" s="54"/>
      <c r="I112" s="54"/>
      <c r="J112" s="54"/>
      <c r="K112" s="54"/>
      <c r="L112" s="35"/>
      <c r="M112" s="35"/>
      <c r="N112" s="35"/>
      <c r="O112" s="7"/>
      <c r="P112" s="7"/>
    </row>
    <row r="113" spans="1:16" s="5" customFormat="1" ht="23.5">
      <c r="A113" s="54" t="s">
        <v>195</v>
      </c>
      <c r="B113" s="54" t="s">
        <v>65</v>
      </c>
      <c r="C113" s="54" t="s">
        <v>192</v>
      </c>
      <c r="D113" s="58" t="s">
        <v>77</v>
      </c>
      <c r="E113" s="54" t="s">
        <v>68</v>
      </c>
      <c r="F113" s="54" t="s">
        <v>76</v>
      </c>
      <c r="G113" s="75" t="s">
        <v>77</v>
      </c>
      <c r="H113" s="54"/>
      <c r="I113" s="54"/>
      <c r="J113" s="54"/>
      <c r="K113" s="54"/>
      <c r="L113" s="35"/>
      <c r="M113" s="35"/>
      <c r="N113" s="35"/>
      <c r="O113" s="7"/>
      <c r="P113" s="7"/>
    </row>
    <row r="114" spans="1:16" s="5" customFormat="1" ht="70.5">
      <c r="A114" s="54" t="s">
        <v>196</v>
      </c>
      <c r="B114" s="54" t="s">
        <v>65</v>
      </c>
      <c r="C114" s="54" t="s">
        <v>192</v>
      </c>
      <c r="D114" s="58" t="s">
        <v>77</v>
      </c>
      <c r="E114" s="54" t="s">
        <v>68</v>
      </c>
      <c r="F114" s="54" t="s">
        <v>76</v>
      </c>
      <c r="G114" s="75" t="s">
        <v>77</v>
      </c>
      <c r="H114" s="54"/>
      <c r="I114" s="54"/>
      <c r="J114" s="54"/>
      <c r="K114" s="54"/>
      <c r="L114" s="35"/>
      <c r="M114" s="35"/>
      <c r="N114" s="35"/>
      <c r="O114" s="7"/>
      <c r="P114" s="7"/>
    </row>
    <row r="115" spans="1:16" s="5" customFormat="1" ht="23.5">
      <c r="A115" s="54" t="s">
        <v>197</v>
      </c>
      <c r="B115" s="54" t="s">
        <v>65</v>
      </c>
      <c r="C115" s="54" t="s">
        <v>192</v>
      </c>
      <c r="D115" s="58" t="s">
        <v>77</v>
      </c>
      <c r="E115" s="54" t="s">
        <v>68</v>
      </c>
      <c r="F115" s="54" t="s">
        <v>76</v>
      </c>
      <c r="G115" s="75" t="s">
        <v>77</v>
      </c>
      <c r="H115" s="54"/>
      <c r="I115" s="54"/>
      <c r="J115" s="54"/>
      <c r="K115" s="54"/>
      <c r="L115" s="35"/>
      <c r="M115" s="35"/>
      <c r="N115" s="35"/>
      <c r="O115" s="7"/>
      <c r="P115" s="7"/>
    </row>
    <row r="116" spans="1:16" s="5" customFormat="1" ht="23.5">
      <c r="A116" s="54" t="s">
        <v>198</v>
      </c>
      <c r="B116" s="54" t="s">
        <v>65</v>
      </c>
      <c r="C116" s="54" t="s">
        <v>192</v>
      </c>
      <c r="D116" s="58" t="s">
        <v>77</v>
      </c>
      <c r="E116" s="54" t="s">
        <v>199</v>
      </c>
      <c r="F116" s="54" t="s">
        <v>200</v>
      </c>
      <c r="G116" s="75" t="s">
        <v>77</v>
      </c>
      <c r="H116" s="54"/>
      <c r="I116" s="54"/>
      <c r="J116" s="54"/>
      <c r="K116" s="54"/>
      <c r="L116" s="35"/>
      <c r="M116" s="35"/>
      <c r="N116" s="35"/>
      <c r="O116" s="7"/>
      <c r="P116" s="7"/>
    </row>
    <row r="117" spans="1:16" s="5" customFormat="1" ht="47">
      <c r="A117" s="54" t="s">
        <v>201</v>
      </c>
      <c r="B117" s="54" t="s">
        <v>65</v>
      </c>
      <c r="C117" s="54" t="s">
        <v>192</v>
      </c>
      <c r="D117" s="58" t="s">
        <v>77</v>
      </c>
      <c r="E117" s="54" t="s">
        <v>199</v>
      </c>
      <c r="F117" s="54" t="s">
        <v>200</v>
      </c>
      <c r="G117" s="75" t="s">
        <v>77</v>
      </c>
      <c r="H117" s="54"/>
      <c r="I117" s="54"/>
      <c r="J117" s="54"/>
      <c r="K117" s="54"/>
      <c r="L117" s="35"/>
      <c r="M117" s="35"/>
      <c r="N117" s="35"/>
      <c r="O117" s="7"/>
      <c r="P117" s="7"/>
    </row>
    <row r="118" spans="1:16" s="5" customFormat="1" ht="70.5">
      <c r="A118" s="54" t="s">
        <v>202</v>
      </c>
      <c r="B118" s="54" t="s">
        <v>65</v>
      </c>
      <c r="C118" s="54" t="s">
        <v>192</v>
      </c>
      <c r="D118" s="56" t="s">
        <v>67</v>
      </c>
      <c r="E118" s="54" t="s">
        <v>68</v>
      </c>
      <c r="F118" s="54" t="s">
        <v>76</v>
      </c>
      <c r="G118" s="75" t="s">
        <v>77</v>
      </c>
      <c r="H118" s="54"/>
      <c r="I118" s="54"/>
      <c r="J118" s="54"/>
      <c r="K118" s="54"/>
      <c r="L118" s="35"/>
      <c r="M118" s="35"/>
      <c r="N118" s="35"/>
      <c r="O118" s="7"/>
      <c r="P118" s="7"/>
    </row>
    <row r="119" spans="1:16" s="5" customFormat="1" ht="70.5">
      <c r="A119" s="54" t="s">
        <v>203</v>
      </c>
      <c r="B119" s="54" t="s">
        <v>65</v>
      </c>
      <c r="C119" s="54" t="s">
        <v>204</v>
      </c>
      <c r="D119" s="57" t="s">
        <v>74</v>
      </c>
      <c r="E119" s="54" t="s">
        <v>68</v>
      </c>
      <c r="F119" s="54" t="s">
        <v>69</v>
      </c>
      <c r="G119" s="74" t="s">
        <v>70</v>
      </c>
      <c r="H119" s="54"/>
      <c r="I119" s="54"/>
      <c r="J119" s="54"/>
      <c r="K119" s="54"/>
      <c r="L119" s="35"/>
      <c r="M119" s="35"/>
      <c r="N119" s="35"/>
      <c r="O119" s="7"/>
      <c r="P119" s="7"/>
    </row>
    <row r="120" spans="1:16" s="5" customFormat="1" ht="70.5">
      <c r="A120" s="54" t="s">
        <v>205</v>
      </c>
      <c r="B120" s="54" t="s">
        <v>65</v>
      </c>
      <c r="C120" s="54" t="s">
        <v>204</v>
      </c>
      <c r="D120" s="57" t="s">
        <v>74</v>
      </c>
      <c r="E120" s="54" t="s">
        <v>68</v>
      </c>
      <c r="F120" s="54" t="s">
        <v>69</v>
      </c>
      <c r="G120" s="74" t="s">
        <v>70</v>
      </c>
      <c r="H120" s="54"/>
      <c r="I120" s="54"/>
      <c r="J120" s="54"/>
      <c r="K120" s="54"/>
      <c r="L120" s="35"/>
      <c r="M120" s="35"/>
      <c r="N120" s="35"/>
      <c r="O120" s="7"/>
      <c r="P120" s="7"/>
    </row>
    <row r="121" spans="1:16" s="5" customFormat="1" ht="70.5">
      <c r="A121" s="54" t="s">
        <v>206</v>
      </c>
      <c r="B121" s="54" t="s">
        <v>65</v>
      </c>
      <c r="C121" s="54" t="s">
        <v>207</v>
      </c>
      <c r="D121" s="57" t="s">
        <v>74</v>
      </c>
      <c r="E121" s="54" t="s">
        <v>199</v>
      </c>
      <c r="F121" s="54" t="s">
        <v>200</v>
      </c>
      <c r="G121" s="75" t="s">
        <v>77</v>
      </c>
      <c r="H121" s="54"/>
      <c r="I121" s="54"/>
      <c r="J121" s="54"/>
      <c r="K121" s="54"/>
      <c r="L121" s="35"/>
      <c r="M121" s="35"/>
      <c r="N121" s="35"/>
      <c r="O121" s="7"/>
      <c r="P121" s="7"/>
    </row>
    <row r="122" spans="1:16" s="5" customFormat="1" ht="70.5">
      <c r="A122" s="54" t="s">
        <v>208</v>
      </c>
      <c r="B122" s="54" t="s">
        <v>65</v>
      </c>
      <c r="C122" s="54" t="s">
        <v>207</v>
      </c>
      <c r="D122" s="57" t="s">
        <v>74</v>
      </c>
      <c r="E122" s="54" t="s">
        <v>199</v>
      </c>
      <c r="F122" s="54" t="s">
        <v>200</v>
      </c>
      <c r="G122" s="75" t="s">
        <v>77</v>
      </c>
      <c r="H122" s="54"/>
      <c r="I122" s="54"/>
      <c r="J122" s="54"/>
      <c r="K122" s="54"/>
      <c r="L122" s="35"/>
      <c r="M122" s="35"/>
      <c r="N122" s="35"/>
      <c r="O122" s="7"/>
      <c r="P122" s="7"/>
    </row>
    <row r="123" spans="1:16" s="5" customFormat="1" ht="47">
      <c r="A123" s="54" t="s">
        <v>209</v>
      </c>
      <c r="B123" s="54" t="s">
        <v>65</v>
      </c>
      <c r="C123" s="54" t="s">
        <v>207</v>
      </c>
      <c r="D123" s="57" t="s">
        <v>74</v>
      </c>
      <c r="E123" s="54" t="s">
        <v>199</v>
      </c>
      <c r="F123" s="54" t="s">
        <v>200</v>
      </c>
      <c r="G123" s="75" t="s">
        <v>77</v>
      </c>
      <c r="H123" s="54"/>
      <c r="I123" s="54"/>
      <c r="J123" s="54"/>
      <c r="K123" s="54"/>
      <c r="L123" s="35"/>
      <c r="M123" s="35"/>
      <c r="N123" s="35"/>
      <c r="O123" s="7"/>
      <c r="P123" s="7"/>
    </row>
    <row r="124" spans="1:16" s="5" customFormat="1" ht="47">
      <c r="A124" s="54" t="s">
        <v>210</v>
      </c>
      <c r="B124" s="54" t="s">
        <v>65</v>
      </c>
      <c r="C124" s="54" t="s">
        <v>207</v>
      </c>
      <c r="D124" s="57" t="s">
        <v>74</v>
      </c>
      <c r="E124" s="54" t="s">
        <v>199</v>
      </c>
      <c r="F124" s="54" t="s">
        <v>200</v>
      </c>
      <c r="G124" s="75" t="s">
        <v>77</v>
      </c>
      <c r="H124" s="54"/>
      <c r="I124" s="54"/>
      <c r="J124" s="54"/>
      <c r="K124" s="54"/>
      <c r="L124" s="35"/>
      <c r="M124" s="35"/>
      <c r="N124" s="35"/>
      <c r="O124" s="7"/>
      <c r="P124" s="7"/>
    </row>
    <row r="125" spans="1:16" s="5" customFormat="1" ht="70.5">
      <c r="A125" s="54" t="s">
        <v>211</v>
      </c>
      <c r="B125" s="54" t="s">
        <v>65</v>
      </c>
      <c r="C125" s="54" t="s">
        <v>207</v>
      </c>
      <c r="D125" s="57" t="s">
        <v>74</v>
      </c>
      <c r="E125" s="54" t="s">
        <v>199</v>
      </c>
      <c r="F125" s="54" t="s">
        <v>200</v>
      </c>
      <c r="G125" s="75" t="s">
        <v>77</v>
      </c>
      <c r="H125" s="54"/>
      <c r="I125" s="54"/>
      <c r="J125" s="54"/>
      <c r="K125" s="54"/>
      <c r="L125" s="35"/>
      <c r="M125" s="35"/>
      <c r="N125" s="35"/>
      <c r="O125" s="7"/>
      <c r="P125" s="7"/>
    </row>
    <row r="126" spans="1:16" s="5" customFormat="1" ht="47">
      <c r="A126" s="54" t="s">
        <v>212</v>
      </c>
      <c r="B126" s="54" t="s">
        <v>65</v>
      </c>
      <c r="C126" s="54" t="s">
        <v>207</v>
      </c>
      <c r="D126" s="57" t="s">
        <v>74</v>
      </c>
      <c r="E126" s="54" t="s">
        <v>199</v>
      </c>
      <c r="F126" s="54" t="s">
        <v>200</v>
      </c>
      <c r="G126" s="75" t="s">
        <v>77</v>
      </c>
      <c r="H126" s="54"/>
      <c r="I126" s="54"/>
      <c r="J126" s="54"/>
      <c r="K126" s="54"/>
      <c r="L126" s="35"/>
      <c r="M126" s="35"/>
      <c r="N126" s="35"/>
      <c r="O126" s="7"/>
      <c r="P126" s="7"/>
    </row>
    <row r="127" spans="1:16" s="5" customFormat="1" ht="47">
      <c r="A127" s="54" t="s">
        <v>213</v>
      </c>
      <c r="B127" s="54" t="s">
        <v>65</v>
      </c>
      <c r="C127" s="54" t="s">
        <v>207</v>
      </c>
      <c r="D127" s="57" t="s">
        <v>74</v>
      </c>
      <c r="E127" s="54" t="s">
        <v>199</v>
      </c>
      <c r="F127" s="54" t="s">
        <v>200</v>
      </c>
      <c r="G127" s="75" t="s">
        <v>77</v>
      </c>
      <c r="H127" s="54"/>
      <c r="I127" s="54"/>
      <c r="J127" s="54"/>
      <c r="K127" s="54"/>
      <c r="L127" s="35"/>
      <c r="M127" s="35"/>
      <c r="N127" s="35"/>
      <c r="O127" s="7"/>
      <c r="P127" s="7"/>
    </row>
    <row r="128" spans="1:16" s="5" customFormat="1" ht="47">
      <c r="A128" s="54" t="s">
        <v>214</v>
      </c>
      <c r="B128" s="54" t="s">
        <v>65</v>
      </c>
      <c r="C128" s="54" t="s">
        <v>207</v>
      </c>
      <c r="D128" s="57" t="s">
        <v>74</v>
      </c>
      <c r="E128" s="54" t="s">
        <v>199</v>
      </c>
      <c r="F128" s="54" t="s">
        <v>200</v>
      </c>
      <c r="G128" s="75" t="s">
        <v>77</v>
      </c>
      <c r="H128" s="54"/>
      <c r="I128" s="54"/>
      <c r="J128" s="54"/>
      <c r="K128" s="54"/>
      <c r="L128" s="35"/>
      <c r="M128" s="35"/>
      <c r="N128" s="35"/>
      <c r="O128" s="7"/>
      <c r="P128" s="7"/>
    </row>
    <row r="129" spans="1:16" s="5" customFormat="1" ht="47">
      <c r="A129" s="54" t="s">
        <v>215</v>
      </c>
      <c r="B129" s="54" t="s">
        <v>65</v>
      </c>
      <c r="C129" s="54" t="s">
        <v>207</v>
      </c>
      <c r="D129" s="57" t="s">
        <v>74</v>
      </c>
      <c r="E129" s="54" t="s">
        <v>199</v>
      </c>
      <c r="F129" s="54" t="s">
        <v>200</v>
      </c>
      <c r="G129" s="75" t="s">
        <v>77</v>
      </c>
      <c r="H129" s="54"/>
      <c r="I129" s="54"/>
      <c r="J129" s="54"/>
      <c r="K129" s="54"/>
      <c r="L129" s="35"/>
      <c r="M129" s="35"/>
      <c r="N129" s="35"/>
      <c r="O129" s="7"/>
      <c r="P129" s="7"/>
    </row>
    <row r="130" spans="1:16" s="5" customFormat="1" ht="23.5">
      <c r="A130" s="54" t="s">
        <v>216</v>
      </c>
      <c r="B130" s="54" t="s">
        <v>65</v>
      </c>
      <c r="C130" s="54" t="s">
        <v>207</v>
      </c>
      <c r="D130" s="57" t="s">
        <v>74</v>
      </c>
      <c r="E130" s="54" t="s">
        <v>199</v>
      </c>
      <c r="F130" s="54" t="s">
        <v>200</v>
      </c>
      <c r="G130" s="75" t="s">
        <v>77</v>
      </c>
      <c r="H130" s="54"/>
      <c r="I130" s="54"/>
      <c r="J130" s="54"/>
      <c r="K130" s="54"/>
      <c r="L130" s="35"/>
      <c r="M130" s="35"/>
      <c r="N130" s="35"/>
      <c r="O130" s="7"/>
      <c r="P130" s="7"/>
    </row>
    <row r="131" spans="1:16" s="5" customFormat="1" ht="47">
      <c r="A131" s="54" t="s">
        <v>217</v>
      </c>
      <c r="B131" s="54" t="s">
        <v>65</v>
      </c>
      <c r="C131" s="54" t="s">
        <v>207</v>
      </c>
      <c r="D131" s="57" t="s">
        <v>74</v>
      </c>
      <c r="E131" s="54" t="s">
        <v>199</v>
      </c>
      <c r="F131" s="54" t="s">
        <v>200</v>
      </c>
      <c r="G131" s="75" t="s">
        <v>77</v>
      </c>
      <c r="H131" s="54"/>
      <c r="I131" s="54"/>
      <c r="J131" s="54"/>
      <c r="K131" s="54"/>
      <c r="L131" s="35"/>
      <c r="M131" s="35"/>
      <c r="N131" s="35"/>
      <c r="O131" s="7"/>
      <c r="P131" s="7"/>
    </row>
    <row r="132" spans="1:16" s="5" customFormat="1" ht="70.5">
      <c r="A132" s="54" t="s">
        <v>218</v>
      </c>
      <c r="B132" s="54" t="s">
        <v>65</v>
      </c>
      <c r="C132" s="54" t="s">
        <v>207</v>
      </c>
      <c r="D132" s="57" t="s">
        <v>74</v>
      </c>
      <c r="E132" s="54" t="s">
        <v>199</v>
      </c>
      <c r="F132" s="54" t="s">
        <v>200</v>
      </c>
      <c r="G132" s="75" t="s">
        <v>77</v>
      </c>
      <c r="H132" s="54"/>
      <c r="I132" s="54"/>
      <c r="J132" s="54"/>
      <c r="K132" s="54"/>
      <c r="L132" s="35"/>
      <c r="M132" s="35"/>
      <c r="N132" s="35"/>
      <c r="O132" s="7"/>
      <c r="P132" s="7"/>
    </row>
    <row r="133" spans="1:16" s="5" customFormat="1" ht="70.5">
      <c r="A133" s="54" t="s">
        <v>219</v>
      </c>
      <c r="B133" s="54" t="s">
        <v>65</v>
      </c>
      <c r="C133" s="54" t="s">
        <v>207</v>
      </c>
      <c r="D133" s="57" t="s">
        <v>74</v>
      </c>
      <c r="E133" s="54" t="s">
        <v>199</v>
      </c>
      <c r="F133" s="54" t="s">
        <v>200</v>
      </c>
      <c r="G133" s="75" t="s">
        <v>77</v>
      </c>
      <c r="H133" s="54"/>
      <c r="I133" s="54"/>
      <c r="J133" s="54"/>
      <c r="K133" s="54"/>
      <c r="L133" s="35"/>
      <c r="M133" s="35"/>
      <c r="N133" s="35"/>
      <c r="O133" s="7"/>
      <c r="P133" s="7"/>
    </row>
    <row r="134" spans="1:16" s="5" customFormat="1" ht="47">
      <c r="A134" s="54" t="s">
        <v>220</v>
      </c>
      <c r="B134" s="54" t="s">
        <v>65</v>
      </c>
      <c r="C134" s="54" t="s">
        <v>207</v>
      </c>
      <c r="D134" s="57" t="s">
        <v>74</v>
      </c>
      <c r="E134" s="54" t="s">
        <v>199</v>
      </c>
      <c r="F134" s="54" t="s">
        <v>200</v>
      </c>
      <c r="G134" s="75" t="s">
        <v>77</v>
      </c>
      <c r="H134" s="54"/>
      <c r="I134" s="54"/>
      <c r="J134" s="54"/>
      <c r="K134" s="54"/>
      <c r="L134" s="35"/>
      <c r="M134" s="35"/>
      <c r="N134" s="35"/>
      <c r="O134" s="7"/>
      <c r="P134" s="7"/>
    </row>
    <row r="135" spans="1:16" s="5" customFormat="1" ht="47">
      <c r="A135" s="54" t="s">
        <v>221</v>
      </c>
      <c r="B135" s="54" t="s">
        <v>65</v>
      </c>
      <c r="C135" s="54" t="s">
        <v>207</v>
      </c>
      <c r="D135" s="57" t="s">
        <v>74</v>
      </c>
      <c r="E135" s="54" t="s">
        <v>199</v>
      </c>
      <c r="F135" s="54" t="s">
        <v>200</v>
      </c>
      <c r="G135" s="75" t="s">
        <v>77</v>
      </c>
      <c r="H135" s="54"/>
      <c r="I135" s="54"/>
      <c r="J135" s="54"/>
      <c r="K135" s="54"/>
      <c r="L135" s="35"/>
      <c r="M135" s="35"/>
      <c r="N135" s="35"/>
      <c r="O135" s="7"/>
      <c r="P135" s="7"/>
    </row>
    <row r="136" spans="1:16" s="5" customFormat="1" ht="70.5">
      <c r="A136" s="54" t="s">
        <v>222</v>
      </c>
      <c r="B136" s="54" t="s">
        <v>65</v>
      </c>
      <c r="C136" s="54" t="s">
        <v>207</v>
      </c>
      <c r="D136" s="57" t="s">
        <v>74</v>
      </c>
      <c r="E136" s="54" t="s">
        <v>199</v>
      </c>
      <c r="F136" s="54" t="s">
        <v>200</v>
      </c>
      <c r="G136" s="75" t="s">
        <v>77</v>
      </c>
      <c r="H136" s="54"/>
      <c r="I136" s="54"/>
      <c r="J136" s="54"/>
      <c r="K136" s="54"/>
      <c r="L136" s="35"/>
      <c r="M136" s="35"/>
      <c r="N136" s="35"/>
      <c r="O136" s="7"/>
      <c r="P136" s="7"/>
    </row>
    <row r="137" spans="1:16" s="5" customFormat="1" ht="70.5">
      <c r="A137" s="54" t="s">
        <v>223</v>
      </c>
      <c r="B137" s="54" t="s">
        <v>65</v>
      </c>
      <c r="C137" s="54" t="s">
        <v>224</v>
      </c>
      <c r="D137" s="57" t="s">
        <v>74</v>
      </c>
      <c r="E137" s="54" t="s">
        <v>199</v>
      </c>
      <c r="F137" s="54" t="s">
        <v>200</v>
      </c>
      <c r="G137" s="75" t="s">
        <v>77</v>
      </c>
      <c r="H137" s="54"/>
      <c r="I137" s="54"/>
      <c r="J137" s="54"/>
      <c r="K137" s="54"/>
      <c r="L137" s="35"/>
      <c r="M137" s="35"/>
      <c r="N137" s="35"/>
      <c r="O137" s="7"/>
      <c r="P137" s="7"/>
    </row>
    <row r="138" spans="1:16" s="5" customFormat="1" ht="47">
      <c r="A138" s="54" t="s">
        <v>225</v>
      </c>
      <c r="B138" s="54" t="s">
        <v>65</v>
      </c>
      <c r="C138" s="54" t="s">
        <v>207</v>
      </c>
      <c r="D138" s="57" t="s">
        <v>74</v>
      </c>
      <c r="E138" s="54" t="s">
        <v>199</v>
      </c>
      <c r="F138" s="54" t="s">
        <v>200</v>
      </c>
      <c r="G138" s="75" t="s">
        <v>77</v>
      </c>
      <c r="H138" s="54"/>
      <c r="I138" s="54"/>
      <c r="J138" s="54"/>
      <c r="K138" s="54"/>
      <c r="L138" s="35"/>
      <c r="M138" s="35"/>
      <c r="N138" s="35"/>
      <c r="O138" s="7"/>
      <c r="P138" s="7"/>
    </row>
    <row r="139" spans="1:16" s="5" customFormat="1" ht="47">
      <c r="A139" s="54" t="s">
        <v>226</v>
      </c>
      <c r="B139" s="54" t="s">
        <v>65</v>
      </c>
      <c r="C139" s="54" t="s">
        <v>207</v>
      </c>
      <c r="D139" s="57" t="s">
        <v>74</v>
      </c>
      <c r="E139" s="54" t="s">
        <v>199</v>
      </c>
      <c r="F139" s="54" t="s">
        <v>200</v>
      </c>
      <c r="G139" s="75" t="s">
        <v>77</v>
      </c>
      <c r="H139" s="54"/>
      <c r="I139" s="54"/>
      <c r="J139" s="54"/>
      <c r="K139" s="54"/>
      <c r="L139" s="35"/>
      <c r="M139" s="35"/>
      <c r="N139" s="35"/>
      <c r="O139" s="7"/>
      <c r="P139" s="7"/>
    </row>
    <row r="140" spans="1:16" s="5" customFormat="1" ht="47">
      <c r="A140" s="54" t="s">
        <v>227</v>
      </c>
      <c r="B140" s="54" t="s">
        <v>65</v>
      </c>
      <c r="C140" s="54" t="s">
        <v>207</v>
      </c>
      <c r="D140" s="57" t="s">
        <v>74</v>
      </c>
      <c r="E140" s="54" t="s">
        <v>199</v>
      </c>
      <c r="F140" s="54" t="s">
        <v>200</v>
      </c>
      <c r="G140" s="75" t="s">
        <v>77</v>
      </c>
      <c r="H140" s="54"/>
      <c r="I140" s="54"/>
      <c r="J140" s="54"/>
      <c r="K140" s="54"/>
      <c r="L140" s="35"/>
      <c r="M140" s="35"/>
      <c r="N140" s="35"/>
      <c r="O140" s="7"/>
      <c r="P140" s="7"/>
    </row>
    <row r="141" spans="1:16" s="5" customFormat="1" ht="70.5">
      <c r="A141" s="54" t="s">
        <v>228</v>
      </c>
      <c r="B141" s="54" t="s">
        <v>65</v>
      </c>
      <c r="C141" s="54" t="s">
        <v>207</v>
      </c>
      <c r="D141" s="57" t="s">
        <v>74</v>
      </c>
      <c r="E141" s="54" t="s">
        <v>199</v>
      </c>
      <c r="F141" s="54" t="s">
        <v>200</v>
      </c>
      <c r="G141" s="75" t="s">
        <v>77</v>
      </c>
      <c r="H141" s="54"/>
      <c r="I141" s="54"/>
      <c r="J141" s="54"/>
      <c r="K141" s="54"/>
      <c r="L141" s="35"/>
      <c r="M141" s="35"/>
      <c r="N141" s="35"/>
      <c r="O141" s="7"/>
      <c r="P141" s="7"/>
    </row>
    <row r="142" spans="1:16" s="5" customFormat="1" ht="70.5">
      <c r="A142" s="54" t="s">
        <v>229</v>
      </c>
      <c r="B142" s="54" t="s">
        <v>65</v>
      </c>
      <c r="C142" s="54" t="s">
        <v>207</v>
      </c>
      <c r="D142" s="57" t="s">
        <v>74</v>
      </c>
      <c r="E142" s="54" t="s">
        <v>199</v>
      </c>
      <c r="F142" s="54" t="s">
        <v>200</v>
      </c>
      <c r="G142" s="75" t="s">
        <v>77</v>
      </c>
      <c r="H142" s="54"/>
      <c r="I142" s="54"/>
      <c r="J142" s="54"/>
      <c r="K142" s="54"/>
      <c r="L142" s="35"/>
      <c r="M142" s="35"/>
      <c r="N142" s="35"/>
      <c r="O142" s="7"/>
      <c r="P142" s="7"/>
    </row>
    <row r="143" spans="1:16" s="5" customFormat="1" ht="47">
      <c r="A143" s="54" t="s">
        <v>230</v>
      </c>
      <c r="B143" s="54" t="s">
        <v>65</v>
      </c>
      <c r="C143" s="54" t="s">
        <v>231</v>
      </c>
      <c r="D143" s="59" t="s">
        <v>67</v>
      </c>
      <c r="E143" s="54" t="s">
        <v>68</v>
      </c>
      <c r="F143" s="54" t="s">
        <v>69</v>
      </c>
      <c r="G143" s="75" t="s">
        <v>77</v>
      </c>
      <c r="H143" s="54"/>
      <c r="I143" s="54"/>
      <c r="J143" s="54"/>
      <c r="K143" s="54"/>
      <c r="L143" s="35"/>
      <c r="M143" s="35"/>
      <c r="N143" s="35"/>
      <c r="O143" s="7"/>
      <c r="P143" s="7"/>
    </row>
    <row r="144" spans="1:16" s="5" customFormat="1" ht="47">
      <c r="A144" s="54" t="s">
        <v>232</v>
      </c>
      <c r="B144" s="54" t="s">
        <v>65</v>
      </c>
      <c r="C144" s="54" t="s">
        <v>231</v>
      </c>
      <c r="D144" s="59" t="s">
        <v>67</v>
      </c>
      <c r="E144" s="54" t="s">
        <v>68</v>
      </c>
      <c r="F144" s="54" t="s">
        <v>69</v>
      </c>
      <c r="G144" s="75" t="s">
        <v>77</v>
      </c>
      <c r="H144" s="54"/>
      <c r="I144" s="54"/>
      <c r="J144" s="54"/>
      <c r="K144" s="54"/>
      <c r="L144" s="35"/>
      <c r="M144" s="35"/>
      <c r="N144" s="35"/>
      <c r="O144" s="7"/>
      <c r="P144" s="7"/>
    </row>
    <row r="145" spans="1:16" s="5" customFormat="1" ht="47">
      <c r="A145" s="54" t="s">
        <v>233</v>
      </c>
      <c r="B145" s="54" t="s">
        <v>65</v>
      </c>
      <c r="C145" s="54" t="s">
        <v>231</v>
      </c>
      <c r="D145" s="56" t="s">
        <v>67</v>
      </c>
      <c r="E145" s="54" t="s">
        <v>68</v>
      </c>
      <c r="F145" s="54" t="s">
        <v>76</v>
      </c>
      <c r="G145" s="75" t="s">
        <v>77</v>
      </c>
      <c r="H145" s="54"/>
      <c r="I145" s="54"/>
      <c r="J145" s="54"/>
      <c r="K145" s="54"/>
      <c r="L145" s="35"/>
      <c r="M145" s="35"/>
      <c r="N145" s="35"/>
      <c r="O145" s="7"/>
      <c r="P145" s="7"/>
    </row>
    <row r="146" spans="1:16" s="5" customFormat="1" ht="23.5">
      <c r="A146" s="54" t="s">
        <v>234</v>
      </c>
      <c r="B146" s="54" t="s">
        <v>65</v>
      </c>
      <c r="C146" s="54" t="s">
        <v>231</v>
      </c>
      <c r="D146" s="56" t="s">
        <v>67</v>
      </c>
      <c r="E146" s="54" t="s">
        <v>68</v>
      </c>
      <c r="F146" s="54" t="s">
        <v>69</v>
      </c>
      <c r="G146" s="75" t="s">
        <v>77</v>
      </c>
      <c r="H146" s="54"/>
      <c r="I146" s="54"/>
      <c r="J146" s="54"/>
      <c r="K146" s="54"/>
      <c r="L146" s="35"/>
      <c r="M146" s="35"/>
      <c r="N146" s="35"/>
      <c r="O146" s="7"/>
      <c r="P146" s="7"/>
    </row>
    <row r="147" spans="1:16" s="5" customFormat="1" ht="47">
      <c r="A147" s="54" t="s">
        <v>235</v>
      </c>
      <c r="B147" s="54" t="s">
        <v>65</v>
      </c>
      <c r="C147" s="54" t="s">
        <v>231</v>
      </c>
      <c r="D147" s="56" t="s">
        <v>67</v>
      </c>
      <c r="E147" s="54" t="s">
        <v>68</v>
      </c>
      <c r="F147" s="54" t="s">
        <v>76</v>
      </c>
      <c r="G147" s="75" t="s">
        <v>77</v>
      </c>
      <c r="H147" s="54"/>
      <c r="I147" s="54"/>
      <c r="J147" s="54"/>
      <c r="K147" s="54"/>
      <c r="L147" s="35"/>
      <c r="M147" s="35"/>
      <c r="N147" s="35"/>
      <c r="O147" s="7"/>
      <c r="P147" s="7"/>
    </row>
    <row r="148" spans="1:16" s="5" customFormat="1" ht="70.5">
      <c r="A148" s="54" t="s">
        <v>236</v>
      </c>
      <c r="B148" s="54" t="s">
        <v>65</v>
      </c>
      <c r="C148" s="54" t="s">
        <v>231</v>
      </c>
      <c r="D148" s="56" t="s">
        <v>67</v>
      </c>
      <c r="E148" s="54" t="s">
        <v>68</v>
      </c>
      <c r="F148" s="54" t="s">
        <v>69</v>
      </c>
      <c r="G148" s="75" t="s">
        <v>77</v>
      </c>
      <c r="H148" s="54"/>
      <c r="I148" s="54"/>
      <c r="J148" s="54"/>
      <c r="K148" s="54"/>
      <c r="L148" s="35"/>
      <c r="M148" s="35"/>
      <c r="N148" s="35"/>
      <c r="O148" s="7"/>
      <c r="P148" s="7"/>
    </row>
    <row r="149" spans="1:16" s="5" customFormat="1" ht="94">
      <c r="A149" s="54" t="s">
        <v>237</v>
      </c>
      <c r="B149" s="54" t="s">
        <v>65</v>
      </c>
      <c r="C149" s="54" t="s">
        <v>231</v>
      </c>
      <c r="D149" s="56" t="s">
        <v>67</v>
      </c>
      <c r="E149" s="54" t="s">
        <v>68</v>
      </c>
      <c r="F149" s="54" t="s">
        <v>69</v>
      </c>
      <c r="G149" s="75" t="s">
        <v>77</v>
      </c>
      <c r="H149" s="54"/>
      <c r="I149" s="54"/>
      <c r="J149" s="54"/>
      <c r="K149" s="54"/>
      <c r="L149" s="35"/>
      <c r="M149" s="35"/>
      <c r="N149" s="35"/>
      <c r="O149" s="7"/>
      <c r="P149" s="7"/>
    </row>
    <row r="150" spans="1:16" s="5" customFormat="1" ht="70.5">
      <c r="A150" s="54" t="s">
        <v>238</v>
      </c>
      <c r="B150" s="54" t="s">
        <v>65</v>
      </c>
      <c r="C150" s="54" t="s">
        <v>231</v>
      </c>
      <c r="D150" s="56" t="s">
        <v>67</v>
      </c>
      <c r="E150" s="54" t="s">
        <v>68</v>
      </c>
      <c r="F150" s="54" t="s">
        <v>69</v>
      </c>
      <c r="G150" s="75" t="s">
        <v>77</v>
      </c>
      <c r="H150" s="54"/>
      <c r="I150" s="54"/>
      <c r="J150" s="54"/>
      <c r="K150" s="54"/>
      <c r="L150" s="35"/>
      <c r="M150" s="35"/>
      <c r="N150" s="35"/>
      <c r="O150" s="7"/>
      <c r="P150" s="7"/>
    </row>
    <row r="151" spans="1:16" s="5" customFormat="1" ht="70.5">
      <c r="A151" s="54" t="s">
        <v>239</v>
      </c>
      <c r="B151" s="54" t="s">
        <v>65</v>
      </c>
      <c r="C151" s="54" t="s">
        <v>240</v>
      </c>
      <c r="D151" s="73" t="s">
        <v>241</v>
      </c>
      <c r="E151" s="54" t="s">
        <v>68</v>
      </c>
      <c r="F151" s="54" t="s">
        <v>76</v>
      </c>
      <c r="G151" s="75" t="s">
        <v>77</v>
      </c>
      <c r="H151" s="54"/>
      <c r="I151" s="54"/>
      <c r="J151" s="54"/>
      <c r="K151" s="54"/>
      <c r="L151" s="35"/>
      <c r="M151" s="35"/>
      <c r="N151" s="35"/>
      <c r="O151" s="7"/>
      <c r="P151" s="7"/>
    </row>
    <row r="152" spans="1:16" s="5" customFormat="1" ht="23.5">
      <c r="A152" s="54" t="s">
        <v>242</v>
      </c>
      <c r="B152" s="54" t="s">
        <v>65</v>
      </c>
      <c r="C152" s="54" t="s">
        <v>243</v>
      </c>
      <c r="D152" s="60" t="s">
        <v>74</v>
      </c>
      <c r="E152" s="54" t="s">
        <v>68</v>
      </c>
      <c r="F152" s="54" t="s">
        <v>76</v>
      </c>
      <c r="G152" s="75" t="s">
        <v>77</v>
      </c>
      <c r="H152" s="54"/>
      <c r="I152" s="54"/>
      <c r="J152" s="54"/>
      <c r="K152" s="54"/>
      <c r="L152" s="35"/>
      <c r="M152" s="35"/>
      <c r="N152" s="35"/>
      <c r="O152" s="7"/>
      <c r="P152" s="7"/>
    </row>
    <row r="153" spans="1:16" s="5" customFormat="1" ht="47">
      <c r="A153" s="54" t="s">
        <v>244</v>
      </c>
      <c r="B153" s="54" t="s">
        <v>65</v>
      </c>
      <c r="C153" s="54" t="s">
        <v>243</v>
      </c>
      <c r="D153" s="60" t="s">
        <v>74</v>
      </c>
      <c r="E153" s="54" t="s">
        <v>68</v>
      </c>
      <c r="F153" s="54" t="s">
        <v>76</v>
      </c>
      <c r="G153" s="75" t="s">
        <v>77</v>
      </c>
      <c r="H153" s="54"/>
      <c r="I153" s="54"/>
      <c r="J153" s="54"/>
      <c r="K153" s="54"/>
      <c r="L153" s="35"/>
      <c r="M153" s="35"/>
      <c r="N153" s="35"/>
      <c r="O153" s="7"/>
      <c r="P153" s="7"/>
    </row>
    <row r="154" spans="1:16" s="5" customFormat="1" ht="70.5">
      <c r="A154" s="54" t="s">
        <v>245</v>
      </c>
      <c r="B154" s="54" t="s">
        <v>65</v>
      </c>
      <c r="C154" s="54" t="s">
        <v>246</v>
      </c>
      <c r="D154" s="61" t="s">
        <v>74</v>
      </c>
      <c r="E154" s="54" t="s">
        <v>68</v>
      </c>
      <c r="F154" s="54" t="s">
        <v>69</v>
      </c>
      <c r="G154" s="74" t="s">
        <v>70</v>
      </c>
      <c r="H154" s="54"/>
      <c r="I154" s="54"/>
      <c r="J154" s="54"/>
      <c r="K154" s="54"/>
      <c r="L154" s="35"/>
      <c r="M154" s="35"/>
      <c r="N154" s="35"/>
      <c r="O154" s="7"/>
      <c r="P154" s="7"/>
    </row>
    <row r="155" spans="1:16" s="5" customFormat="1" ht="70.5">
      <c r="A155" s="54" t="s">
        <v>247</v>
      </c>
      <c r="B155" s="54" t="s">
        <v>65</v>
      </c>
      <c r="C155" s="54" t="s">
        <v>246</v>
      </c>
      <c r="D155" s="57" t="s">
        <v>74</v>
      </c>
      <c r="E155" s="54" t="s">
        <v>68</v>
      </c>
      <c r="F155" s="54" t="s">
        <v>76</v>
      </c>
      <c r="G155" s="75" t="s">
        <v>77</v>
      </c>
      <c r="H155" s="54"/>
      <c r="I155" s="54"/>
      <c r="J155" s="54"/>
      <c r="K155" s="54"/>
      <c r="L155" s="35"/>
      <c r="M155" s="35"/>
      <c r="N155" s="35"/>
      <c r="O155" s="7"/>
      <c r="P155" s="7"/>
    </row>
    <row r="156" spans="1:16" s="5" customFormat="1" ht="70.5">
      <c r="A156" s="54" t="s">
        <v>248</v>
      </c>
      <c r="B156" s="54" t="s">
        <v>106</v>
      </c>
      <c r="C156" s="54" t="s">
        <v>246</v>
      </c>
      <c r="D156" s="57" t="s">
        <v>74</v>
      </c>
      <c r="E156" s="54" t="s">
        <v>107</v>
      </c>
      <c r="F156" s="54" t="s">
        <v>69</v>
      </c>
      <c r="G156" s="75" t="s">
        <v>77</v>
      </c>
      <c r="H156" s="54"/>
      <c r="I156" s="54"/>
      <c r="J156" s="54"/>
      <c r="K156" s="54"/>
      <c r="L156" s="35"/>
      <c r="M156" s="35"/>
      <c r="N156" s="35"/>
      <c r="O156" s="7"/>
      <c r="P156" s="7"/>
    </row>
    <row r="157" spans="1:16" s="5" customFormat="1" ht="70.5">
      <c r="A157" s="54" t="s">
        <v>249</v>
      </c>
      <c r="B157" s="54" t="s">
        <v>65</v>
      </c>
      <c r="C157" s="54" t="s">
        <v>250</v>
      </c>
      <c r="D157" s="57" t="s">
        <v>74</v>
      </c>
      <c r="E157" s="54" t="s">
        <v>68</v>
      </c>
      <c r="F157" s="54" t="s">
        <v>69</v>
      </c>
      <c r="G157" s="75" t="s">
        <v>77</v>
      </c>
      <c r="H157" s="54"/>
      <c r="I157" s="54"/>
      <c r="J157" s="54"/>
      <c r="K157" s="54" t="s">
        <v>251</v>
      </c>
      <c r="L157" s="35"/>
      <c r="M157" s="35"/>
      <c r="N157" s="35"/>
      <c r="O157" s="7"/>
      <c r="P157" s="7"/>
    </row>
    <row r="158" spans="1:16" s="5" customFormat="1" ht="70.5">
      <c r="A158" s="54" t="s">
        <v>252</v>
      </c>
      <c r="B158" s="54" t="s">
        <v>65</v>
      </c>
      <c r="C158" s="54" t="s">
        <v>250</v>
      </c>
      <c r="D158" s="57" t="s">
        <v>74</v>
      </c>
      <c r="E158" s="54" t="s">
        <v>68</v>
      </c>
      <c r="F158" s="54" t="s">
        <v>69</v>
      </c>
      <c r="G158" s="75" t="s">
        <v>77</v>
      </c>
      <c r="H158" s="54"/>
      <c r="I158" s="54"/>
      <c r="J158" s="54"/>
      <c r="K158" s="54" t="s">
        <v>251</v>
      </c>
      <c r="L158" s="35"/>
      <c r="M158" s="35"/>
      <c r="N158" s="35"/>
      <c r="O158" s="7"/>
      <c r="P158" s="7"/>
    </row>
    <row r="159" spans="1:16" s="5" customFormat="1" ht="70.5">
      <c r="A159" s="54" t="s">
        <v>253</v>
      </c>
      <c r="B159" s="54" t="s">
        <v>65</v>
      </c>
      <c r="C159" s="54" t="s">
        <v>250</v>
      </c>
      <c r="D159" s="57" t="s">
        <v>74</v>
      </c>
      <c r="E159" s="54" t="s">
        <v>68</v>
      </c>
      <c r="F159" s="54" t="s">
        <v>69</v>
      </c>
      <c r="G159" s="75" t="s">
        <v>77</v>
      </c>
      <c r="H159" s="54"/>
      <c r="I159" s="54"/>
      <c r="J159" s="54"/>
      <c r="K159" s="54" t="s">
        <v>251</v>
      </c>
      <c r="L159" s="35"/>
      <c r="M159" s="35"/>
      <c r="N159" s="35"/>
      <c r="O159" s="7"/>
      <c r="P159" s="7"/>
    </row>
    <row r="160" spans="1:16" s="5" customFormat="1" ht="70.5">
      <c r="A160" s="54" t="s">
        <v>254</v>
      </c>
      <c r="B160" s="54" t="s">
        <v>65</v>
      </c>
      <c r="C160" s="54" t="s">
        <v>255</v>
      </c>
      <c r="D160" s="57" t="s">
        <v>74</v>
      </c>
      <c r="E160" s="54" t="s">
        <v>84</v>
      </c>
      <c r="F160" s="54" t="s">
        <v>76</v>
      </c>
      <c r="G160" s="75" t="s">
        <v>77</v>
      </c>
      <c r="H160" s="54"/>
      <c r="I160" s="54"/>
      <c r="J160" s="54"/>
      <c r="K160" s="54"/>
      <c r="L160" s="35"/>
      <c r="M160" s="35"/>
      <c r="N160" s="35"/>
      <c r="O160" s="7"/>
      <c r="P160" s="7"/>
    </row>
    <row r="161" spans="1:16" s="5" customFormat="1" ht="70.5">
      <c r="A161" s="54" t="s">
        <v>256</v>
      </c>
      <c r="B161" s="54" t="s">
        <v>65</v>
      </c>
      <c r="C161" s="54" t="s">
        <v>257</v>
      </c>
      <c r="D161" s="59" t="s">
        <v>67</v>
      </c>
      <c r="E161" s="54" t="s">
        <v>68</v>
      </c>
      <c r="F161" s="54" t="s">
        <v>76</v>
      </c>
      <c r="G161" s="75" t="s">
        <v>77</v>
      </c>
      <c r="H161" s="54"/>
      <c r="I161" s="54"/>
      <c r="J161" s="54"/>
      <c r="K161" s="54"/>
      <c r="L161" s="35"/>
      <c r="M161" s="35"/>
      <c r="N161" s="35"/>
      <c r="O161" s="7"/>
      <c r="P161" s="7"/>
    </row>
    <row r="162" spans="1:16" s="5" customFormat="1" ht="94">
      <c r="A162" s="54" t="s">
        <v>258</v>
      </c>
      <c r="B162" s="54" t="s">
        <v>65</v>
      </c>
      <c r="C162" s="54" t="s">
        <v>257</v>
      </c>
      <c r="D162" s="59" t="s">
        <v>67</v>
      </c>
      <c r="E162" s="54" t="s">
        <v>68</v>
      </c>
      <c r="F162" s="54" t="s">
        <v>76</v>
      </c>
      <c r="G162" s="74" t="s">
        <v>70</v>
      </c>
      <c r="H162" s="54"/>
      <c r="I162" s="54"/>
      <c r="J162" s="54"/>
      <c r="K162" s="54"/>
      <c r="L162" s="35"/>
      <c r="M162" s="35"/>
      <c r="N162" s="35"/>
      <c r="O162" s="7"/>
      <c r="P162" s="7"/>
    </row>
    <row r="163" spans="1:16" s="5" customFormat="1" ht="70.5">
      <c r="A163" s="54" t="s">
        <v>259</v>
      </c>
      <c r="B163" s="54" t="s">
        <v>65</v>
      </c>
      <c r="C163" s="54" t="s">
        <v>260</v>
      </c>
      <c r="D163" s="56" t="s">
        <v>67</v>
      </c>
      <c r="E163" s="54" t="s">
        <v>68</v>
      </c>
      <c r="F163" s="54" t="s">
        <v>69</v>
      </c>
      <c r="G163" s="74" t="s">
        <v>70</v>
      </c>
      <c r="H163" s="54"/>
      <c r="I163" s="54"/>
      <c r="J163" s="54"/>
      <c r="K163" s="54"/>
      <c r="L163" s="35"/>
      <c r="M163" s="35"/>
      <c r="N163" s="35"/>
      <c r="O163" s="7"/>
      <c r="P163" s="7"/>
    </row>
    <row r="164" spans="1:16" s="5" customFormat="1" ht="47">
      <c r="A164" s="54" t="s">
        <v>261</v>
      </c>
      <c r="B164" s="54" t="s">
        <v>65</v>
      </c>
      <c r="C164" s="54" t="s">
        <v>260</v>
      </c>
      <c r="D164" s="56" t="s">
        <v>67</v>
      </c>
      <c r="E164" s="54" t="s">
        <v>68</v>
      </c>
      <c r="F164" s="54" t="s">
        <v>69</v>
      </c>
      <c r="G164" s="75" t="s">
        <v>77</v>
      </c>
      <c r="H164" s="54"/>
      <c r="I164" s="54"/>
      <c r="J164" s="54"/>
      <c r="K164" s="54"/>
      <c r="L164" s="35"/>
      <c r="M164" s="35"/>
      <c r="N164" s="35"/>
      <c r="O164" s="7"/>
      <c r="P164" s="7"/>
    </row>
    <row r="165" spans="1:16" s="5" customFormat="1" ht="47">
      <c r="A165" s="54" t="s">
        <v>262</v>
      </c>
      <c r="B165" s="54" t="s">
        <v>65</v>
      </c>
      <c r="C165" s="54" t="s">
        <v>260</v>
      </c>
      <c r="D165" s="56" t="s">
        <v>67</v>
      </c>
      <c r="E165" s="54" t="s">
        <v>68</v>
      </c>
      <c r="F165" s="54" t="s">
        <v>69</v>
      </c>
      <c r="G165" s="75" t="s">
        <v>77</v>
      </c>
      <c r="H165" s="54"/>
      <c r="I165" s="54"/>
      <c r="J165" s="54"/>
      <c r="K165" s="54"/>
      <c r="L165" s="35"/>
      <c r="M165" s="35"/>
      <c r="N165" s="35"/>
      <c r="O165" s="7"/>
      <c r="P165" s="7"/>
    </row>
    <row r="166" spans="1:16" s="5" customFormat="1" ht="47">
      <c r="A166" s="54" t="s">
        <v>263</v>
      </c>
      <c r="B166" s="54" t="s">
        <v>65</v>
      </c>
      <c r="C166" s="54" t="s">
        <v>260</v>
      </c>
      <c r="D166" s="56" t="s">
        <v>67</v>
      </c>
      <c r="E166" s="54" t="s">
        <v>68</v>
      </c>
      <c r="F166" s="54" t="s">
        <v>69</v>
      </c>
      <c r="G166" s="75" t="s">
        <v>77</v>
      </c>
      <c r="H166" s="54"/>
      <c r="I166" s="54"/>
      <c r="J166" s="54"/>
      <c r="K166" s="54"/>
      <c r="L166" s="35"/>
      <c r="M166" s="35"/>
      <c r="N166" s="35"/>
      <c r="O166" s="7"/>
      <c r="P166" s="7"/>
    </row>
    <row r="167" spans="1:16" s="5" customFormat="1" ht="47">
      <c r="A167" s="54" t="s">
        <v>264</v>
      </c>
      <c r="B167" s="54" t="s">
        <v>65</v>
      </c>
      <c r="C167" s="54" t="s">
        <v>260</v>
      </c>
      <c r="D167" s="56" t="s">
        <v>67</v>
      </c>
      <c r="E167" s="54" t="s">
        <v>68</v>
      </c>
      <c r="F167" s="54" t="s">
        <v>69</v>
      </c>
      <c r="G167" s="75" t="s">
        <v>77</v>
      </c>
      <c r="H167" s="54"/>
      <c r="I167" s="54"/>
      <c r="J167" s="54"/>
      <c r="K167" s="54"/>
      <c r="L167" s="35"/>
      <c r="M167" s="35"/>
      <c r="N167" s="35"/>
      <c r="O167" s="7"/>
      <c r="P167" s="7"/>
    </row>
    <row r="168" spans="1:16" s="5" customFormat="1" ht="47">
      <c r="A168" s="54" t="s">
        <v>265</v>
      </c>
      <c r="B168" s="54" t="s">
        <v>65</v>
      </c>
      <c r="C168" s="54" t="s">
        <v>260</v>
      </c>
      <c r="D168" s="56" t="s">
        <v>67</v>
      </c>
      <c r="E168" s="54" t="s">
        <v>68</v>
      </c>
      <c r="F168" s="54" t="s">
        <v>69</v>
      </c>
      <c r="G168" s="74" t="s">
        <v>70</v>
      </c>
      <c r="H168" s="54"/>
      <c r="I168" s="54"/>
      <c r="J168" s="54"/>
      <c r="K168" s="54"/>
      <c r="L168" s="35"/>
      <c r="M168" s="35"/>
      <c r="N168" s="35"/>
      <c r="O168" s="7"/>
      <c r="P168" s="7"/>
    </row>
    <row r="169" spans="1:16" s="5" customFormat="1" ht="70.5">
      <c r="A169" s="54" t="s">
        <v>266</v>
      </c>
      <c r="B169" s="54" t="s">
        <v>65</v>
      </c>
      <c r="C169" s="54" t="s">
        <v>260</v>
      </c>
      <c r="D169" s="56" t="s">
        <v>67</v>
      </c>
      <c r="E169" s="54" t="s">
        <v>68</v>
      </c>
      <c r="F169" s="54" t="s">
        <v>69</v>
      </c>
      <c r="G169" s="74" t="s">
        <v>70</v>
      </c>
      <c r="H169" s="54"/>
      <c r="I169" s="54"/>
      <c r="J169" s="54"/>
      <c r="K169" s="54"/>
      <c r="L169" s="35"/>
      <c r="M169" s="35"/>
      <c r="N169" s="35"/>
      <c r="O169" s="7"/>
      <c r="P169" s="7"/>
    </row>
    <row r="170" spans="1:16" s="5" customFormat="1" ht="47">
      <c r="A170" s="54" t="s">
        <v>267</v>
      </c>
      <c r="B170" s="54" t="s">
        <v>65</v>
      </c>
      <c r="C170" s="54" t="s">
        <v>260</v>
      </c>
      <c r="D170" s="56" t="s">
        <v>67</v>
      </c>
      <c r="E170" s="54" t="s">
        <v>68</v>
      </c>
      <c r="F170" s="54" t="s">
        <v>69</v>
      </c>
      <c r="G170" s="75" t="s">
        <v>77</v>
      </c>
      <c r="H170" s="54"/>
      <c r="I170" s="54"/>
      <c r="J170" s="54"/>
      <c r="K170" s="54"/>
      <c r="L170" s="35"/>
      <c r="M170" s="35"/>
      <c r="N170" s="35"/>
      <c r="O170" s="7"/>
      <c r="P170" s="7"/>
    </row>
    <row r="171" spans="1:16" s="5" customFormat="1" ht="23.5">
      <c r="A171" s="54" t="s">
        <v>268</v>
      </c>
      <c r="B171" s="54" t="s">
        <v>65</v>
      </c>
      <c r="C171" s="54" t="s">
        <v>260</v>
      </c>
      <c r="D171" s="56" t="s">
        <v>67</v>
      </c>
      <c r="E171" s="54" t="s">
        <v>68</v>
      </c>
      <c r="F171" s="54" t="s">
        <v>69</v>
      </c>
      <c r="G171" s="75" t="s">
        <v>77</v>
      </c>
      <c r="H171" s="54"/>
      <c r="I171" s="54"/>
      <c r="J171" s="54"/>
      <c r="K171" s="54"/>
      <c r="L171" s="35"/>
      <c r="M171" s="35"/>
      <c r="N171" s="35"/>
      <c r="O171" s="7"/>
      <c r="P171" s="7"/>
    </row>
    <row r="172" spans="1:16" s="5" customFormat="1" ht="47">
      <c r="A172" s="54" t="s">
        <v>269</v>
      </c>
      <c r="B172" s="54" t="s">
        <v>65</v>
      </c>
      <c r="C172" s="54" t="s">
        <v>260</v>
      </c>
      <c r="D172" s="56" t="s">
        <v>67</v>
      </c>
      <c r="E172" s="54" t="s">
        <v>68</v>
      </c>
      <c r="F172" s="54" t="s">
        <v>69</v>
      </c>
      <c r="G172" s="74" t="s">
        <v>70</v>
      </c>
      <c r="H172" s="54"/>
      <c r="I172" s="54"/>
      <c r="J172" s="54"/>
      <c r="K172" s="54"/>
      <c r="L172" s="35"/>
      <c r="M172" s="35"/>
      <c r="N172" s="35"/>
      <c r="O172" s="7"/>
      <c r="P172" s="7"/>
    </row>
    <row r="173" spans="1:16" s="5" customFormat="1" ht="47">
      <c r="A173" s="54" t="s">
        <v>270</v>
      </c>
      <c r="B173" s="54" t="s">
        <v>65</v>
      </c>
      <c r="C173" s="54" t="s">
        <v>271</v>
      </c>
      <c r="D173" s="62" t="s">
        <v>77</v>
      </c>
      <c r="E173" s="54" t="s">
        <v>84</v>
      </c>
      <c r="F173" s="54" t="s">
        <v>76</v>
      </c>
      <c r="G173" s="75" t="s">
        <v>77</v>
      </c>
      <c r="H173" s="54"/>
      <c r="I173" s="54"/>
      <c r="J173" s="54"/>
      <c r="K173" s="54"/>
      <c r="L173" s="35"/>
      <c r="M173" s="35"/>
      <c r="N173" s="35"/>
      <c r="O173" s="7"/>
      <c r="P173" s="7"/>
    </row>
    <row r="174" spans="1:16" s="5" customFormat="1" ht="70.5">
      <c r="A174" s="54" t="s">
        <v>272</v>
      </c>
      <c r="B174" s="54" t="s">
        <v>65</v>
      </c>
      <c r="C174" s="54" t="s">
        <v>271</v>
      </c>
      <c r="D174" s="62" t="s">
        <v>77</v>
      </c>
      <c r="E174" s="54" t="s">
        <v>84</v>
      </c>
      <c r="F174" s="54" t="s">
        <v>76</v>
      </c>
      <c r="G174" s="75" t="s">
        <v>77</v>
      </c>
      <c r="H174" s="54"/>
      <c r="I174" s="54"/>
      <c r="J174" s="54"/>
      <c r="K174" s="54"/>
      <c r="L174" s="35"/>
      <c r="M174" s="35"/>
      <c r="N174" s="35"/>
      <c r="O174" s="7"/>
      <c r="P174" s="7"/>
    </row>
    <row r="175" spans="1:16" s="5" customFormat="1" ht="47">
      <c r="A175" s="54" t="s">
        <v>273</v>
      </c>
      <c r="B175" s="54" t="s">
        <v>65</v>
      </c>
      <c r="C175" s="54" t="s">
        <v>271</v>
      </c>
      <c r="D175" s="58" t="s">
        <v>77</v>
      </c>
      <c r="E175" s="54" t="s">
        <v>84</v>
      </c>
      <c r="F175" s="54" t="s">
        <v>76</v>
      </c>
      <c r="G175" s="75" t="s">
        <v>77</v>
      </c>
      <c r="H175" s="54"/>
      <c r="I175" s="54"/>
      <c r="J175" s="54"/>
      <c r="K175" s="54"/>
      <c r="L175" s="35"/>
      <c r="M175" s="35"/>
      <c r="N175" s="35"/>
      <c r="O175" s="7"/>
      <c r="P175" s="7"/>
    </row>
    <row r="176" spans="1:16" s="5" customFormat="1" ht="47">
      <c r="A176" s="54" t="s">
        <v>274</v>
      </c>
      <c r="B176" s="54" t="s">
        <v>65</v>
      </c>
      <c r="C176" s="54" t="s">
        <v>271</v>
      </c>
      <c r="D176" s="58" t="s">
        <v>77</v>
      </c>
      <c r="E176" s="54" t="s">
        <v>84</v>
      </c>
      <c r="F176" s="54" t="s">
        <v>76</v>
      </c>
      <c r="G176" s="75" t="s">
        <v>77</v>
      </c>
      <c r="H176" s="54"/>
      <c r="I176" s="54"/>
      <c r="J176" s="54"/>
      <c r="K176" s="54"/>
      <c r="L176" s="35"/>
      <c r="M176" s="35"/>
      <c r="N176" s="35"/>
      <c r="O176" s="7"/>
      <c r="P176" s="7"/>
    </row>
    <row r="177" spans="1:16" s="5" customFormat="1" ht="70.5">
      <c r="A177" s="54" t="s">
        <v>275</v>
      </c>
      <c r="B177" s="54" t="s">
        <v>65</v>
      </c>
      <c r="C177" s="54" t="s">
        <v>271</v>
      </c>
      <c r="D177" s="58" t="s">
        <v>77</v>
      </c>
      <c r="E177" s="54" t="s">
        <v>84</v>
      </c>
      <c r="F177" s="54" t="s">
        <v>76</v>
      </c>
      <c r="G177" s="75" t="s">
        <v>77</v>
      </c>
      <c r="H177" s="54"/>
      <c r="I177" s="54"/>
      <c r="J177" s="54"/>
      <c r="K177" s="54"/>
      <c r="L177" s="35"/>
      <c r="M177" s="35"/>
      <c r="N177" s="35"/>
      <c r="O177" s="7"/>
      <c r="P177" s="7"/>
    </row>
    <row r="178" spans="1:16" s="5" customFormat="1" ht="47">
      <c r="A178" s="54" t="s">
        <v>276</v>
      </c>
      <c r="B178" s="54" t="s">
        <v>65</v>
      </c>
      <c r="C178" s="54" t="s">
        <v>271</v>
      </c>
      <c r="D178" s="58" t="s">
        <v>77</v>
      </c>
      <c r="E178" s="54" t="s">
        <v>84</v>
      </c>
      <c r="F178" s="54" t="s">
        <v>76</v>
      </c>
      <c r="G178" s="75" t="s">
        <v>77</v>
      </c>
      <c r="H178" s="54"/>
      <c r="I178" s="54"/>
      <c r="J178" s="54"/>
      <c r="K178" s="54"/>
      <c r="L178" s="35"/>
      <c r="M178" s="35"/>
      <c r="N178" s="35"/>
      <c r="O178" s="7"/>
      <c r="P178" s="7"/>
    </row>
    <row r="179" spans="1:16" s="5" customFormat="1" ht="47">
      <c r="A179" s="54" t="s">
        <v>277</v>
      </c>
      <c r="B179" s="54" t="s">
        <v>65</v>
      </c>
      <c r="C179" s="54" t="s">
        <v>271</v>
      </c>
      <c r="D179" s="58" t="s">
        <v>77</v>
      </c>
      <c r="E179" s="54" t="s">
        <v>84</v>
      </c>
      <c r="F179" s="54" t="s">
        <v>76</v>
      </c>
      <c r="G179" s="75" t="s">
        <v>77</v>
      </c>
      <c r="H179" s="54"/>
      <c r="I179" s="54"/>
      <c r="J179" s="54"/>
      <c r="K179" s="54"/>
      <c r="L179" s="35"/>
      <c r="M179" s="35"/>
      <c r="N179" s="35"/>
      <c r="O179" s="7"/>
      <c r="P179" s="7"/>
    </row>
    <row r="180" spans="1:16" s="5" customFormat="1" ht="47">
      <c r="A180" s="54" t="s">
        <v>278</v>
      </c>
      <c r="B180" s="54" t="s">
        <v>65</v>
      </c>
      <c r="C180" s="54" t="s">
        <v>271</v>
      </c>
      <c r="D180" s="58" t="s">
        <v>77</v>
      </c>
      <c r="E180" s="54" t="s">
        <v>84</v>
      </c>
      <c r="F180" s="54" t="s">
        <v>76</v>
      </c>
      <c r="G180" s="75" t="s">
        <v>77</v>
      </c>
      <c r="H180" s="54"/>
      <c r="I180" s="54"/>
      <c r="J180" s="54"/>
      <c r="K180" s="54"/>
      <c r="L180" s="35"/>
      <c r="M180" s="35"/>
      <c r="N180" s="35"/>
      <c r="O180" s="7"/>
      <c r="P180" s="7"/>
    </row>
    <row r="181" spans="1:16" s="5" customFormat="1" ht="47">
      <c r="A181" s="54" t="s">
        <v>279</v>
      </c>
      <c r="B181" s="54" t="s">
        <v>65</v>
      </c>
      <c r="C181" s="54" t="s">
        <v>271</v>
      </c>
      <c r="D181" s="58" t="s">
        <v>77</v>
      </c>
      <c r="E181" s="54" t="s">
        <v>84</v>
      </c>
      <c r="F181" s="54" t="s">
        <v>76</v>
      </c>
      <c r="G181" s="75" t="s">
        <v>77</v>
      </c>
      <c r="H181" s="54"/>
      <c r="I181" s="54"/>
      <c r="J181" s="54"/>
      <c r="K181" s="54"/>
      <c r="L181" s="35"/>
      <c r="M181" s="35"/>
      <c r="N181" s="35"/>
      <c r="O181" s="7"/>
      <c r="P181" s="7"/>
    </row>
    <row r="182" spans="1:16" s="5" customFormat="1" ht="70.5">
      <c r="A182" s="54" t="s">
        <v>280</v>
      </c>
      <c r="B182" s="54" t="s">
        <v>65</v>
      </c>
      <c r="C182" s="54" t="s">
        <v>271</v>
      </c>
      <c r="D182" s="58" t="s">
        <v>77</v>
      </c>
      <c r="E182" s="54" t="s">
        <v>84</v>
      </c>
      <c r="F182" s="54" t="s">
        <v>76</v>
      </c>
      <c r="G182" s="75" t="s">
        <v>77</v>
      </c>
      <c r="H182" s="54"/>
      <c r="I182" s="54"/>
      <c r="J182" s="54"/>
      <c r="K182" s="54"/>
      <c r="L182" s="35"/>
      <c r="M182" s="35"/>
      <c r="N182" s="35"/>
      <c r="O182" s="7"/>
      <c r="P182" s="7"/>
    </row>
    <row r="183" spans="1:16" s="5" customFormat="1" ht="47">
      <c r="A183" s="54" t="s">
        <v>281</v>
      </c>
      <c r="B183" s="54" t="s">
        <v>65</v>
      </c>
      <c r="C183" s="54" t="s">
        <v>271</v>
      </c>
      <c r="D183" s="58" t="s">
        <v>77</v>
      </c>
      <c r="E183" s="54" t="s">
        <v>84</v>
      </c>
      <c r="F183" s="54" t="s">
        <v>76</v>
      </c>
      <c r="G183" s="75" t="s">
        <v>77</v>
      </c>
      <c r="H183" s="54"/>
      <c r="I183" s="54"/>
      <c r="J183" s="54"/>
      <c r="K183" s="54"/>
      <c r="L183" s="35"/>
      <c r="M183" s="35"/>
      <c r="N183" s="35"/>
      <c r="O183" s="7"/>
      <c r="P183" s="7"/>
    </row>
    <row r="184" spans="1:16" s="5" customFormat="1" ht="70.5">
      <c r="A184" s="54" t="s">
        <v>282</v>
      </c>
      <c r="B184" s="54" t="s">
        <v>65</v>
      </c>
      <c r="C184" s="54" t="s">
        <v>271</v>
      </c>
      <c r="D184" s="58" t="s">
        <v>77</v>
      </c>
      <c r="E184" s="54" t="s">
        <v>84</v>
      </c>
      <c r="F184" s="54" t="s">
        <v>76</v>
      </c>
      <c r="G184" s="75" t="s">
        <v>77</v>
      </c>
      <c r="H184" s="54"/>
      <c r="I184" s="54"/>
      <c r="J184" s="54"/>
      <c r="K184" s="54"/>
      <c r="L184" s="35"/>
      <c r="M184" s="35"/>
      <c r="N184" s="35"/>
      <c r="O184" s="7"/>
      <c r="P184" s="7"/>
    </row>
    <row r="185" spans="1:16" s="5" customFormat="1" ht="70.5">
      <c r="A185" s="54" t="s">
        <v>283</v>
      </c>
      <c r="B185" s="54" t="s">
        <v>65</v>
      </c>
      <c r="C185" s="54" t="s">
        <v>271</v>
      </c>
      <c r="D185" s="58" t="s">
        <v>77</v>
      </c>
      <c r="E185" s="54" t="s">
        <v>84</v>
      </c>
      <c r="F185" s="54" t="s">
        <v>76</v>
      </c>
      <c r="G185" s="75" t="s">
        <v>77</v>
      </c>
      <c r="H185" s="54"/>
      <c r="I185" s="54"/>
      <c r="J185" s="54"/>
      <c r="K185" s="54"/>
      <c r="L185" s="35"/>
      <c r="M185" s="35"/>
      <c r="N185" s="35"/>
      <c r="O185" s="7"/>
      <c r="P185" s="7"/>
    </row>
    <row r="186" spans="1:16" s="5" customFormat="1" ht="70.5">
      <c r="A186" s="54" t="s">
        <v>284</v>
      </c>
      <c r="B186" s="54" t="s">
        <v>65</v>
      </c>
      <c r="C186" s="54" t="s">
        <v>271</v>
      </c>
      <c r="D186" s="58" t="s">
        <v>77</v>
      </c>
      <c r="E186" s="54" t="s">
        <v>84</v>
      </c>
      <c r="F186" s="54" t="s">
        <v>76</v>
      </c>
      <c r="G186" s="75" t="s">
        <v>77</v>
      </c>
      <c r="H186" s="54"/>
      <c r="I186" s="54"/>
      <c r="J186" s="54"/>
      <c r="K186" s="54"/>
      <c r="L186" s="35"/>
      <c r="M186" s="35"/>
      <c r="N186" s="35"/>
      <c r="O186" s="7"/>
      <c r="P186" s="7"/>
    </row>
    <row r="187" spans="1:16" s="5" customFormat="1" ht="47">
      <c r="A187" s="54" t="s">
        <v>285</v>
      </c>
      <c r="B187" s="54" t="s">
        <v>65</v>
      </c>
      <c r="C187" s="54" t="s">
        <v>271</v>
      </c>
      <c r="D187" s="58" t="s">
        <v>77</v>
      </c>
      <c r="E187" s="54" t="s">
        <v>84</v>
      </c>
      <c r="F187" s="54" t="s">
        <v>76</v>
      </c>
      <c r="G187" s="75" t="s">
        <v>77</v>
      </c>
      <c r="H187" s="54"/>
      <c r="I187" s="54"/>
      <c r="J187" s="54"/>
      <c r="K187" s="54"/>
      <c r="L187" s="35"/>
      <c r="M187" s="35"/>
      <c r="N187" s="35"/>
      <c r="O187" s="7"/>
      <c r="P187" s="7"/>
    </row>
    <row r="188" spans="1:16" s="5" customFormat="1" ht="70.5">
      <c r="A188" s="54" t="s">
        <v>286</v>
      </c>
      <c r="B188" s="54" t="s">
        <v>65</v>
      </c>
      <c r="C188" s="54" t="s">
        <v>73</v>
      </c>
      <c r="D188" s="59" t="s">
        <v>67</v>
      </c>
      <c r="E188" s="54" t="s">
        <v>84</v>
      </c>
      <c r="F188" s="54" t="s">
        <v>76</v>
      </c>
      <c r="G188" s="75" t="s">
        <v>77</v>
      </c>
      <c r="H188" s="54"/>
      <c r="I188" s="54"/>
      <c r="J188" s="54"/>
      <c r="K188" s="54"/>
      <c r="L188" s="35"/>
      <c r="M188" s="35"/>
      <c r="N188" s="35"/>
      <c r="O188" s="7"/>
      <c r="P188" s="7"/>
    </row>
    <row r="189" spans="1:16" s="5" customFormat="1" ht="70.5">
      <c r="A189" s="54" t="s">
        <v>287</v>
      </c>
      <c r="B189" s="54" t="s">
        <v>65</v>
      </c>
      <c r="C189" s="54" t="s">
        <v>73</v>
      </c>
      <c r="D189" s="56" t="s">
        <v>67</v>
      </c>
      <c r="E189" s="54" t="s">
        <v>68</v>
      </c>
      <c r="F189" s="54" t="s">
        <v>69</v>
      </c>
      <c r="G189" s="74" t="s">
        <v>70</v>
      </c>
      <c r="H189" s="54"/>
      <c r="I189" s="54"/>
      <c r="J189" s="54"/>
      <c r="K189" s="54"/>
      <c r="L189" s="35"/>
      <c r="M189" s="35"/>
      <c r="N189" s="35"/>
      <c r="O189" s="7"/>
      <c r="P189" s="7"/>
    </row>
    <row r="190" spans="1:16" s="5" customFormat="1" ht="70.5">
      <c r="A190" s="54" t="s">
        <v>288</v>
      </c>
      <c r="B190" s="54" t="s">
        <v>65</v>
      </c>
      <c r="C190" s="54" t="s">
        <v>73</v>
      </c>
      <c r="D190" s="56" t="s">
        <v>67</v>
      </c>
      <c r="E190" s="54" t="s">
        <v>84</v>
      </c>
      <c r="F190" s="54" t="s">
        <v>76</v>
      </c>
      <c r="G190" s="75" t="s">
        <v>77</v>
      </c>
      <c r="H190" s="54"/>
      <c r="I190" s="54"/>
      <c r="J190" s="54"/>
      <c r="K190" s="54"/>
      <c r="L190" s="35"/>
      <c r="M190" s="35"/>
      <c r="N190" s="35"/>
      <c r="O190" s="7"/>
      <c r="P190" s="7"/>
    </row>
    <row r="191" spans="1:16" s="5" customFormat="1" ht="70.5">
      <c r="A191" s="54" t="s">
        <v>289</v>
      </c>
      <c r="B191" s="54" t="s">
        <v>65</v>
      </c>
      <c r="C191" s="54" t="s">
        <v>73</v>
      </c>
      <c r="D191" s="56" t="s">
        <v>67</v>
      </c>
      <c r="E191" s="54" t="s">
        <v>84</v>
      </c>
      <c r="F191" s="54" t="s">
        <v>76</v>
      </c>
      <c r="G191" s="75" t="s">
        <v>77</v>
      </c>
      <c r="H191" s="54"/>
      <c r="I191" s="54"/>
      <c r="J191" s="54"/>
      <c r="K191" s="54"/>
      <c r="L191" s="35"/>
      <c r="M191" s="35"/>
      <c r="N191" s="35"/>
      <c r="O191" s="7"/>
      <c r="P191" s="7"/>
    </row>
    <row r="192" spans="1:16" s="5" customFormat="1" ht="70.5">
      <c r="A192" s="54" t="s">
        <v>290</v>
      </c>
      <c r="B192" s="54" t="s">
        <v>65</v>
      </c>
      <c r="C192" s="54" t="s">
        <v>73</v>
      </c>
      <c r="D192" s="56" t="s">
        <v>67</v>
      </c>
      <c r="E192" s="54" t="s">
        <v>84</v>
      </c>
      <c r="F192" s="54" t="s">
        <v>76</v>
      </c>
      <c r="G192" s="75" t="s">
        <v>77</v>
      </c>
      <c r="H192" s="54"/>
      <c r="I192" s="54"/>
      <c r="J192" s="54"/>
      <c r="K192" s="54"/>
      <c r="L192" s="35"/>
      <c r="M192" s="35"/>
      <c r="N192" s="35"/>
      <c r="O192" s="7"/>
      <c r="P192" s="7"/>
    </row>
    <row r="193" spans="1:16" s="5" customFormat="1" ht="70.5">
      <c r="A193" s="54" t="s">
        <v>291</v>
      </c>
      <c r="B193" s="54" t="s">
        <v>65</v>
      </c>
      <c r="C193" s="54" t="s">
        <v>73</v>
      </c>
      <c r="D193" s="56" t="s">
        <v>67</v>
      </c>
      <c r="E193" s="54" t="s">
        <v>75</v>
      </c>
      <c r="F193" s="54" t="s">
        <v>76</v>
      </c>
      <c r="G193" s="75" t="s">
        <v>77</v>
      </c>
      <c r="H193" s="54"/>
      <c r="I193" s="54"/>
      <c r="J193" s="54"/>
      <c r="K193" s="54"/>
      <c r="L193" s="35"/>
      <c r="M193" s="35"/>
      <c r="N193" s="35"/>
      <c r="O193" s="7"/>
      <c r="P193" s="7"/>
    </row>
    <row r="194" spans="1:16" s="5" customFormat="1" ht="70.5">
      <c r="A194" s="54" t="s">
        <v>292</v>
      </c>
      <c r="B194" s="54" t="s">
        <v>65</v>
      </c>
      <c r="C194" s="54" t="s">
        <v>73</v>
      </c>
      <c r="D194" s="56" t="s">
        <v>67</v>
      </c>
      <c r="E194" s="54" t="s">
        <v>84</v>
      </c>
      <c r="F194" s="54" t="s">
        <v>76</v>
      </c>
      <c r="G194" s="75" t="s">
        <v>77</v>
      </c>
      <c r="H194" s="54"/>
      <c r="I194" s="54"/>
      <c r="J194" s="54"/>
      <c r="K194" s="54"/>
      <c r="L194" s="35"/>
      <c r="M194" s="35"/>
      <c r="N194" s="35"/>
      <c r="O194" s="7"/>
      <c r="P194" s="7"/>
    </row>
    <row r="195" spans="1:16" s="5" customFormat="1" ht="47">
      <c r="A195" s="54" t="s">
        <v>293</v>
      </c>
      <c r="B195" s="54" t="s">
        <v>65</v>
      </c>
      <c r="C195" s="54" t="s">
        <v>73</v>
      </c>
      <c r="D195" s="56" t="s">
        <v>67</v>
      </c>
      <c r="E195" s="54" t="s">
        <v>75</v>
      </c>
      <c r="F195" s="54" t="s">
        <v>76</v>
      </c>
      <c r="G195" s="75" t="s">
        <v>77</v>
      </c>
      <c r="H195" s="54"/>
      <c r="I195" s="54"/>
      <c r="J195" s="54"/>
      <c r="K195" s="54"/>
      <c r="L195" s="35"/>
      <c r="M195" s="35"/>
      <c r="N195" s="35"/>
      <c r="O195" s="7"/>
      <c r="P195" s="7"/>
    </row>
    <row r="196" spans="1:16" s="5" customFormat="1" ht="47">
      <c r="A196" s="54" t="s">
        <v>294</v>
      </c>
      <c r="B196" s="54" t="s">
        <v>65</v>
      </c>
      <c r="C196" s="54" t="s">
        <v>295</v>
      </c>
      <c r="D196" s="56" t="s">
        <v>67</v>
      </c>
      <c r="E196" s="54" t="s">
        <v>84</v>
      </c>
      <c r="F196" s="54" t="s">
        <v>76</v>
      </c>
      <c r="G196" s="75" t="s">
        <v>77</v>
      </c>
      <c r="H196" s="54"/>
      <c r="I196" s="54"/>
      <c r="J196" s="54"/>
      <c r="K196" s="54"/>
      <c r="L196" s="35"/>
      <c r="M196" s="35"/>
      <c r="N196" s="35"/>
      <c r="O196" s="7"/>
      <c r="P196" s="7"/>
    </row>
    <row r="197" spans="1:16" s="5" customFormat="1" ht="94">
      <c r="A197" s="54" t="s">
        <v>296</v>
      </c>
      <c r="B197" s="54" t="s">
        <v>65</v>
      </c>
      <c r="C197" s="54" t="s">
        <v>295</v>
      </c>
      <c r="D197" s="56" t="s">
        <v>67</v>
      </c>
      <c r="E197" s="54" t="s">
        <v>68</v>
      </c>
      <c r="F197" s="54" t="s">
        <v>76</v>
      </c>
      <c r="G197" s="74" t="s">
        <v>70</v>
      </c>
      <c r="H197" s="54"/>
      <c r="I197" s="54"/>
      <c r="J197" s="54"/>
      <c r="K197" s="54"/>
      <c r="L197" s="35"/>
      <c r="M197" s="35"/>
      <c r="N197" s="35"/>
      <c r="O197" s="7"/>
      <c r="P197" s="7"/>
    </row>
    <row r="198" spans="1:16" s="5" customFormat="1" ht="70.5">
      <c r="A198" s="54" t="s">
        <v>297</v>
      </c>
      <c r="B198" s="54" t="s">
        <v>65</v>
      </c>
      <c r="C198" s="54" t="s">
        <v>298</v>
      </c>
      <c r="D198" s="56" t="s">
        <v>67</v>
      </c>
      <c r="E198" s="54" t="s">
        <v>75</v>
      </c>
      <c r="F198" s="54" t="s">
        <v>69</v>
      </c>
      <c r="G198" s="75" t="s">
        <v>77</v>
      </c>
      <c r="H198" s="54"/>
      <c r="I198" s="54"/>
      <c r="J198" s="54"/>
      <c r="K198" s="54"/>
      <c r="L198" s="35"/>
      <c r="M198" s="35"/>
      <c r="N198" s="35"/>
      <c r="O198" s="7"/>
      <c r="P198" s="7"/>
    </row>
    <row r="199" spans="1:16" s="5" customFormat="1" ht="70.5">
      <c r="A199" s="54" t="s">
        <v>299</v>
      </c>
      <c r="B199" s="54" t="s">
        <v>65</v>
      </c>
      <c r="C199" s="54" t="s">
        <v>298</v>
      </c>
      <c r="D199" s="56" t="s">
        <v>67</v>
      </c>
      <c r="E199" s="54" t="s">
        <v>75</v>
      </c>
      <c r="F199" s="54" t="s">
        <v>69</v>
      </c>
      <c r="G199" s="75" t="s">
        <v>77</v>
      </c>
      <c r="H199" s="54"/>
      <c r="I199" s="54"/>
      <c r="J199" s="54"/>
      <c r="K199" s="54"/>
      <c r="L199" s="35"/>
      <c r="M199" s="35"/>
      <c r="N199" s="35"/>
      <c r="O199" s="7"/>
      <c r="P199" s="7"/>
    </row>
    <row r="200" spans="1:16" s="5" customFormat="1" ht="47">
      <c r="A200" s="54" t="s">
        <v>300</v>
      </c>
      <c r="B200" s="54" t="s">
        <v>65</v>
      </c>
      <c r="C200" s="54" t="s">
        <v>298</v>
      </c>
      <c r="D200" s="56" t="s">
        <v>67</v>
      </c>
      <c r="E200" s="54" t="s">
        <v>68</v>
      </c>
      <c r="F200" s="54" t="s">
        <v>69</v>
      </c>
      <c r="G200" s="75" t="s">
        <v>77</v>
      </c>
      <c r="H200" s="54"/>
      <c r="I200" s="54"/>
      <c r="J200" s="54"/>
      <c r="K200" s="54"/>
      <c r="L200" s="35"/>
      <c r="M200" s="35"/>
      <c r="N200" s="35"/>
      <c r="O200" s="7"/>
      <c r="P200" s="7"/>
    </row>
    <row r="201" spans="1:16" s="5" customFormat="1" ht="47">
      <c r="A201" s="54" t="s">
        <v>301</v>
      </c>
      <c r="B201" s="54" t="s">
        <v>65</v>
      </c>
      <c r="C201" s="54" t="s">
        <v>298</v>
      </c>
      <c r="D201" s="56" t="s">
        <v>67</v>
      </c>
      <c r="E201" s="54" t="s">
        <v>68</v>
      </c>
      <c r="F201" s="54" t="s">
        <v>76</v>
      </c>
      <c r="G201" s="74" t="s">
        <v>70</v>
      </c>
      <c r="H201" s="54"/>
      <c r="I201" s="54"/>
      <c r="J201" s="54"/>
      <c r="K201" s="54"/>
      <c r="L201" s="35"/>
      <c r="M201" s="35"/>
      <c r="N201" s="35"/>
      <c r="O201" s="7"/>
      <c r="P201" s="7"/>
    </row>
    <row r="202" spans="1:16" s="5" customFormat="1" ht="47">
      <c r="A202" s="54" t="s">
        <v>302</v>
      </c>
      <c r="B202" s="54" t="s">
        <v>65</v>
      </c>
      <c r="C202" s="54" t="s">
        <v>298</v>
      </c>
      <c r="D202" s="56" t="s">
        <v>67</v>
      </c>
      <c r="E202" s="54" t="s">
        <v>68</v>
      </c>
      <c r="F202" s="54" t="s">
        <v>69</v>
      </c>
      <c r="G202" s="75" t="s">
        <v>77</v>
      </c>
      <c r="H202" s="54"/>
      <c r="I202" s="54"/>
      <c r="J202" s="54"/>
      <c r="K202" s="54"/>
      <c r="L202" s="35"/>
      <c r="M202" s="35"/>
      <c r="N202" s="35"/>
      <c r="O202" s="7"/>
      <c r="P202" s="7"/>
    </row>
    <row r="203" spans="1:16" s="5" customFormat="1" ht="70.5">
      <c r="A203" s="54" t="s">
        <v>303</v>
      </c>
      <c r="B203" s="54" t="s">
        <v>65</v>
      </c>
      <c r="C203" s="54" t="s">
        <v>298</v>
      </c>
      <c r="D203" s="56" t="s">
        <v>67</v>
      </c>
      <c r="E203" s="54" t="s">
        <v>84</v>
      </c>
      <c r="F203" s="54" t="s">
        <v>76</v>
      </c>
      <c r="G203" s="75" t="s">
        <v>77</v>
      </c>
      <c r="H203" s="54"/>
      <c r="I203" s="54"/>
      <c r="J203" s="54"/>
      <c r="K203" s="54"/>
      <c r="L203" s="35"/>
      <c r="M203" s="35"/>
      <c r="N203" s="35"/>
      <c r="O203" s="7"/>
      <c r="P203" s="7"/>
    </row>
    <row r="204" spans="1:16" s="5" customFormat="1" ht="70.5">
      <c r="A204" s="54" t="s">
        <v>304</v>
      </c>
      <c r="B204" s="54" t="s">
        <v>65</v>
      </c>
      <c r="C204" s="54" t="s">
        <v>298</v>
      </c>
      <c r="D204" s="56" t="s">
        <v>67</v>
      </c>
      <c r="E204" s="54" t="s">
        <v>68</v>
      </c>
      <c r="F204" s="54" t="s">
        <v>76</v>
      </c>
      <c r="G204" s="75" t="s">
        <v>77</v>
      </c>
      <c r="H204" s="54"/>
      <c r="I204" s="54"/>
      <c r="J204" s="54"/>
      <c r="K204" s="54"/>
      <c r="L204" s="35"/>
      <c r="M204" s="35"/>
      <c r="N204" s="35"/>
      <c r="O204" s="7"/>
      <c r="P204" s="7"/>
    </row>
    <row r="205" spans="1:16" s="5" customFormat="1" ht="47">
      <c r="A205" s="54" t="s">
        <v>305</v>
      </c>
      <c r="B205" s="54" t="s">
        <v>65</v>
      </c>
      <c r="C205" s="54" t="s">
        <v>298</v>
      </c>
      <c r="D205" s="56" t="s">
        <v>67</v>
      </c>
      <c r="E205" s="54" t="s">
        <v>84</v>
      </c>
      <c r="F205" s="54" t="s">
        <v>306</v>
      </c>
      <c r="G205" s="75" t="s">
        <v>77</v>
      </c>
      <c r="H205" s="54"/>
      <c r="I205" s="54"/>
      <c r="J205" s="54"/>
      <c r="K205" s="54"/>
      <c r="L205" s="35"/>
      <c r="M205" s="35"/>
      <c r="N205" s="35"/>
      <c r="O205" s="7"/>
      <c r="P205" s="7"/>
    </row>
    <row r="206" spans="1:16" s="5" customFormat="1" ht="47">
      <c r="A206" s="54" t="s">
        <v>307</v>
      </c>
      <c r="B206" s="54" t="s">
        <v>65</v>
      </c>
      <c r="C206" s="54" t="s">
        <v>298</v>
      </c>
      <c r="D206" s="56" t="s">
        <v>67</v>
      </c>
      <c r="E206" s="54" t="s">
        <v>84</v>
      </c>
      <c r="F206" s="54" t="s">
        <v>76</v>
      </c>
      <c r="G206" s="75" t="s">
        <v>77</v>
      </c>
      <c r="H206" s="54"/>
      <c r="I206" s="54"/>
      <c r="J206" s="54"/>
      <c r="K206" s="54"/>
      <c r="L206" s="35"/>
      <c r="M206" s="35"/>
      <c r="N206" s="35"/>
      <c r="O206" s="7"/>
      <c r="P206" s="7"/>
    </row>
    <row r="207" spans="1:16" s="5" customFormat="1" ht="70.5">
      <c r="A207" s="54" t="s">
        <v>308</v>
      </c>
      <c r="B207" s="54" t="s">
        <v>65</v>
      </c>
      <c r="C207" s="54" t="s">
        <v>298</v>
      </c>
      <c r="D207" s="56" t="s">
        <v>67</v>
      </c>
      <c r="E207" s="54" t="s">
        <v>68</v>
      </c>
      <c r="F207" s="54" t="s">
        <v>76</v>
      </c>
      <c r="G207" s="75" t="s">
        <v>77</v>
      </c>
      <c r="H207" s="54"/>
      <c r="I207" s="54"/>
      <c r="J207" s="54"/>
      <c r="K207" s="54"/>
      <c r="L207" s="35"/>
      <c r="M207" s="35"/>
      <c r="N207" s="35"/>
      <c r="O207" s="7"/>
      <c r="P207" s="7"/>
    </row>
    <row r="208" spans="1:16" s="5" customFormat="1" ht="47">
      <c r="A208" s="54" t="s">
        <v>309</v>
      </c>
      <c r="B208" s="54" t="s">
        <v>65</v>
      </c>
      <c r="C208" s="54" t="s">
        <v>298</v>
      </c>
      <c r="D208" s="56" t="s">
        <v>67</v>
      </c>
      <c r="E208" s="54" t="s">
        <v>84</v>
      </c>
      <c r="F208" s="54" t="s">
        <v>76</v>
      </c>
      <c r="G208" s="75" t="s">
        <v>77</v>
      </c>
      <c r="H208" s="54"/>
      <c r="I208" s="54"/>
      <c r="J208" s="54"/>
      <c r="K208" s="54"/>
      <c r="L208" s="35"/>
      <c r="M208" s="35"/>
      <c r="N208" s="35"/>
      <c r="O208" s="7"/>
      <c r="P208" s="7"/>
    </row>
    <row r="209" spans="1:16" s="5" customFormat="1" ht="47">
      <c r="A209" s="54" t="s">
        <v>310</v>
      </c>
      <c r="B209" s="54" t="s">
        <v>65</v>
      </c>
      <c r="C209" s="54" t="s">
        <v>298</v>
      </c>
      <c r="D209" s="56" t="s">
        <v>67</v>
      </c>
      <c r="E209" s="54" t="s">
        <v>68</v>
      </c>
      <c r="F209" s="54" t="s">
        <v>69</v>
      </c>
      <c r="G209" s="74" t="s">
        <v>70</v>
      </c>
      <c r="H209" s="54"/>
      <c r="I209" s="54"/>
      <c r="J209" s="54"/>
      <c r="K209" s="54"/>
      <c r="L209" s="35"/>
      <c r="M209" s="35"/>
      <c r="N209" s="35"/>
      <c r="O209" s="7"/>
      <c r="P209" s="7"/>
    </row>
    <row r="210" spans="1:16" s="5" customFormat="1" ht="70.5">
      <c r="A210" s="54" t="s">
        <v>311</v>
      </c>
      <c r="B210" s="54" t="s">
        <v>65</v>
      </c>
      <c r="C210" s="54" t="s">
        <v>298</v>
      </c>
      <c r="D210" s="56" t="s">
        <v>67</v>
      </c>
      <c r="E210" s="54" t="s">
        <v>75</v>
      </c>
      <c r="F210" s="54" t="s">
        <v>76</v>
      </c>
      <c r="G210" s="75" t="s">
        <v>77</v>
      </c>
      <c r="H210" s="54"/>
      <c r="I210" s="54"/>
      <c r="J210" s="54"/>
      <c r="K210" s="54"/>
      <c r="L210" s="35"/>
      <c r="M210" s="35"/>
      <c r="N210" s="35"/>
      <c r="O210" s="7"/>
      <c r="P210" s="7"/>
    </row>
    <row r="211" spans="1:16" s="5" customFormat="1" ht="70.5">
      <c r="A211" s="54" t="s">
        <v>312</v>
      </c>
      <c r="B211" s="54" t="s">
        <v>106</v>
      </c>
      <c r="C211" s="54" t="s">
        <v>298</v>
      </c>
      <c r="D211" s="56" t="s">
        <v>67</v>
      </c>
      <c r="E211" s="54" t="s">
        <v>107</v>
      </c>
      <c r="F211" s="54" t="s">
        <v>69</v>
      </c>
      <c r="G211" s="75" t="s">
        <v>77</v>
      </c>
      <c r="H211" s="54"/>
      <c r="I211" s="54"/>
      <c r="J211" s="54"/>
      <c r="K211" s="54"/>
      <c r="L211" s="35"/>
      <c r="M211" s="35"/>
      <c r="N211" s="35"/>
      <c r="O211" s="7"/>
      <c r="P211" s="7"/>
    </row>
    <row r="212" spans="1:16" s="5" customFormat="1" ht="70.5">
      <c r="A212" s="54" t="s">
        <v>313</v>
      </c>
      <c r="B212" s="54" t="s">
        <v>65</v>
      </c>
      <c r="C212" s="54" t="s">
        <v>298</v>
      </c>
      <c r="D212" s="56" t="s">
        <v>67</v>
      </c>
      <c r="E212" s="54" t="s">
        <v>75</v>
      </c>
      <c r="F212" s="54" t="s">
        <v>76</v>
      </c>
      <c r="G212" s="75" t="s">
        <v>77</v>
      </c>
      <c r="H212" s="54"/>
      <c r="I212" s="54"/>
      <c r="J212" s="54"/>
      <c r="K212" s="54"/>
      <c r="L212" s="35"/>
      <c r="M212" s="35"/>
      <c r="N212" s="35"/>
      <c r="O212" s="7"/>
      <c r="P212" s="7"/>
    </row>
    <row r="213" spans="1:16" s="5" customFormat="1" ht="70.5">
      <c r="A213" s="54" t="s">
        <v>314</v>
      </c>
      <c r="B213" s="54" t="s">
        <v>65</v>
      </c>
      <c r="C213" s="54" t="s">
        <v>298</v>
      </c>
      <c r="D213" s="56" t="s">
        <v>67</v>
      </c>
      <c r="E213" s="54" t="s">
        <v>75</v>
      </c>
      <c r="F213" s="54" t="s">
        <v>76</v>
      </c>
      <c r="G213" s="75" t="s">
        <v>77</v>
      </c>
      <c r="H213" s="54"/>
      <c r="I213" s="54"/>
      <c r="J213" s="54"/>
      <c r="K213" s="54"/>
      <c r="L213" s="35"/>
      <c r="M213" s="35"/>
      <c r="N213" s="35"/>
      <c r="O213" s="7"/>
      <c r="P213" s="7"/>
    </row>
    <row r="214" spans="1:16" s="5" customFormat="1" ht="70.5">
      <c r="A214" s="54" t="s">
        <v>315</v>
      </c>
      <c r="B214" s="54" t="s">
        <v>65</v>
      </c>
      <c r="C214" s="54" t="s">
        <v>298</v>
      </c>
      <c r="D214" s="56" t="s">
        <v>67</v>
      </c>
      <c r="E214" s="54" t="s">
        <v>75</v>
      </c>
      <c r="F214" s="54" t="s">
        <v>76</v>
      </c>
      <c r="G214" s="75" t="s">
        <v>77</v>
      </c>
      <c r="H214" s="54"/>
      <c r="I214" s="54"/>
      <c r="J214" s="54"/>
      <c r="K214" s="54"/>
      <c r="L214" s="35"/>
      <c r="M214" s="35"/>
      <c r="N214" s="35"/>
      <c r="O214" s="7"/>
      <c r="P214" s="7"/>
    </row>
    <row r="215" spans="1:16" s="5" customFormat="1" ht="70.5">
      <c r="A215" s="54" t="s">
        <v>316</v>
      </c>
      <c r="B215" s="54" t="s">
        <v>65</v>
      </c>
      <c r="C215" s="54" t="s">
        <v>298</v>
      </c>
      <c r="D215" s="56" t="s">
        <v>67</v>
      </c>
      <c r="E215" s="54" t="s">
        <v>84</v>
      </c>
      <c r="F215" s="54" t="s">
        <v>76</v>
      </c>
      <c r="G215" s="75" t="s">
        <v>77</v>
      </c>
      <c r="H215" s="54"/>
      <c r="I215" s="54"/>
      <c r="J215" s="54"/>
      <c r="K215" s="54"/>
      <c r="L215" s="35"/>
      <c r="M215" s="35"/>
      <c r="N215" s="35"/>
      <c r="O215" s="7"/>
      <c r="P215" s="7"/>
    </row>
    <row r="216" spans="1:16" s="5" customFormat="1" ht="70.5">
      <c r="A216" s="54" t="s">
        <v>317</v>
      </c>
      <c r="B216" s="54" t="s">
        <v>65</v>
      </c>
      <c r="C216" s="54" t="s">
        <v>298</v>
      </c>
      <c r="D216" s="59" t="s">
        <v>67</v>
      </c>
      <c r="E216" s="54" t="s">
        <v>68</v>
      </c>
      <c r="F216" s="54" t="s">
        <v>69</v>
      </c>
      <c r="G216" s="75" t="s">
        <v>77</v>
      </c>
      <c r="H216" s="54"/>
      <c r="I216" s="54"/>
      <c r="J216" s="54"/>
      <c r="K216" s="54"/>
      <c r="L216" s="35"/>
      <c r="M216" s="35"/>
      <c r="N216" s="35"/>
      <c r="O216" s="7"/>
      <c r="P216" s="7"/>
    </row>
    <row r="217" spans="1:16" s="5" customFormat="1" ht="70.5">
      <c r="A217" s="54" t="s">
        <v>318</v>
      </c>
      <c r="B217" s="54" t="s">
        <v>65</v>
      </c>
      <c r="C217" s="54" t="s">
        <v>298</v>
      </c>
      <c r="D217" s="56" t="s">
        <v>67</v>
      </c>
      <c r="E217" s="54" t="s">
        <v>68</v>
      </c>
      <c r="F217" s="54" t="s">
        <v>69</v>
      </c>
      <c r="G217" s="75" t="s">
        <v>77</v>
      </c>
      <c r="H217" s="54"/>
      <c r="I217" s="54"/>
      <c r="J217" s="54"/>
      <c r="K217" s="54"/>
      <c r="L217" s="35"/>
      <c r="M217" s="35"/>
      <c r="N217" s="35"/>
      <c r="O217" s="7"/>
      <c r="P217" s="7"/>
    </row>
    <row r="218" spans="1:16" s="5" customFormat="1" ht="70.5">
      <c r="A218" s="54" t="s">
        <v>319</v>
      </c>
      <c r="B218" s="54" t="s">
        <v>106</v>
      </c>
      <c r="C218" s="54" t="s">
        <v>298</v>
      </c>
      <c r="D218" s="56" t="s">
        <v>67</v>
      </c>
      <c r="E218" s="54" t="s">
        <v>107</v>
      </c>
      <c r="F218" s="54" t="s">
        <v>320</v>
      </c>
      <c r="G218" s="75" t="s">
        <v>77</v>
      </c>
      <c r="H218" s="54"/>
      <c r="I218" s="54"/>
      <c r="J218" s="54"/>
      <c r="K218" s="54"/>
      <c r="L218" s="35"/>
      <c r="M218" s="35"/>
      <c r="N218" s="35"/>
      <c r="O218" s="7"/>
      <c r="P218" s="7"/>
    </row>
    <row r="219" spans="1:16" s="5" customFormat="1" ht="47">
      <c r="A219" s="54" t="s">
        <v>321</v>
      </c>
      <c r="B219" s="54" t="s">
        <v>65</v>
      </c>
      <c r="C219" s="54" t="s">
        <v>298</v>
      </c>
      <c r="D219" s="56" t="s">
        <v>67</v>
      </c>
      <c r="E219" s="54" t="s">
        <v>84</v>
      </c>
      <c r="F219" s="54" t="s">
        <v>69</v>
      </c>
      <c r="G219" s="75" t="s">
        <v>77</v>
      </c>
      <c r="H219" s="54"/>
      <c r="I219" s="54"/>
      <c r="J219" s="54"/>
      <c r="K219" s="54"/>
      <c r="L219" s="35"/>
      <c r="M219" s="35"/>
      <c r="N219" s="35"/>
      <c r="O219" s="7"/>
      <c r="P219" s="7"/>
    </row>
    <row r="220" spans="1:16" s="5" customFormat="1" ht="70.5">
      <c r="A220" s="54" t="s">
        <v>322</v>
      </c>
      <c r="B220" s="54" t="s">
        <v>106</v>
      </c>
      <c r="C220" s="54" t="s">
        <v>298</v>
      </c>
      <c r="D220" s="56" t="s">
        <v>67</v>
      </c>
      <c r="E220" s="54" t="s">
        <v>107</v>
      </c>
      <c r="F220" s="54" t="s">
        <v>320</v>
      </c>
      <c r="G220" s="75" t="s">
        <v>77</v>
      </c>
      <c r="H220" s="54"/>
      <c r="I220" s="54"/>
      <c r="J220" s="54"/>
      <c r="K220" s="54"/>
      <c r="L220" s="35"/>
      <c r="M220" s="35"/>
      <c r="N220" s="35"/>
      <c r="O220" s="7"/>
      <c r="P220" s="7"/>
    </row>
    <row r="221" spans="1:16" s="5" customFormat="1" ht="47">
      <c r="A221" s="54" t="s">
        <v>323</v>
      </c>
      <c r="B221" s="54" t="s">
        <v>65</v>
      </c>
      <c r="C221" s="54" t="s">
        <v>298</v>
      </c>
      <c r="D221" s="56" t="s">
        <v>67</v>
      </c>
      <c r="E221" s="54" t="s">
        <v>68</v>
      </c>
      <c r="F221" s="54" t="s">
        <v>69</v>
      </c>
      <c r="G221" s="75" t="s">
        <v>77</v>
      </c>
      <c r="H221" s="54"/>
      <c r="I221" s="54"/>
      <c r="J221" s="54"/>
      <c r="K221" s="54"/>
      <c r="L221" s="35"/>
      <c r="M221" s="35"/>
      <c r="N221" s="35"/>
      <c r="O221" s="7"/>
      <c r="P221" s="7"/>
    </row>
    <row r="222" spans="1:16" s="5" customFormat="1" ht="47">
      <c r="A222" s="54" t="s">
        <v>324</v>
      </c>
      <c r="B222" s="54" t="s">
        <v>65</v>
      </c>
      <c r="C222" s="54" t="s">
        <v>298</v>
      </c>
      <c r="D222" s="56" t="s">
        <v>67</v>
      </c>
      <c r="E222" s="54" t="s">
        <v>75</v>
      </c>
      <c r="F222" s="54" t="s">
        <v>76</v>
      </c>
      <c r="G222" s="75" t="s">
        <v>77</v>
      </c>
      <c r="H222" s="54"/>
      <c r="I222" s="54"/>
      <c r="J222" s="54"/>
      <c r="K222" s="54"/>
      <c r="L222" s="35"/>
      <c r="M222" s="35"/>
      <c r="N222" s="35"/>
      <c r="O222" s="7"/>
      <c r="P222" s="7"/>
    </row>
    <row r="223" spans="1:16" s="5" customFormat="1" ht="70.5">
      <c r="A223" s="54" t="s">
        <v>325</v>
      </c>
      <c r="B223" s="54" t="s">
        <v>65</v>
      </c>
      <c r="C223" s="54" t="s">
        <v>298</v>
      </c>
      <c r="D223" s="56" t="s">
        <v>67</v>
      </c>
      <c r="E223" s="54" t="s">
        <v>68</v>
      </c>
      <c r="F223" s="54" t="s">
        <v>76</v>
      </c>
      <c r="G223" s="74" t="s">
        <v>70</v>
      </c>
      <c r="H223" s="54"/>
      <c r="I223" s="54"/>
      <c r="J223" s="54"/>
      <c r="K223" s="54"/>
      <c r="L223" s="35"/>
      <c r="M223" s="35"/>
      <c r="N223" s="35"/>
      <c r="O223" s="7"/>
      <c r="P223" s="7"/>
    </row>
    <row r="224" spans="1:16" s="5" customFormat="1" ht="70.5">
      <c r="A224" s="54" t="s">
        <v>326</v>
      </c>
      <c r="B224" s="54" t="s">
        <v>65</v>
      </c>
      <c r="C224" s="54" t="s">
        <v>298</v>
      </c>
      <c r="D224" s="56" t="s">
        <v>67</v>
      </c>
      <c r="E224" s="54" t="s">
        <v>68</v>
      </c>
      <c r="F224" s="54" t="s">
        <v>76</v>
      </c>
      <c r="G224" s="74" t="s">
        <v>70</v>
      </c>
      <c r="H224" s="54"/>
      <c r="I224" s="54"/>
      <c r="J224" s="54"/>
      <c r="K224" s="54"/>
      <c r="L224" s="35"/>
      <c r="M224" s="35"/>
      <c r="N224" s="35"/>
      <c r="O224" s="7"/>
      <c r="P224" s="7"/>
    </row>
    <row r="225" spans="1:16" s="5" customFormat="1" ht="47">
      <c r="A225" s="54" t="s">
        <v>327</v>
      </c>
      <c r="B225" s="54" t="s">
        <v>65</v>
      </c>
      <c r="C225" s="54" t="s">
        <v>298</v>
      </c>
      <c r="D225" s="56" t="s">
        <v>67</v>
      </c>
      <c r="E225" s="54" t="s">
        <v>84</v>
      </c>
      <c r="F225" s="54" t="s">
        <v>76</v>
      </c>
      <c r="G225" s="75" t="s">
        <v>77</v>
      </c>
      <c r="H225" s="54"/>
      <c r="I225" s="54"/>
      <c r="J225" s="54"/>
      <c r="K225" s="54"/>
      <c r="L225" s="35"/>
      <c r="M225" s="35"/>
      <c r="N225" s="35"/>
      <c r="O225" s="7"/>
      <c r="P225" s="7"/>
    </row>
    <row r="226" spans="1:16" s="5" customFormat="1" ht="70.5">
      <c r="A226" s="54" t="s">
        <v>328</v>
      </c>
      <c r="B226" s="54" t="s">
        <v>65</v>
      </c>
      <c r="C226" s="54" t="s">
        <v>298</v>
      </c>
      <c r="D226" s="56" t="s">
        <v>67</v>
      </c>
      <c r="E226" s="54" t="s">
        <v>68</v>
      </c>
      <c r="F226" s="54" t="s">
        <v>69</v>
      </c>
      <c r="G226" s="75" t="s">
        <v>77</v>
      </c>
      <c r="H226" s="54"/>
      <c r="I226" s="54"/>
      <c r="J226" s="54"/>
      <c r="K226" s="54"/>
      <c r="L226" s="35"/>
      <c r="M226" s="35"/>
      <c r="N226" s="35"/>
      <c r="O226" s="7"/>
      <c r="P226" s="7"/>
    </row>
    <row r="227" spans="1:16" s="5" customFormat="1" ht="70.5">
      <c r="A227" s="54" t="s">
        <v>329</v>
      </c>
      <c r="B227" s="54" t="s">
        <v>106</v>
      </c>
      <c r="C227" s="54" t="s">
        <v>298</v>
      </c>
      <c r="D227" s="56" t="s">
        <v>67</v>
      </c>
      <c r="E227" s="54" t="s">
        <v>107</v>
      </c>
      <c r="F227" s="54" t="s">
        <v>69</v>
      </c>
      <c r="G227" s="74" t="s">
        <v>70</v>
      </c>
      <c r="H227" s="54"/>
      <c r="I227" s="54"/>
      <c r="J227" s="54"/>
      <c r="K227" s="54"/>
      <c r="L227" s="35"/>
      <c r="M227" s="35"/>
      <c r="N227" s="35"/>
      <c r="O227" s="7"/>
      <c r="P227" s="7"/>
    </row>
    <row r="228" spans="1:16" s="5" customFormat="1" ht="70.5">
      <c r="A228" s="54" t="s">
        <v>330</v>
      </c>
      <c r="B228" s="54" t="s">
        <v>106</v>
      </c>
      <c r="C228" s="54" t="s">
        <v>298</v>
      </c>
      <c r="D228" s="56" t="s">
        <v>67</v>
      </c>
      <c r="E228" s="54" t="s">
        <v>107</v>
      </c>
      <c r="F228" s="54" t="s">
        <v>69</v>
      </c>
      <c r="G228" s="75" t="s">
        <v>77</v>
      </c>
      <c r="H228" s="54"/>
      <c r="I228" s="54"/>
      <c r="J228" s="54"/>
      <c r="K228" s="54"/>
      <c r="L228" s="35"/>
      <c r="M228" s="35"/>
      <c r="N228" s="35"/>
      <c r="O228" s="7"/>
      <c r="P228" s="7"/>
    </row>
    <row r="229" spans="1:16" s="5" customFormat="1" ht="47">
      <c r="A229" s="54" t="s">
        <v>331</v>
      </c>
      <c r="B229" s="54" t="s">
        <v>65</v>
      </c>
      <c r="C229" s="54" t="s">
        <v>298</v>
      </c>
      <c r="D229" s="56" t="s">
        <v>67</v>
      </c>
      <c r="E229" s="54" t="s">
        <v>84</v>
      </c>
      <c r="F229" s="54" t="s">
        <v>76</v>
      </c>
      <c r="G229" s="75" t="s">
        <v>77</v>
      </c>
      <c r="H229" s="54"/>
      <c r="I229" s="54"/>
      <c r="J229" s="54"/>
      <c r="K229" s="54"/>
      <c r="L229" s="35"/>
      <c r="M229" s="35"/>
      <c r="N229" s="35"/>
      <c r="O229" s="7"/>
      <c r="P229" s="7"/>
    </row>
    <row r="230" spans="1:16" s="5" customFormat="1" ht="70.5">
      <c r="A230" s="54" t="s">
        <v>332</v>
      </c>
      <c r="B230" s="54" t="s">
        <v>65</v>
      </c>
      <c r="C230" s="54" t="s">
        <v>298</v>
      </c>
      <c r="D230" s="56" t="s">
        <v>67</v>
      </c>
      <c r="E230" s="54" t="s">
        <v>68</v>
      </c>
      <c r="F230" s="54" t="s">
        <v>69</v>
      </c>
      <c r="G230" s="75" t="s">
        <v>77</v>
      </c>
      <c r="H230" s="54"/>
      <c r="I230" s="54"/>
      <c r="J230" s="54"/>
      <c r="K230" s="54"/>
      <c r="L230" s="35"/>
      <c r="M230" s="35"/>
      <c r="N230" s="35"/>
      <c r="O230" s="7"/>
      <c r="P230" s="7"/>
    </row>
    <row r="231" spans="1:16" s="5" customFormat="1" ht="70.5">
      <c r="A231" s="54" t="s">
        <v>333</v>
      </c>
      <c r="B231" s="54" t="s">
        <v>65</v>
      </c>
      <c r="C231" s="54" t="s">
        <v>334</v>
      </c>
      <c r="D231" s="56" t="s">
        <v>67</v>
      </c>
      <c r="E231" s="54" t="s">
        <v>68</v>
      </c>
      <c r="F231" s="54" t="s">
        <v>76</v>
      </c>
      <c r="G231" s="74" t="s">
        <v>70</v>
      </c>
      <c r="H231" s="54"/>
      <c r="I231" s="54"/>
      <c r="J231" s="54"/>
      <c r="K231" s="54"/>
      <c r="L231" s="35"/>
      <c r="M231" s="35"/>
      <c r="N231" s="35"/>
      <c r="O231" s="7"/>
      <c r="P231" s="7"/>
    </row>
    <row r="232" spans="1:16" s="5" customFormat="1" ht="70.5">
      <c r="A232" s="54" t="s">
        <v>335</v>
      </c>
      <c r="B232" s="54" t="s">
        <v>106</v>
      </c>
      <c r="C232" s="54" t="s">
        <v>298</v>
      </c>
      <c r="D232" s="56" t="s">
        <v>67</v>
      </c>
      <c r="E232" s="54" t="s">
        <v>107</v>
      </c>
      <c r="F232" s="54" t="s">
        <v>320</v>
      </c>
      <c r="G232" s="74" t="s">
        <v>70</v>
      </c>
      <c r="H232" s="54"/>
      <c r="I232" s="54"/>
      <c r="J232" s="54"/>
      <c r="K232" s="54"/>
      <c r="L232" s="35"/>
      <c r="M232" s="35"/>
      <c r="N232" s="35"/>
      <c r="O232" s="7"/>
      <c r="P232" s="7"/>
    </row>
    <row r="233" spans="1:16" s="5" customFormat="1" ht="70.5">
      <c r="A233" s="54" t="s">
        <v>336</v>
      </c>
      <c r="B233" s="54" t="s">
        <v>106</v>
      </c>
      <c r="C233" s="54" t="s">
        <v>298</v>
      </c>
      <c r="D233" s="56" t="s">
        <v>67</v>
      </c>
      <c r="E233" s="54" t="s">
        <v>107</v>
      </c>
      <c r="F233" s="54" t="s">
        <v>69</v>
      </c>
      <c r="G233" s="75" t="s">
        <v>77</v>
      </c>
      <c r="H233" s="54"/>
      <c r="I233" s="54"/>
      <c r="J233" s="54"/>
      <c r="K233" s="54"/>
      <c r="L233" s="35"/>
      <c r="M233" s="35"/>
      <c r="N233" s="35"/>
      <c r="O233" s="7"/>
      <c r="P233" s="7"/>
    </row>
    <row r="234" spans="1:16" s="5" customFormat="1" ht="70.5">
      <c r="A234" s="54" t="s">
        <v>337</v>
      </c>
      <c r="B234" s="54" t="s">
        <v>65</v>
      </c>
      <c r="C234" s="54" t="s">
        <v>298</v>
      </c>
      <c r="D234" s="56" t="s">
        <v>67</v>
      </c>
      <c r="E234" s="54" t="s">
        <v>84</v>
      </c>
      <c r="F234" s="54" t="s">
        <v>306</v>
      </c>
      <c r="G234" s="75" t="s">
        <v>77</v>
      </c>
      <c r="H234" s="54"/>
      <c r="I234" s="54"/>
      <c r="J234" s="54"/>
      <c r="K234" s="54"/>
      <c r="L234" s="35"/>
      <c r="M234" s="35"/>
      <c r="N234" s="35"/>
      <c r="O234" s="7"/>
      <c r="P234" s="7"/>
    </row>
    <row r="235" spans="1:16" s="5" customFormat="1" ht="70.5">
      <c r="A235" s="54" t="s">
        <v>338</v>
      </c>
      <c r="B235" s="54" t="s">
        <v>65</v>
      </c>
      <c r="C235" s="54" t="s">
        <v>298</v>
      </c>
      <c r="D235" s="56" t="s">
        <v>67</v>
      </c>
      <c r="E235" s="54" t="s">
        <v>68</v>
      </c>
      <c r="F235" s="54" t="s">
        <v>69</v>
      </c>
      <c r="G235" s="75" t="s">
        <v>77</v>
      </c>
      <c r="H235" s="54"/>
      <c r="I235" s="54"/>
      <c r="J235" s="54"/>
      <c r="K235" s="54"/>
      <c r="L235" s="35"/>
      <c r="M235" s="35"/>
      <c r="N235" s="35"/>
      <c r="O235" s="7"/>
      <c r="P235" s="7"/>
    </row>
    <row r="236" spans="1:16" s="5" customFormat="1" ht="70.5">
      <c r="A236" s="54" t="s">
        <v>339</v>
      </c>
      <c r="B236" s="54" t="s">
        <v>106</v>
      </c>
      <c r="C236" s="54" t="s">
        <v>298</v>
      </c>
      <c r="D236" s="56" t="s">
        <v>67</v>
      </c>
      <c r="E236" s="54" t="s">
        <v>107</v>
      </c>
      <c r="F236" s="54" t="s">
        <v>69</v>
      </c>
      <c r="G236" s="75" t="s">
        <v>77</v>
      </c>
      <c r="H236" s="54"/>
      <c r="I236" s="54"/>
      <c r="J236" s="54"/>
      <c r="K236" s="54"/>
      <c r="L236" s="35"/>
      <c r="M236" s="35"/>
      <c r="N236" s="35"/>
      <c r="O236" s="7"/>
      <c r="P236" s="7"/>
    </row>
    <row r="237" spans="1:16" s="5" customFormat="1" ht="70.5">
      <c r="A237" s="54" t="s">
        <v>340</v>
      </c>
      <c r="B237" s="54" t="s">
        <v>106</v>
      </c>
      <c r="C237" s="54" t="s">
        <v>298</v>
      </c>
      <c r="D237" s="56" t="s">
        <v>67</v>
      </c>
      <c r="E237" s="54" t="s">
        <v>107</v>
      </c>
      <c r="F237" s="54" t="s">
        <v>69</v>
      </c>
      <c r="G237" s="75" t="s">
        <v>77</v>
      </c>
      <c r="H237" s="54"/>
      <c r="I237" s="54"/>
      <c r="J237" s="54"/>
      <c r="K237" s="54"/>
      <c r="L237" s="35"/>
      <c r="M237" s="35"/>
      <c r="N237" s="35"/>
      <c r="O237" s="7"/>
      <c r="P237" s="7"/>
    </row>
    <row r="238" spans="1:16" s="5" customFormat="1" ht="70.5">
      <c r="A238" s="54" t="s">
        <v>341</v>
      </c>
      <c r="B238" s="54" t="s">
        <v>65</v>
      </c>
      <c r="C238" s="54" t="s">
        <v>298</v>
      </c>
      <c r="D238" s="56" t="s">
        <v>67</v>
      </c>
      <c r="E238" s="54" t="s">
        <v>75</v>
      </c>
      <c r="F238" s="54" t="s">
        <v>69</v>
      </c>
      <c r="G238" s="75" t="s">
        <v>77</v>
      </c>
      <c r="H238" s="54"/>
      <c r="I238" s="54"/>
      <c r="J238" s="54"/>
      <c r="K238" s="54"/>
      <c r="L238" s="35"/>
      <c r="M238" s="35"/>
      <c r="N238" s="35"/>
      <c r="O238" s="7"/>
      <c r="P238" s="7"/>
    </row>
    <row r="239" spans="1:16" s="5" customFormat="1" ht="70.5">
      <c r="A239" s="54" t="s">
        <v>342</v>
      </c>
      <c r="B239" s="54" t="s">
        <v>65</v>
      </c>
      <c r="C239" s="54" t="s">
        <v>298</v>
      </c>
      <c r="D239" s="56" t="s">
        <v>67</v>
      </c>
      <c r="E239" s="54" t="s">
        <v>68</v>
      </c>
      <c r="F239" s="54" t="s">
        <v>76</v>
      </c>
      <c r="G239" s="75" t="s">
        <v>77</v>
      </c>
      <c r="H239" s="54"/>
      <c r="I239" s="54"/>
      <c r="J239" s="54"/>
      <c r="K239" s="54"/>
      <c r="L239" s="35"/>
      <c r="M239" s="35"/>
      <c r="N239" s="35"/>
      <c r="O239" s="7"/>
      <c r="P239" s="7"/>
    </row>
    <row r="240" spans="1:16" s="5" customFormat="1" ht="47">
      <c r="A240" s="54" t="s">
        <v>343</v>
      </c>
      <c r="B240" s="54" t="s">
        <v>65</v>
      </c>
      <c r="C240" s="54" t="s">
        <v>298</v>
      </c>
      <c r="D240" s="56" t="s">
        <v>67</v>
      </c>
      <c r="E240" s="54" t="s">
        <v>68</v>
      </c>
      <c r="F240" s="54" t="s">
        <v>69</v>
      </c>
      <c r="G240" s="75" t="s">
        <v>77</v>
      </c>
      <c r="H240" s="54"/>
      <c r="I240" s="54"/>
      <c r="J240" s="54"/>
      <c r="K240" s="54"/>
      <c r="L240" s="35"/>
      <c r="M240" s="35"/>
      <c r="N240" s="35"/>
      <c r="O240" s="7"/>
      <c r="P240" s="7"/>
    </row>
    <row r="241" spans="1:16" s="5" customFormat="1" ht="70.5">
      <c r="A241" s="54" t="s">
        <v>344</v>
      </c>
      <c r="B241" s="54" t="s">
        <v>106</v>
      </c>
      <c r="C241" s="54" t="s">
        <v>298</v>
      </c>
      <c r="D241" s="56" t="s">
        <v>67</v>
      </c>
      <c r="E241" s="54" t="s">
        <v>107</v>
      </c>
      <c r="F241" s="54" t="s">
        <v>69</v>
      </c>
      <c r="G241" s="75" t="s">
        <v>77</v>
      </c>
      <c r="H241" s="54"/>
      <c r="I241" s="54"/>
      <c r="J241" s="54"/>
      <c r="K241" s="54"/>
      <c r="L241" s="35"/>
      <c r="M241" s="35"/>
      <c r="N241" s="35"/>
      <c r="O241" s="7"/>
      <c r="P241" s="7"/>
    </row>
    <row r="242" spans="1:16" s="5" customFormat="1" ht="70.5">
      <c r="A242" s="54" t="s">
        <v>345</v>
      </c>
      <c r="B242" s="54" t="s">
        <v>65</v>
      </c>
      <c r="C242" s="54" t="s">
        <v>298</v>
      </c>
      <c r="D242" s="56" t="s">
        <v>67</v>
      </c>
      <c r="E242" s="54" t="s">
        <v>68</v>
      </c>
      <c r="F242" s="54" t="s">
        <v>69</v>
      </c>
      <c r="G242" s="74" t="s">
        <v>70</v>
      </c>
      <c r="H242" s="54"/>
      <c r="I242" s="54"/>
      <c r="J242" s="54"/>
      <c r="K242" s="54"/>
      <c r="L242" s="35"/>
      <c r="M242" s="35"/>
      <c r="N242" s="35"/>
      <c r="O242" s="7"/>
      <c r="P242" s="7"/>
    </row>
    <row r="243" spans="1:16" s="5" customFormat="1" ht="70.5">
      <c r="A243" s="54" t="s">
        <v>346</v>
      </c>
      <c r="B243" s="54" t="s">
        <v>65</v>
      </c>
      <c r="C243" s="54" t="s">
        <v>298</v>
      </c>
      <c r="D243" s="56" t="s">
        <v>67</v>
      </c>
      <c r="E243" s="54" t="s">
        <v>84</v>
      </c>
      <c r="F243" s="54" t="s">
        <v>69</v>
      </c>
      <c r="G243" s="75" t="s">
        <v>77</v>
      </c>
      <c r="H243" s="54"/>
      <c r="I243" s="54"/>
      <c r="J243" s="54"/>
      <c r="K243" s="54"/>
      <c r="L243" s="35"/>
      <c r="M243" s="35"/>
      <c r="N243" s="35"/>
      <c r="O243" s="7"/>
      <c r="P243" s="7"/>
    </row>
    <row r="244" spans="1:16" s="5" customFormat="1" ht="70.5">
      <c r="A244" s="54" t="s">
        <v>347</v>
      </c>
      <c r="B244" s="54" t="s">
        <v>65</v>
      </c>
      <c r="C244" s="54" t="s">
        <v>298</v>
      </c>
      <c r="D244" s="56" t="s">
        <v>67</v>
      </c>
      <c r="E244" s="54" t="s">
        <v>107</v>
      </c>
      <c r="F244" s="54" t="s">
        <v>69</v>
      </c>
      <c r="G244" s="75" t="s">
        <v>77</v>
      </c>
      <c r="H244" s="54"/>
      <c r="I244" s="54"/>
      <c r="J244" s="54"/>
      <c r="K244" s="54"/>
      <c r="L244" s="35"/>
      <c r="M244" s="35"/>
      <c r="N244" s="35"/>
      <c r="O244" s="7"/>
      <c r="P244" s="7"/>
    </row>
    <row r="245" spans="1:16" s="5" customFormat="1" ht="70.5">
      <c r="A245" s="54" t="s">
        <v>348</v>
      </c>
      <c r="B245" s="54" t="s">
        <v>65</v>
      </c>
      <c r="C245" s="54" t="s">
        <v>298</v>
      </c>
      <c r="D245" s="56" t="s">
        <v>67</v>
      </c>
      <c r="E245" s="54" t="s">
        <v>68</v>
      </c>
      <c r="F245" s="54" t="s">
        <v>69</v>
      </c>
      <c r="G245" s="74" t="s">
        <v>70</v>
      </c>
      <c r="H245" s="54"/>
      <c r="I245" s="54"/>
      <c r="J245" s="54"/>
      <c r="K245" s="54"/>
      <c r="L245" s="35"/>
      <c r="M245" s="35"/>
      <c r="N245" s="35"/>
      <c r="O245" s="7"/>
      <c r="P245" s="7"/>
    </row>
    <row r="246" spans="1:16" s="5" customFormat="1" ht="70.5">
      <c r="A246" s="54" t="s">
        <v>349</v>
      </c>
      <c r="B246" s="54" t="s">
        <v>65</v>
      </c>
      <c r="C246" s="54" t="s">
        <v>298</v>
      </c>
      <c r="D246" s="56" t="s">
        <v>67</v>
      </c>
      <c r="E246" s="54" t="s">
        <v>75</v>
      </c>
      <c r="F246" s="54" t="s">
        <v>69</v>
      </c>
      <c r="G246" s="75" t="s">
        <v>77</v>
      </c>
      <c r="H246" s="54"/>
      <c r="I246" s="54"/>
      <c r="J246" s="54"/>
      <c r="K246" s="54"/>
      <c r="L246" s="35"/>
      <c r="M246" s="35"/>
      <c r="N246" s="35"/>
      <c r="O246" s="7"/>
      <c r="P246" s="7"/>
    </row>
    <row r="247" spans="1:16" s="5" customFormat="1" ht="47">
      <c r="A247" s="54" t="s">
        <v>350</v>
      </c>
      <c r="B247" s="54" t="s">
        <v>65</v>
      </c>
      <c r="C247" s="54" t="s">
        <v>298</v>
      </c>
      <c r="D247" s="56" t="s">
        <v>67</v>
      </c>
      <c r="E247" s="54" t="s">
        <v>68</v>
      </c>
      <c r="F247" s="54" t="s">
        <v>320</v>
      </c>
      <c r="G247" s="75" t="s">
        <v>77</v>
      </c>
      <c r="H247" s="54"/>
      <c r="I247" s="54"/>
      <c r="J247" s="54"/>
      <c r="K247" s="54"/>
      <c r="L247" s="35"/>
      <c r="M247" s="35"/>
      <c r="N247" s="35"/>
      <c r="O247" s="7"/>
      <c r="P247" s="7"/>
    </row>
    <row r="248" spans="1:16" s="5" customFormat="1" ht="70.5">
      <c r="A248" s="54" t="s">
        <v>351</v>
      </c>
      <c r="B248" s="54" t="s">
        <v>65</v>
      </c>
      <c r="C248" s="54" t="s">
        <v>298</v>
      </c>
      <c r="D248" s="56" t="s">
        <v>67</v>
      </c>
      <c r="E248" s="54" t="s">
        <v>68</v>
      </c>
      <c r="F248" s="54" t="s">
        <v>352</v>
      </c>
      <c r="G248" s="75" t="s">
        <v>77</v>
      </c>
      <c r="H248" s="54"/>
      <c r="I248" s="54"/>
      <c r="J248" s="54"/>
      <c r="K248" s="54"/>
      <c r="L248" s="35"/>
      <c r="M248" s="35"/>
      <c r="N248" s="35"/>
      <c r="O248" s="7"/>
      <c r="P248" s="7"/>
    </row>
    <row r="249" spans="1:16" s="5" customFormat="1" ht="70.5">
      <c r="A249" s="54" t="s">
        <v>353</v>
      </c>
      <c r="B249" s="54" t="s">
        <v>65</v>
      </c>
      <c r="C249" s="54" t="s">
        <v>298</v>
      </c>
      <c r="D249" s="56" t="s">
        <v>67</v>
      </c>
      <c r="E249" s="54" t="s">
        <v>68</v>
      </c>
      <c r="F249" s="54" t="s">
        <v>352</v>
      </c>
      <c r="G249" s="74" t="s">
        <v>70</v>
      </c>
      <c r="H249" s="54"/>
      <c r="I249" s="54"/>
      <c r="J249" s="54"/>
      <c r="K249" s="54"/>
      <c r="L249" s="35"/>
      <c r="M249" s="35"/>
      <c r="N249" s="35"/>
      <c r="O249" s="7"/>
      <c r="P249" s="7"/>
    </row>
    <row r="250" spans="1:16" s="5" customFormat="1" ht="70.5">
      <c r="A250" s="54" t="s">
        <v>354</v>
      </c>
      <c r="B250" s="54" t="s">
        <v>65</v>
      </c>
      <c r="C250" s="54" t="s">
        <v>298</v>
      </c>
      <c r="D250" s="56" t="s">
        <v>67</v>
      </c>
      <c r="E250" s="54" t="s">
        <v>84</v>
      </c>
      <c r="F250" s="54" t="s">
        <v>76</v>
      </c>
      <c r="G250" s="75" t="s">
        <v>77</v>
      </c>
      <c r="H250" s="54"/>
      <c r="I250" s="54"/>
      <c r="J250" s="54"/>
      <c r="K250" s="54"/>
      <c r="L250" s="35"/>
      <c r="M250" s="35"/>
      <c r="N250" s="35"/>
      <c r="O250" s="7"/>
      <c r="P250" s="7"/>
    </row>
    <row r="251" spans="1:16" s="5" customFormat="1" ht="47">
      <c r="A251" s="54" t="s">
        <v>355</v>
      </c>
      <c r="B251" s="54" t="s">
        <v>65</v>
      </c>
      <c r="C251" s="54" t="s">
        <v>298</v>
      </c>
      <c r="D251" s="56" t="s">
        <v>67</v>
      </c>
      <c r="E251" s="54" t="s">
        <v>84</v>
      </c>
      <c r="F251" s="54" t="s">
        <v>76</v>
      </c>
      <c r="G251" s="75" t="s">
        <v>77</v>
      </c>
      <c r="H251" s="54"/>
      <c r="I251" s="54"/>
      <c r="J251" s="54"/>
      <c r="K251" s="54"/>
      <c r="L251" s="35"/>
      <c r="M251" s="35"/>
      <c r="N251" s="35"/>
      <c r="O251" s="7"/>
      <c r="P251" s="7"/>
    </row>
    <row r="252" spans="1:16" s="5" customFormat="1" ht="47">
      <c r="A252" s="54" t="s">
        <v>356</v>
      </c>
      <c r="B252" s="54" t="s">
        <v>65</v>
      </c>
      <c r="C252" s="54" t="s">
        <v>298</v>
      </c>
      <c r="D252" s="56" t="s">
        <v>67</v>
      </c>
      <c r="E252" s="54" t="s">
        <v>84</v>
      </c>
      <c r="F252" s="54" t="s">
        <v>76</v>
      </c>
      <c r="G252" s="75" t="s">
        <v>77</v>
      </c>
      <c r="H252" s="54"/>
      <c r="I252" s="54"/>
      <c r="J252" s="54"/>
      <c r="K252" s="54"/>
      <c r="L252" s="35"/>
      <c r="M252" s="35"/>
      <c r="N252" s="35"/>
      <c r="O252" s="7"/>
      <c r="P252" s="7"/>
    </row>
    <row r="253" spans="1:16" s="5" customFormat="1" ht="47">
      <c r="A253" s="54" t="s">
        <v>357</v>
      </c>
      <c r="B253" s="54" t="s">
        <v>65</v>
      </c>
      <c r="C253" s="54" t="s">
        <v>298</v>
      </c>
      <c r="D253" s="56" t="s">
        <v>67</v>
      </c>
      <c r="E253" s="54" t="s">
        <v>84</v>
      </c>
      <c r="F253" s="54" t="s">
        <v>76</v>
      </c>
      <c r="G253" s="75" t="s">
        <v>77</v>
      </c>
      <c r="H253" s="54"/>
      <c r="I253" s="54"/>
      <c r="J253" s="54"/>
      <c r="K253" s="54"/>
      <c r="L253" s="35"/>
      <c r="M253" s="35"/>
      <c r="N253" s="35"/>
      <c r="O253" s="7"/>
      <c r="P253" s="7"/>
    </row>
    <row r="254" spans="1:16" s="5" customFormat="1" ht="70.5">
      <c r="A254" s="54" t="s">
        <v>875</v>
      </c>
      <c r="B254" s="54" t="s">
        <v>65</v>
      </c>
      <c r="C254" s="54" t="s">
        <v>298</v>
      </c>
      <c r="D254" s="56" t="s">
        <v>67</v>
      </c>
      <c r="E254" s="54" t="s">
        <v>84</v>
      </c>
      <c r="F254" s="54" t="s">
        <v>69</v>
      </c>
      <c r="G254" s="75" t="s">
        <v>77</v>
      </c>
      <c r="H254" s="54"/>
      <c r="I254" s="54"/>
      <c r="J254" s="54"/>
      <c r="K254" s="54"/>
      <c r="L254" s="35"/>
      <c r="M254" s="35"/>
      <c r="N254" s="35"/>
      <c r="O254" s="7"/>
      <c r="P254" s="7"/>
    </row>
    <row r="255" spans="1:16" s="5" customFormat="1" ht="47">
      <c r="A255" s="54" t="s">
        <v>358</v>
      </c>
      <c r="B255" s="54" t="s">
        <v>359</v>
      </c>
      <c r="C255" s="54" t="s">
        <v>298</v>
      </c>
      <c r="D255" s="56" t="s">
        <v>67</v>
      </c>
      <c r="E255" s="54" t="s">
        <v>76</v>
      </c>
      <c r="F255" s="54" t="s">
        <v>76</v>
      </c>
      <c r="G255" s="76" t="s">
        <v>360</v>
      </c>
      <c r="H255" s="54"/>
      <c r="I255" s="54"/>
      <c r="J255" s="54"/>
      <c r="K255" s="54"/>
      <c r="L255" s="35"/>
      <c r="M255" s="35"/>
      <c r="N255" s="35"/>
      <c r="O255" s="7"/>
      <c r="P255" s="7"/>
    </row>
    <row r="256" spans="1:16" s="5" customFormat="1" ht="70.5">
      <c r="A256" s="54" t="s">
        <v>361</v>
      </c>
      <c r="B256" s="54" t="s">
        <v>65</v>
      </c>
      <c r="C256" s="54" t="s">
        <v>298</v>
      </c>
      <c r="D256" s="56" t="s">
        <v>67</v>
      </c>
      <c r="E256" s="54" t="s">
        <v>68</v>
      </c>
      <c r="F256" s="54" t="s">
        <v>76</v>
      </c>
      <c r="G256" s="76" t="s">
        <v>360</v>
      </c>
      <c r="H256" s="54"/>
      <c r="I256" s="54"/>
      <c r="J256" s="54"/>
      <c r="K256" s="54"/>
      <c r="L256" s="35"/>
      <c r="M256" s="35"/>
      <c r="N256" s="35"/>
      <c r="O256" s="7"/>
      <c r="P256" s="7"/>
    </row>
    <row r="257" spans="1:16" s="5" customFormat="1" ht="70.5">
      <c r="A257" s="54" t="s">
        <v>362</v>
      </c>
      <c r="B257" s="54" t="s">
        <v>65</v>
      </c>
      <c r="C257" s="54" t="s">
        <v>363</v>
      </c>
      <c r="D257" s="57" t="s">
        <v>74</v>
      </c>
      <c r="E257" s="54" t="s">
        <v>68</v>
      </c>
      <c r="F257" s="54" t="s">
        <v>69</v>
      </c>
      <c r="G257" s="74" t="s">
        <v>70</v>
      </c>
      <c r="H257" s="54"/>
      <c r="I257" s="54"/>
      <c r="J257" s="54"/>
      <c r="K257" s="54" t="s">
        <v>364</v>
      </c>
      <c r="L257" s="35"/>
      <c r="M257" s="35"/>
      <c r="N257" s="35"/>
      <c r="O257" s="7"/>
      <c r="P257" s="7"/>
    </row>
    <row r="258" spans="1:16" s="5" customFormat="1" ht="70.5">
      <c r="A258" s="54" t="s">
        <v>365</v>
      </c>
      <c r="B258" s="54" t="s">
        <v>65</v>
      </c>
      <c r="C258" s="54" t="s">
        <v>366</v>
      </c>
      <c r="D258" s="63" t="s">
        <v>67</v>
      </c>
      <c r="E258" s="54" t="s">
        <v>68</v>
      </c>
      <c r="F258" s="54" t="s">
        <v>76</v>
      </c>
      <c r="G258" s="74" t="s">
        <v>70</v>
      </c>
      <c r="H258" s="54"/>
      <c r="I258" s="54"/>
      <c r="J258" s="54"/>
      <c r="K258" s="54"/>
      <c r="L258" s="35"/>
      <c r="M258" s="35"/>
      <c r="N258" s="35"/>
      <c r="O258" s="7"/>
      <c r="P258" s="7"/>
    </row>
    <row r="259" spans="1:16" s="5" customFormat="1" ht="70.5">
      <c r="A259" s="54" t="s">
        <v>367</v>
      </c>
      <c r="B259" s="54" t="s">
        <v>65</v>
      </c>
      <c r="C259" s="54" t="s">
        <v>366</v>
      </c>
      <c r="D259" s="63" t="s">
        <v>67</v>
      </c>
      <c r="E259" s="54" t="s">
        <v>68</v>
      </c>
      <c r="F259" s="54" t="s">
        <v>76</v>
      </c>
      <c r="G259" s="74" t="s">
        <v>70</v>
      </c>
      <c r="H259" s="54"/>
      <c r="I259" s="54"/>
      <c r="J259" s="54"/>
      <c r="K259" s="54"/>
      <c r="L259" s="35"/>
      <c r="M259" s="35"/>
      <c r="N259" s="35"/>
      <c r="O259" s="7"/>
      <c r="P259" s="7"/>
    </row>
    <row r="260" spans="1:16" s="5" customFormat="1" ht="70.5">
      <c r="A260" s="54" t="s">
        <v>368</v>
      </c>
      <c r="B260" s="54" t="s">
        <v>65</v>
      </c>
      <c r="C260" s="54" t="s">
        <v>366</v>
      </c>
      <c r="D260" s="64" t="s">
        <v>67</v>
      </c>
      <c r="E260" s="54" t="s">
        <v>68</v>
      </c>
      <c r="F260" s="54" t="s">
        <v>76</v>
      </c>
      <c r="G260" s="74" t="s">
        <v>70</v>
      </c>
      <c r="H260" s="54"/>
      <c r="I260" s="54"/>
      <c r="J260" s="54"/>
      <c r="K260" s="54"/>
      <c r="L260" s="35"/>
      <c r="M260" s="35"/>
      <c r="N260" s="35"/>
      <c r="O260" s="7"/>
      <c r="P260" s="7"/>
    </row>
    <row r="261" spans="1:16" s="5" customFormat="1" ht="70.5">
      <c r="A261" s="65" t="s">
        <v>369</v>
      </c>
      <c r="B261" s="54" t="s">
        <v>65</v>
      </c>
      <c r="C261" s="54" t="s">
        <v>366</v>
      </c>
      <c r="D261" s="64" t="s">
        <v>67</v>
      </c>
      <c r="E261" s="54" t="s">
        <v>68</v>
      </c>
      <c r="F261" s="54" t="s">
        <v>76</v>
      </c>
      <c r="G261" s="74" t="s">
        <v>70</v>
      </c>
      <c r="H261" s="54"/>
      <c r="I261" s="54"/>
      <c r="J261" s="54"/>
      <c r="K261" s="54"/>
      <c r="L261" s="35"/>
      <c r="M261" s="35"/>
      <c r="N261" s="35"/>
      <c r="O261" s="7"/>
      <c r="P261" s="7"/>
    </row>
    <row r="262" spans="1:16" s="5" customFormat="1" ht="70.5">
      <c r="A262" s="54" t="s">
        <v>370</v>
      </c>
      <c r="B262" s="54" t="s">
        <v>65</v>
      </c>
      <c r="C262" s="54" t="s">
        <v>366</v>
      </c>
      <c r="D262" s="64" t="s">
        <v>67</v>
      </c>
      <c r="E262" s="54" t="s">
        <v>68</v>
      </c>
      <c r="F262" s="54" t="s">
        <v>76</v>
      </c>
      <c r="G262" s="74" t="s">
        <v>70</v>
      </c>
      <c r="H262" s="54"/>
      <c r="I262" s="54"/>
      <c r="J262" s="54"/>
      <c r="K262" s="54"/>
      <c r="L262" s="35"/>
      <c r="M262" s="35"/>
      <c r="N262" s="35"/>
      <c r="O262" s="7"/>
      <c r="P262" s="7"/>
    </row>
    <row r="263" spans="1:16" s="5" customFormat="1" ht="70.5">
      <c r="A263" s="54" t="s">
        <v>371</v>
      </c>
      <c r="B263" s="54" t="s">
        <v>65</v>
      </c>
      <c r="C263" s="54" t="s">
        <v>372</v>
      </c>
      <c r="D263" s="64" t="s">
        <v>67</v>
      </c>
      <c r="E263" s="54" t="s">
        <v>68</v>
      </c>
      <c r="F263" s="54" t="s">
        <v>76</v>
      </c>
      <c r="G263" s="74" t="s">
        <v>70</v>
      </c>
      <c r="H263" s="54"/>
      <c r="I263" s="54"/>
      <c r="J263" s="54"/>
      <c r="K263" s="54"/>
      <c r="L263" s="35"/>
      <c r="M263" s="35"/>
      <c r="N263" s="35"/>
      <c r="O263" s="7"/>
      <c r="P263" s="7"/>
    </row>
    <row r="264" spans="1:16" s="5" customFormat="1" ht="70.5">
      <c r="A264" s="54" t="s">
        <v>373</v>
      </c>
      <c r="B264" s="54" t="s">
        <v>65</v>
      </c>
      <c r="C264" s="54" t="s">
        <v>374</v>
      </c>
      <c r="D264" s="66" t="s">
        <v>67</v>
      </c>
      <c r="E264" s="54" t="s">
        <v>68</v>
      </c>
      <c r="F264" s="54" t="s">
        <v>76</v>
      </c>
      <c r="G264" s="75" t="s">
        <v>77</v>
      </c>
      <c r="H264" s="54"/>
      <c r="I264" s="54"/>
      <c r="J264" s="54"/>
      <c r="K264" s="54"/>
      <c r="L264" s="35"/>
      <c r="M264" s="35"/>
      <c r="N264" s="35"/>
      <c r="O264" s="7"/>
      <c r="P264" s="7"/>
    </row>
    <row r="265" spans="1:16" s="5" customFormat="1" ht="70.5">
      <c r="A265" s="54" t="s">
        <v>375</v>
      </c>
      <c r="B265" s="54" t="s">
        <v>65</v>
      </c>
      <c r="C265" s="54" t="s">
        <v>374</v>
      </c>
      <c r="D265" s="66" t="s">
        <v>67</v>
      </c>
      <c r="E265" s="54" t="s">
        <v>68</v>
      </c>
      <c r="F265" s="54" t="s">
        <v>69</v>
      </c>
      <c r="G265" s="75" t="s">
        <v>77</v>
      </c>
      <c r="H265" s="54"/>
      <c r="I265" s="54"/>
      <c r="J265" s="54"/>
      <c r="K265" s="54"/>
      <c r="L265" s="35"/>
      <c r="M265" s="35"/>
      <c r="N265" s="35"/>
      <c r="O265" s="7"/>
      <c r="P265" s="7"/>
    </row>
    <row r="266" spans="1:16" s="5" customFormat="1" ht="70.5">
      <c r="A266" s="54" t="s">
        <v>376</v>
      </c>
      <c r="B266" s="54" t="s">
        <v>65</v>
      </c>
      <c r="C266" s="54" t="s">
        <v>377</v>
      </c>
      <c r="D266" s="56" t="s">
        <v>67</v>
      </c>
      <c r="E266" s="54" t="s">
        <v>84</v>
      </c>
      <c r="F266" s="54" t="s">
        <v>76</v>
      </c>
      <c r="G266" s="75" t="s">
        <v>77</v>
      </c>
      <c r="H266" s="54"/>
      <c r="I266" s="54"/>
      <c r="J266" s="54"/>
      <c r="K266" s="54"/>
      <c r="L266" s="35"/>
      <c r="M266" s="35"/>
      <c r="N266" s="35"/>
      <c r="O266" s="7"/>
      <c r="P266" s="7"/>
    </row>
    <row r="267" spans="1:16" s="5" customFormat="1" ht="47">
      <c r="A267" s="54" t="s">
        <v>378</v>
      </c>
      <c r="B267" s="54" t="s">
        <v>65</v>
      </c>
      <c r="C267" s="54" t="s">
        <v>377</v>
      </c>
      <c r="D267" s="56" t="s">
        <v>67</v>
      </c>
      <c r="E267" s="54" t="s">
        <v>84</v>
      </c>
      <c r="F267" s="54" t="s">
        <v>76</v>
      </c>
      <c r="G267" s="75" t="s">
        <v>77</v>
      </c>
      <c r="H267" s="54"/>
      <c r="I267" s="54"/>
      <c r="J267" s="54"/>
      <c r="K267" s="54"/>
      <c r="L267" s="35"/>
      <c r="M267" s="35"/>
      <c r="N267" s="35"/>
      <c r="O267" s="7"/>
      <c r="P267" s="7"/>
    </row>
    <row r="268" spans="1:16" s="5" customFormat="1" ht="70.5">
      <c r="A268" s="54" t="s">
        <v>379</v>
      </c>
      <c r="B268" s="54" t="s">
        <v>65</v>
      </c>
      <c r="C268" s="54" t="s">
        <v>377</v>
      </c>
      <c r="D268" s="56" t="s">
        <v>67</v>
      </c>
      <c r="E268" s="54" t="s">
        <v>84</v>
      </c>
      <c r="F268" s="54" t="s">
        <v>76</v>
      </c>
      <c r="G268" s="75" t="s">
        <v>77</v>
      </c>
      <c r="H268" s="54"/>
      <c r="I268" s="54"/>
      <c r="J268" s="54"/>
      <c r="K268" s="54"/>
      <c r="L268" s="35"/>
      <c r="M268" s="35"/>
      <c r="N268" s="35"/>
      <c r="O268" s="7"/>
      <c r="P268" s="7"/>
    </row>
    <row r="269" spans="1:16" s="5" customFormat="1" ht="70.5">
      <c r="A269" s="54" t="s">
        <v>380</v>
      </c>
      <c r="B269" s="54" t="s">
        <v>65</v>
      </c>
      <c r="C269" s="54" t="s">
        <v>377</v>
      </c>
      <c r="D269" s="56" t="s">
        <v>67</v>
      </c>
      <c r="E269" s="54" t="s">
        <v>68</v>
      </c>
      <c r="F269" s="54" t="s">
        <v>69</v>
      </c>
      <c r="G269" s="74" t="s">
        <v>70</v>
      </c>
      <c r="H269" s="54"/>
      <c r="I269" s="54"/>
      <c r="J269" s="54"/>
      <c r="K269" s="54"/>
      <c r="L269" s="35"/>
      <c r="M269" s="35"/>
      <c r="N269" s="35"/>
      <c r="O269" s="7"/>
      <c r="P269" s="7"/>
    </row>
    <row r="270" spans="1:16" s="5" customFormat="1" ht="70.5">
      <c r="A270" s="54" t="s">
        <v>381</v>
      </c>
      <c r="B270" s="54" t="s">
        <v>65</v>
      </c>
      <c r="C270" s="54" t="s">
        <v>377</v>
      </c>
      <c r="D270" s="56" t="s">
        <v>67</v>
      </c>
      <c r="E270" s="54" t="s">
        <v>84</v>
      </c>
      <c r="F270" s="54" t="s">
        <v>76</v>
      </c>
      <c r="G270" s="75" t="s">
        <v>77</v>
      </c>
      <c r="H270" s="54"/>
      <c r="I270" s="54"/>
      <c r="J270" s="54"/>
      <c r="K270" s="54"/>
      <c r="L270" s="35"/>
      <c r="M270" s="35"/>
      <c r="N270" s="35"/>
      <c r="O270" s="7"/>
      <c r="P270" s="7"/>
    </row>
    <row r="271" spans="1:16" s="5" customFormat="1" ht="70.5">
      <c r="A271" s="54" t="s">
        <v>382</v>
      </c>
      <c r="B271" s="54" t="s">
        <v>65</v>
      </c>
      <c r="C271" s="54" t="s">
        <v>377</v>
      </c>
      <c r="D271" s="56" t="s">
        <v>67</v>
      </c>
      <c r="E271" s="54" t="s">
        <v>68</v>
      </c>
      <c r="F271" s="54" t="s">
        <v>69</v>
      </c>
      <c r="G271" s="74" t="s">
        <v>70</v>
      </c>
      <c r="H271" s="54"/>
      <c r="I271" s="54"/>
      <c r="J271" s="54"/>
      <c r="K271" s="54"/>
      <c r="L271" s="35"/>
      <c r="M271" s="35"/>
      <c r="N271" s="35"/>
      <c r="O271" s="7"/>
      <c r="P271" s="7"/>
    </row>
    <row r="272" spans="1:16" s="5" customFormat="1" ht="70.5">
      <c r="A272" s="54" t="s">
        <v>383</v>
      </c>
      <c r="B272" s="54" t="s">
        <v>65</v>
      </c>
      <c r="C272" s="54" t="s">
        <v>377</v>
      </c>
      <c r="D272" s="56" t="s">
        <v>67</v>
      </c>
      <c r="E272" s="54" t="s">
        <v>68</v>
      </c>
      <c r="F272" s="54" t="s">
        <v>69</v>
      </c>
      <c r="G272" s="75" t="s">
        <v>77</v>
      </c>
      <c r="H272" s="54"/>
      <c r="I272" s="54"/>
      <c r="J272" s="54"/>
      <c r="K272" s="54"/>
      <c r="L272" s="35"/>
      <c r="M272" s="35"/>
      <c r="N272" s="35"/>
      <c r="O272" s="7"/>
      <c r="P272" s="7"/>
    </row>
    <row r="273" spans="1:16" s="5" customFormat="1" ht="47">
      <c r="A273" s="54" t="s">
        <v>384</v>
      </c>
      <c r="B273" s="54" t="s">
        <v>65</v>
      </c>
      <c r="C273" s="54" t="s">
        <v>377</v>
      </c>
      <c r="D273" s="56" t="s">
        <v>67</v>
      </c>
      <c r="E273" s="54" t="s">
        <v>68</v>
      </c>
      <c r="F273" s="54" t="s">
        <v>69</v>
      </c>
      <c r="G273" s="75" t="s">
        <v>77</v>
      </c>
      <c r="H273" s="54"/>
      <c r="I273" s="54"/>
      <c r="J273" s="54"/>
      <c r="K273" s="54"/>
      <c r="L273" s="35"/>
      <c r="M273" s="35"/>
      <c r="N273" s="35"/>
      <c r="O273" s="7"/>
      <c r="P273" s="7"/>
    </row>
    <row r="274" spans="1:16" s="5" customFormat="1" ht="70.5">
      <c r="A274" s="54" t="s">
        <v>385</v>
      </c>
      <c r="B274" s="54" t="s">
        <v>65</v>
      </c>
      <c r="C274" s="54" t="s">
        <v>377</v>
      </c>
      <c r="D274" s="56" t="s">
        <v>67</v>
      </c>
      <c r="E274" s="54" t="s">
        <v>68</v>
      </c>
      <c r="F274" s="54" t="s">
        <v>69</v>
      </c>
      <c r="G274" s="74" t="s">
        <v>70</v>
      </c>
      <c r="H274" s="54"/>
      <c r="I274" s="54"/>
      <c r="J274" s="54"/>
      <c r="K274" s="54"/>
      <c r="L274" s="35"/>
      <c r="M274" s="35"/>
      <c r="N274" s="35"/>
      <c r="O274" s="7"/>
      <c r="P274" s="7"/>
    </row>
    <row r="275" spans="1:16" s="5" customFormat="1" ht="70.5">
      <c r="A275" s="54" t="s">
        <v>386</v>
      </c>
      <c r="B275" s="54" t="s">
        <v>65</v>
      </c>
      <c r="C275" s="54" t="s">
        <v>377</v>
      </c>
      <c r="D275" s="56" t="s">
        <v>67</v>
      </c>
      <c r="E275" s="54" t="s">
        <v>68</v>
      </c>
      <c r="F275" s="54" t="s">
        <v>69</v>
      </c>
      <c r="G275" s="75" t="s">
        <v>77</v>
      </c>
      <c r="H275" s="54"/>
      <c r="I275" s="54"/>
      <c r="J275" s="54"/>
      <c r="K275" s="54"/>
      <c r="L275" s="35"/>
      <c r="M275" s="35"/>
      <c r="N275" s="35"/>
      <c r="O275" s="7"/>
      <c r="P275" s="7"/>
    </row>
    <row r="276" spans="1:16" s="5" customFormat="1" ht="70.5">
      <c r="A276" s="54" t="s">
        <v>387</v>
      </c>
      <c r="B276" s="54" t="s">
        <v>65</v>
      </c>
      <c r="C276" s="54" t="s">
        <v>377</v>
      </c>
      <c r="D276" s="56" t="s">
        <v>67</v>
      </c>
      <c r="E276" s="54" t="s">
        <v>68</v>
      </c>
      <c r="F276" s="54" t="s">
        <v>69</v>
      </c>
      <c r="G276" s="74" t="s">
        <v>70</v>
      </c>
      <c r="H276" s="54"/>
      <c r="I276" s="54"/>
      <c r="J276" s="54"/>
      <c r="K276" s="54"/>
      <c r="L276" s="35"/>
      <c r="M276" s="35"/>
      <c r="N276" s="35"/>
      <c r="O276" s="7"/>
      <c r="P276" s="7"/>
    </row>
    <row r="277" spans="1:16" s="5" customFormat="1" ht="70.5">
      <c r="A277" s="54" t="s">
        <v>388</v>
      </c>
      <c r="B277" s="54" t="s">
        <v>106</v>
      </c>
      <c r="C277" s="54" t="s">
        <v>377</v>
      </c>
      <c r="D277" s="56" t="s">
        <v>67</v>
      </c>
      <c r="E277" s="54" t="s">
        <v>107</v>
      </c>
      <c r="F277" s="54" t="s">
        <v>69</v>
      </c>
      <c r="G277" s="74" t="s">
        <v>70</v>
      </c>
      <c r="H277" s="54"/>
      <c r="I277" s="54"/>
      <c r="J277" s="54"/>
      <c r="K277" s="54"/>
      <c r="L277" s="35"/>
      <c r="M277" s="35"/>
      <c r="N277" s="35"/>
      <c r="O277" s="7"/>
      <c r="P277" s="7"/>
    </row>
    <row r="278" spans="1:16" s="5" customFormat="1" ht="70.5">
      <c r="A278" s="54" t="s">
        <v>389</v>
      </c>
      <c r="B278" s="54" t="s">
        <v>106</v>
      </c>
      <c r="C278" s="54" t="s">
        <v>377</v>
      </c>
      <c r="D278" s="56" t="s">
        <v>67</v>
      </c>
      <c r="E278" s="54" t="s">
        <v>107</v>
      </c>
      <c r="F278" s="54" t="s">
        <v>69</v>
      </c>
      <c r="G278" s="74" t="s">
        <v>70</v>
      </c>
      <c r="H278" s="54"/>
      <c r="I278" s="54"/>
      <c r="J278" s="54"/>
      <c r="K278" s="54"/>
      <c r="L278" s="35"/>
      <c r="M278" s="35"/>
      <c r="N278" s="35"/>
      <c r="O278" s="7"/>
      <c r="P278" s="7"/>
    </row>
    <row r="279" spans="1:16" s="5" customFormat="1" ht="70.5">
      <c r="A279" s="54" t="s">
        <v>390</v>
      </c>
      <c r="B279" s="54" t="s">
        <v>106</v>
      </c>
      <c r="C279" s="54" t="s">
        <v>377</v>
      </c>
      <c r="D279" s="56" t="s">
        <v>67</v>
      </c>
      <c r="E279" s="54" t="s">
        <v>107</v>
      </c>
      <c r="F279" s="54" t="s">
        <v>69</v>
      </c>
      <c r="G279" s="75" t="s">
        <v>77</v>
      </c>
      <c r="H279" s="54"/>
      <c r="I279" s="54"/>
      <c r="J279" s="54"/>
      <c r="K279" s="54"/>
      <c r="L279" s="35"/>
      <c r="M279" s="35"/>
      <c r="N279" s="35"/>
      <c r="O279" s="7"/>
      <c r="P279" s="7"/>
    </row>
    <row r="280" spans="1:16" s="5" customFormat="1" ht="94">
      <c r="A280" s="54" t="s">
        <v>391</v>
      </c>
      <c r="B280" s="54" t="s">
        <v>65</v>
      </c>
      <c r="C280" s="54" t="s">
        <v>377</v>
      </c>
      <c r="D280" s="56" t="s">
        <v>67</v>
      </c>
      <c r="E280" s="54" t="s">
        <v>68</v>
      </c>
      <c r="F280" s="54" t="s">
        <v>69</v>
      </c>
      <c r="G280" s="74" t="s">
        <v>70</v>
      </c>
      <c r="H280" s="54"/>
      <c r="I280" s="54"/>
      <c r="J280" s="54"/>
      <c r="K280" s="54"/>
      <c r="L280" s="35"/>
      <c r="M280" s="35"/>
      <c r="N280" s="35"/>
      <c r="O280" s="7"/>
      <c r="P280" s="7"/>
    </row>
    <row r="281" spans="1:16" s="5" customFormat="1" ht="70.5">
      <c r="A281" s="54" t="s">
        <v>392</v>
      </c>
      <c r="B281" s="54" t="s">
        <v>65</v>
      </c>
      <c r="C281" s="54" t="s">
        <v>377</v>
      </c>
      <c r="D281" s="56" t="s">
        <v>67</v>
      </c>
      <c r="E281" s="54" t="s">
        <v>107</v>
      </c>
      <c r="F281" s="54" t="s">
        <v>69</v>
      </c>
      <c r="G281" s="75" t="s">
        <v>77</v>
      </c>
      <c r="H281" s="54"/>
      <c r="I281" s="54"/>
      <c r="J281" s="54"/>
      <c r="K281" s="54"/>
      <c r="L281" s="35"/>
      <c r="M281" s="35"/>
      <c r="N281" s="35"/>
      <c r="O281" s="7"/>
      <c r="P281" s="7"/>
    </row>
    <row r="282" spans="1:16" s="5" customFormat="1" ht="47">
      <c r="A282" s="54" t="s">
        <v>393</v>
      </c>
      <c r="B282" s="54" t="s">
        <v>65</v>
      </c>
      <c r="C282" s="54" t="s">
        <v>394</v>
      </c>
      <c r="D282" s="67" t="s">
        <v>74</v>
      </c>
      <c r="E282" s="54" t="s">
        <v>68</v>
      </c>
      <c r="F282" s="54" t="s">
        <v>76</v>
      </c>
      <c r="G282" s="75" t="s">
        <v>77</v>
      </c>
      <c r="H282" s="54"/>
      <c r="I282" s="54"/>
      <c r="J282" s="54"/>
      <c r="K282" s="54"/>
      <c r="L282" s="35"/>
      <c r="M282" s="35"/>
      <c r="N282" s="35"/>
      <c r="O282" s="7"/>
      <c r="P282" s="7"/>
    </row>
    <row r="283" spans="1:16" s="5" customFormat="1" ht="70.5">
      <c r="A283" s="54" t="s">
        <v>395</v>
      </c>
      <c r="B283" s="54" t="s">
        <v>65</v>
      </c>
      <c r="C283" s="54" t="s">
        <v>394</v>
      </c>
      <c r="D283" s="67" t="s">
        <v>74</v>
      </c>
      <c r="E283" s="54" t="s">
        <v>68</v>
      </c>
      <c r="F283" s="54" t="s">
        <v>76</v>
      </c>
      <c r="G283" s="75" t="s">
        <v>77</v>
      </c>
      <c r="H283" s="54"/>
      <c r="I283" s="54"/>
      <c r="J283" s="54"/>
      <c r="K283" s="54"/>
      <c r="L283" s="35"/>
      <c r="M283" s="35"/>
      <c r="N283" s="35"/>
      <c r="O283" s="7"/>
      <c r="P283" s="7"/>
    </row>
    <row r="284" spans="1:16" s="5" customFormat="1" ht="70.5">
      <c r="A284" s="54" t="s">
        <v>396</v>
      </c>
      <c r="B284" s="54" t="s">
        <v>65</v>
      </c>
      <c r="C284" s="54" t="s">
        <v>394</v>
      </c>
      <c r="D284" s="57" t="s">
        <v>74</v>
      </c>
      <c r="E284" s="54" t="s">
        <v>68</v>
      </c>
      <c r="F284" s="54" t="s">
        <v>76</v>
      </c>
      <c r="G284" s="75" t="s">
        <v>77</v>
      </c>
      <c r="H284" s="54"/>
      <c r="I284" s="54"/>
      <c r="J284" s="54"/>
      <c r="K284" s="54"/>
      <c r="L284" s="35"/>
      <c r="M284" s="35"/>
      <c r="N284" s="35"/>
      <c r="O284" s="7"/>
      <c r="P284" s="7"/>
    </row>
    <row r="285" spans="1:16" s="5" customFormat="1" ht="70.5">
      <c r="A285" s="54" t="s">
        <v>397</v>
      </c>
      <c r="B285" s="54" t="s">
        <v>65</v>
      </c>
      <c r="C285" s="54" t="s">
        <v>394</v>
      </c>
      <c r="D285" s="57" t="s">
        <v>74</v>
      </c>
      <c r="E285" s="54" t="s">
        <v>68</v>
      </c>
      <c r="F285" s="54" t="s">
        <v>76</v>
      </c>
      <c r="G285" s="75" t="s">
        <v>77</v>
      </c>
      <c r="H285" s="54"/>
      <c r="I285" s="54"/>
      <c r="J285" s="54"/>
      <c r="K285" s="54"/>
      <c r="L285" s="35"/>
      <c r="M285" s="35"/>
      <c r="N285" s="35"/>
      <c r="O285" s="7"/>
      <c r="P285" s="7"/>
    </row>
    <row r="286" spans="1:16" s="5" customFormat="1" ht="70.5">
      <c r="A286" s="54" t="s">
        <v>398</v>
      </c>
      <c r="B286" s="54" t="s">
        <v>65</v>
      </c>
      <c r="C286" s="54" t="s">
        <v>394</v>
      </c>
      <c r="D286" s="57" t="s">
        <v>74</v>
      </c>
      <c r="E286" s="54" t="s">
        <v>68</v>
      </c>
      <c r="F286" s="54" t="s">
        <v>76</v>
      </c>
      <c r="G286" s="75" t="s">
        <v>77</v>
      </c>
      <c r="H286" s="54"/>
      <c r="I286" s="54"/>
      <c r="J286" s="54"/>
      <c r="K286" s="54"/>
      <c r="L286" s="35"/>
      <c r="M286" s="35"/>
      <c r="N286" s="35"/>
      <c r="O286" s="7"/>
      <c r="P286" s="7"/>
    </row>
    <row r="287" spans="1:16" s="5" customFormat="1" ht="70.5">
      <c r="A287" s="54" t="s">
        <v>399</v>
      </c>
      <c r="B287" s="54" t="s">
        <v>65</v>
      </c>
      <c r="C287" s="54" t="s">
        <v>394</v>
      </c>
      <c r="D287" s="57" t="s">
        <v>74</v>
      </c>
      <c r="E287" s="54" t="s">
        <v>68</v>
      </c>
      <c r="F287" s="54" t="s">
        <v>76</v>
      </c>
      <c r="G287" s="75" t="s">
        <v>77</v>
      </c>
      <c r="H287" s="54"/>
      <c r="I287" s="54"/>
      <c r="J287" s="54"/>
      <c r="K287" s="54"/>
      <c r="L287" s="35"/>
      <c r="M287" s="35"/>
      <c r="N287" s="35"/>
      <c r="O287" s="7"/>
      <c r="P287" s="7"/>
    </row>
    <row r="288" spans="1:16" s="5" customFormat="1" ht="70.5">
      <c r="A288" s="54" t="s">
        <v>400</v>
      </c>
      <c r="B288" s="54" t="s">
        <v>65</v>
      </c>
      <c r="C288" s="54" t="s">
        <v>394</v>
      </c>
      <c r="D288" s="57" t="s">
        <v>74</v>
      </c>
      <c r="E288" s="54" t="s">
        <v>68</v>
      </c>
      <c r="F288" s="54" t="s">
        <v>76</v>
      </c>
      <c r="G288" s="75" t="s">
        <v>77</v>
      </c>
      <c r="H288" s="54"/>
      <c r="I288" s="54"/>
      <c r="J288" s="54"/>
      <c r="K288" s="54"/>
      <c r="L288" s="35"/>
      <c r="M288" s="35"/>
      <c r="N288" s="35"/>
      <c r="O288" s="7"/>
      <c r="P288" s="7"/>
    </row>
    <row r="289" spans="1:16" s="5" customFormat="1" ht="47">
      <c r="A289" s="54" t="s">
        <v>401</v>
      </c>
      <c r="B289" s="54" t="s">
        <v>65</v>
      </c>
      <c r="C289" s="54" t="s">
        <v>394</v>
      </c>
      <c r="D289" s="57" t="s">
        <v>74</v>
      </c>
      <c r="E289" s="54" t="s">
        <v>68</v>
      </c>
      <c r="F289" s="54" t="s">
        <v>76</v>
      </c>
      <c r="G289" s="75" t="s">
        <v>77</v>
      </c>
      <c r="H289" s="54"/>
      <c r="I289" s="54"/>
      <c r="J289" s="54"/>
      <c r="K289" s="54"/>
      <c r="L289" s="35"/>
      <c r="M289" s="35"/>
      <c r="N289" s="35"/>
      <c r="O289" s="7"/>
      <c r="P289" s="7"/>
    </row>
    <row r="290" spans="1:16" s="5" customFormat="1" ht="47">
      <c r="A290" s="54" t="s">
        <v>402</v>
      </c>
      <c r="B290" s="54" t="s">
        <v>65</v>
      </c>
      <c r="C290" s="54" t="s">
        <v>394</v>
      </c>
      <c r="D290" s="57" t="s">
        <v>74</v>
      </c>
      <c r="E290" s="54" t="s">
        <v>68</v>
      </c>
      <c r="F290" s="54" t="s">
        <v>76</v>
      </c>
      <c r="G290" s="75" t="s">
        <v>77</v>
      </c>
      <c r="H290" s="54"/>
      <c r="I290" s="54"/>
      <c r="J290" s="54"/>
      <c r="K290" s="54"/>
      <c r="L290" s="35"/>
      <c r="M290" s="35"/>
      <c r="N290" s="35"/>
      <c r="O290" s="7"/>
      <c r="P290" s="7"/>
    </row>
    <row r="291" spans="1:16" s="5" customFormat="1" ht="47">
      <c r="A291" s="54" t="s">
        <v>403</v>
      </c>
      <c r="B291" s="54" t="s">
        <v>65</v>
      </c>
      <c r="C291" s="54" t="s">
        <v>394</v>
      </c>
      <c r="D291" s="57" t="s">
        <v>74</v>
      </c>
      <c r="E291" s="54" t="s">
        <v>68</v>
      </c>
      <c r="F291" s="54" t="s">
        <v>76</v>
      </c>
      <c r="G291" s="75" t="s">
        <v>77</v>
      </c>
      <c r="H291" s="54"/>
      <c r="I291" s="54"/>
      <c r="J291" s="54"/>
      <c r="K291" s="54"/>
      <c r="L291" s="35"/>
      <c r="M291" s="35"/>
      <c r="N291" s="35"/>
      <c r="O291" s="7"/>
      <c r="P291" s="7"/>
    </row>
    <row r="292" spans="1:16" s="5" customFormat="1" ht="47">
      <c r="A292" s="54" t="s">
        <v>404</v>
      </c>
      <c r="B292" s="54" t="s">
        <v>65</v>
      </c>
      <c r="C292" s="54" t="s">
        <v>405</v>
      </c>
      <c r="D292" s="59" t="s">
        <v>67</v>
      </c>
      <c r="E292" s="54" t="s">
        <v>68</v>
      </c>
      <c r="F292" s="54" t="s">
        <v>69</v>
      </c>
      <c r="G292" s="75" t="s">
        <v>77</v>
      </c>
      <c r="H292" s="54"/>
      <c r="I292" s="54"/>
      <c r="J292" s="54"/>
      <c r="K292" s="54"/>
      <c r="L292" s="35"/>
      <c r="M292" s="35"/>
      <c r="N292" s="35"/>
      <c r="O292" s="7"/>
      <c r="P292" s="7"/>
    </row>
    <row r="293" spans="1:16" s="5" customFormat="1" ht="47">
      <c r="A293" s="54" t="s">
        <v>406</v>
      </c>
      <c r="B293" s="54" t="s">
        <v>65</v>
      </c>
      <c r="C293" s="54" t="s">
        <v>407</v>
      </c>
      <c r="D293" s="57" t="s">
        <v>74</v>
      </c>
      <c r="E293" s="54" t="s">
        <v>68</v>
      </c>
      <c r="F293" s="54" t="s">
        <v>76</v>
      </c>
      <c r="G293" s="75" t="s">
        <v>77</v>
      </c>
      <c r="H293" s="54"/>
      <c r="I293" s="54"/>
      <c r="J293" s="54"/>
      <c r="K293" s="54"/>
      <c r="L293" s="35"/>
      <c r="M293" s="35"/>
      <c r="N293" s="35"/>
      <c r="O293" s="7"/>
      <c r="P293" s="7"/>
    </row>
    <row r="294" spans="1:16" s="5" customFormat="1" ht="70.5">
      <c r="A294" s="54" t="s">
        <v>408</v>
      </c>
      <c r="B294" s="54" t="s">
        <v>65</v>
      </c>
      <c r="C294" s="54" t="s">
        <v>407</v>
      </c>
      <c r="D294" s="67" t="s">
        <v>74</v>
      </c>
      <c r="E294" s="54" t="s">
        <v>84</v>
      </c>
      <c r="F294" s="54" t="s">
        <v>76</v>
      </c>
      <c r="G294" s="75" t="s">
        <v>77</v>
      </c>
      <c r="H294" s="54"/>
      <c r="I294" s="54"/>
      <c r="J294" s="54"/>
      <c r="K294" s="54"/>
      <c r="L294" s="35"/>
      <c r="M294" s="35"/>
      <c r="N294" s="35"/>
      <c r="O294" s="7"/>
      <c r="P294" s="7"/>
    </row>
    <row r="295" spans="1:16" s="5" customFormat="1" ht="70.5">
      <c r="A295" s="54" t="s">
        <v>409</v>
      </c>
      <c r="B295" s="54" t="s">
        <v>65</v>
      </c>
      <c r="C295" s="54" t="s">
        <v>407</v>
      </c>
      <c r="D295" s="57" t="s">
        <v>74</v>
      </c>
      <c r="E295" s="54" t="s">
        <v>84</v>
      </c>
      <c r="F295" s="54" t="s">
        <v>76</v>
      </c>
      <c r="G295" s="75" t="s">
        <v>77</v>
      </c>
      <c r="H295" s="54"/>
      <c r="I295" s="54"/>
      <c r="J295" s="54"/>
      <c r="K295" s="54"/>
      <c r="L295" s="35"/>
      <c r="M295" s="35"/>
      <c r="N295" s="35"/>
      <c r="O295" s="7"/>
      <c r="P295" s="7"/>
    </row>
    <row r="296" spans="1:16" s="5" customFormat="1" ht="70.5">
      <c r="A296" s="54" t="s">
        <v>410</v>
      </c>
      <c r="B296" s="54" t="s">
        <v>65</v>
      </c>
      <c r="C296" s="54" t="s">
        <v>407</v>
      </c>
      <c r="D296" s="57" t="s">
        <v>74</v>
      </c>
      <c r="E296" s="54" t="s">
        <v>75</v>
      </c>
      <c r="F296" s="54" t="s">
        <v>76</v>
      </c>
      <c r="G296" s="75" t="s">
        <v>77</v>
      </c>
      <c r="H296" s="54"/>
      <c r="I296" s="54"/>
      <c r="J296" s="54"/>
      <c r="K296" s="54"/>
      <c r="L296" s="35"/>
      <c r="M296" s="35"/>
      <c r="N296" s="35"/>
      <c r="O296" s="7"/>
      <c r="P296" s="7"/>
    </row>
    <row r="297" spans="1:16" s="5" customFormat="1" ht="70.5">
      <c r="A297" s="54" t="s">
        <v>411</v>
      </c>
      <c r="B297" s="54" t="s">
        <v>65</v>
      </c>
      <c r="C297" s="54" t="s">
        <v>412</v>
      </c>
      <c r="D297" s="57" t="s">
        <v>74</v>
      </c>
      <c r="E297" s="54" t="s">
        <v>84</v>
      </c>
      <c r="F297" s="54" t="s">
        <v>200</v>
      </c>
      <c r="G297" s="75" t="s">
        <v>77</v>
      </c>
      <c r="H297" s="54"/>
      <c r="I297" s="54"/>
      <c r="J297" s="54"/>
      <c r="K297" s="54"/>
      <c r="L297" s="35"/>
      <c r="M297" s="35"/>
      <c r="N297" s="35"/>
      <c r="O297" s="7"/>
      <c r="P297" s="7"/>
    </row>
    <row r="298" spans="1:16" s="5" customFormat="1" ht="94">
      <c r="A298" s="54" t="s">
        <v>413</v>
      </c>
      <c r="B298" s="54" t="s">
        <v>65</v>
      </c>
      <c r="C298" s="54" t="s">
        <v>412</v>
      </c>
      <c r="D298" s="57" t="s">
        <v>74</v>
      </c>
      <c r="E298" s="54" t="s">
        <v>84</v>
      </c>
      <c r="F298" s="54" t="s">
        <v>200</v>
      </c>
      <c r="G298" s="75" t="s">
        <v>77</v>
      </c>
      <c r="H298" s="54"/>
      <c r="I298" s="54"/>
      <c r="J298" s="54"/>
      <c r="K298" s="54"/>
      <c r="L298" s="35"/>
      <c r="M298" s="35"/>
      <c r="N298" s="35"/>
      <c r="O298" s="7"/>
      <c r="P298" s="7"/>
    </row>
    <row r="299" spans="1:16" s="5" customFormat="1" ht="70.5">
      <c r="A299" s="54" t="s">
        <v>414</v>
      </c>
      <c r="B299" s="54" t="s">
        <v>65</v>
      </c>
      <c r="C299" s="54" t="s">
        <v>415</v>
      </c>
      <c r="D299" s="57" t="s">
        <v>74</v>
      </c>
      <c r="E299" s="54" t="s">
        <v>68</v>
      </c>
      <c r="F299" s="54" t="s">
        <v>76</v>
      </c>
      <c r="G299" s="75" t="s">
        <v>77</v>
      </c>
      <c r="H299" s="54"/>
      <c r="I299" s="54"/>
      <c r="J299" s="54"/>
      <c r="K299" s="54"/>
      <c r="L299" s="35"/>
      <c r="M299" s="35"/>
      <c r="N299" s="35"/>
      <c r="O299" s="7"/>
      <c r="P299" s="7"/>
    </row>
    <row r="300" spans="1:16" s="5" customFormat="1" ht="70.5">
      <c r="A300" s="54" t="s">
        <v>416</v>
      </c>
      <c r="B300" s="54" t="s">
        <v>65</v>
      </c>
      <c r="C300" s="54" t="s">
        <v>415</v>
      </c>
      <c r="D300" s="57" t="s">
        <v>74</v>
      </c>
      <c r="E300" s="54" t="s">
        <v>68</v>
      </c>
      <c r="F300" s="54" t="s">
        <v>76</v>
      </c>
      <c r="G300" s="74" t="s">
        <v>70</v>
      </c>
      <c r="H300" s="54"/>
      <c r="I300" s="54"/>
      <c r="J300" s="54"/>
      <c r="K300" s="54"/>
      <c r="L300" s="35"/>
      <c r="M300" s="35"/>
      <c r="N300" s="35"/>
      <c r="O300" s="7"/>
      <c r="P300" s="7"/>
    </row>
    <row r="301" spans="1:16" s="5" customFormat="1" ht="47">
      <c r="A301" s="54" t="s">
        <v>417</v>
      </c>
      <c r="B301" s="54" t="s">
        <v>65</v>
      </c>
      <c r="C301" s="54" t="s">
        <v>418</v>
      </c>
      <c r="D301" s="67" t="s">
        <v>74</v>
      </c>
      <c r="E301" s="54" t="s">
        <v>68</v>
      </c>
      <c r="F301" s="54" t="s">
        <v>69</v>
      </c>
      <c r="G301" s="75" t="s">
        <v>77</v>
      </c>
      <c r="H301" s="54"/>
      <c r="I301" s="54"/>
      <c r="J301" s="54"/>
      <c r="K301" s="54"/>
      <c r="L301" s="35"/>
      <c r="M301" s="35"/>
      <c r="N301" s="35"/>
      <c r="O301" s="7"/>
      <c r="P301" s="7"/>
    </row>
    <row r="302" spans="1:16" s="5" customFormat="1" ht="47">
      <c r="A302" s="54" t="s">
        <v>419</v>
      </c>
      <c r="B302" s="54" t="s">
        <v>65</v>
      </c>
      <c r="C302" s="54" t="s">
        <v>418</v>
      </c>
      <c r="D302" s="67" t="s">
        <v>74</v>
      </c>
      <c r="E302" s="54" t="s">
        <v>68</v>
      </c>
      <c r="F302" s="54" t="s">
        <v>69</v>
      </c>
      <c r="G302" s="75" t="s">
        <v>77</v>
      </c>
      <c r="H302" s="54"/>
      <c r="I302" s="54"/>
      <c r="J302" s="54"/>
      <c r="K302" s="54"/>
      <c r="L302" s="35"/>
      <c r="M302" s="35"/>
      <c r="N302" s="35"/>
      <c r="O302" s="7"/>
      <c r="P302" s="7"/>
    </row>
    <row r="303" spans="1:16" s="5" customFormat="1" ht="70.5">
      <c r="A303" s="54" t="s">
        <v>420</v>
      </c>
      <c r="B303" s="54" t="s">
        <v>65</v>
      </c>
      <c r="C303" s="54" t="s">
        <v>418</v>
      </c>
      <c r="D303" s="67" t="s">
        <v>74</v>
      </c>
      <c r="E303" s="54" t="s">
        <v>68</v>
      </c>
      <c r="F303" s="54" t="s">
        <v>69</v>
      </c>
      <c r="G303" s="75" t="s">
        <v>77</v>
      </c>
      <c r="H303" s="54"/>
      <c r="I303" s="54"/>
      <c r="J303" s="54"/>
      <c r="K303" s="54"/>
      <c r="L303" s="35"/>
      <c r="M303" s="35"/>
      <c r="N303" s="35"/>
      <c r="O303" s="7"/>
      <c r="P303" s="7"/>
    </row>
    <row r="304" spans="1:16" s="5" customFormat="1" ht="47">
      <c r="A304" s="54" t="s">
        <v>421</v>
      </c>
      <c r="B304" s="54" t="s">
        <v>65</v>
      </c>
      <c r="C304" s="54" t="s">
        <v>418</v>
      </c>
      <c r="D304" s="67" t="s">
        <v>74</v>
      </c>
      <c r="E304" s="54" t="s">
        <v>68</v>
      </c>
      <c r="F304" s="54" t="s">
        <v>69</v>
      </c>
      <c r="G304" s="75" t="s">
        <v>77</v>
      </c>
      <c r="H304" s="54"/>
      <c r="I304" s="54"/>
      <c r="J304" s="54"/>
      <c r="K304" s="54"/>
      <c r="L304" s="35"/>
      <c r="M304" s="35"/>
      <c r="N304" s="35"/>
      <c r="O304" s="7"/>
      <c r="P304" s="7"/>
    </row>
    <row r="305" spans="1:16" s="5" customFormat="1" ht="23.5">
      <c r="A305" s="54" t="s">
        <v>77</v>
      </c>
      <c r="B305" s="54" t="s">
        <v>77</v>
      </c>
      <c r="C305" s="54" t="s">
        <v>77</v>
      </c>
      <c r="D305" s="68" t="s">
        <v>77</v>
      </c>
      <c r="E305" s="54" t="s">
        <v>77</v>
      </c>
      <c r="F305" s="54" t="s">
        <v>77</v>
      </c>
      <c r="G305" s="54" t="s">
        <v>77</v>
      </c>
      <c r="H305" s="54" t="s">
        <v>77</v>
      </c>
      <c r="I305" s="54" t="s">
        <v>77</v>
      </c>
      <c r="J305" s="54" t="s">
        <v>77</v>
      </c>
      <c r="K305" s="54" t="s">
        <v>77</v>
      </c>
      <c r="L305" s="35"/>
      <c r="M305" s="35"/>
      <c r="N305" s="35"/>
      <c r="O305" s="7"/>
      <c r="P305" s="7"/>
    </row>
    <row r="306" spans="1:16" s="5" customFormat="1" ht="23.5">
      <c r="A306" s="54" t="s">
        <v>422</v>
      </c>
      <c r="B306" s="54" t="s">
        <v>65</v>
      </c>
      <c r="C306" s="54" t="s">
        <v>423</v>
      </c>
      <c r="D306" s="56" t="s">
        <v>67</v>
      </c>
      <c r="E306" s="54" t="s">
        <v>68</v>
      </c>
      <c r="F306" s="54" t="s">
        <v>76</v>
      </c>
      <c r="G306" s="75" t="s">
        <v>77</v>
      </c>
      <c r="H306" s="54"/>
      <c r="I306" s="54"/>
      <c r="J306" s="54"/>
      <c r="K306" s="54"/>
      <c r="L306" s="35"/>
      <c r="M306" s="35"/>
      <c r="N306" s="35"/>
      <c r="O306" s="7"/>
      <c r="P306" s="7"/>
    </row>
    <row r="307" spans="1:16" s="5" customFormat="1" ht="47">
      <c r="A307" s="54" t="s">
        <v>424</v>
      </c>
      <c r="B307" s="54" t="s">
        <v>65</v>
      </c>
      <c r="C307" s="54" t="s">
        <v>425</v>
      </c>
      <c r="D307" s="58" t="s">
        <v>77</v>
      </c>
      <c r="E307" s="54" t="s">
        <v>68</v>
      </c>
      <c r="F307" s="54" t="s">
        <v>76</v>
      </c>
      <c r="G307" s="75" t="s">
        <v>77</v>
      </c>
      <c r="H307" s="54"/>
      <c r="I307" s="54"/>
      <c r="J307" s="54"/>
      <c r="K307" s="54"/>
      <c r="L307" s="35"/>
      <c r="M307" s="35"/>
      <c r="N307" s="35"/>
      <c r="O307" s="7"/>
      <c r="P307" s="7"/>
    </row>
    <row r="308" spans="1:16" s="5" customFormat="1" ht="47">
      <c r="A308" s="54" t="s">
        <v>426</v>
      </c>
      <c r="B308" s="54" t="s">
        <v>65</v>
      </c>
      <c r="C308" s="54" t="s">
        <v>425</v>
      </c>
      <c r="D308" s="58" t="s">
        <v>77</v>
      </c>
      <c r="E308" s="54" t="s">
        <v>68</v>
      </c>
      <c r="F308" s="54" t="s">
        <v>76</v>
      </c>
      <c r="G308" s="75" t="s">
        <v>77</v>
      </c>
      <c r="H308" s="54"/>
      <c r="I308" s="54"/>
      <c r="J308" s="54"/>
      <c r="K308" s="54"/>
      <c r="L308" s="35"/>
      <c r="M308" s="35"/>
      <c r="N308" s="35"/>
      <c r="O308" s="7"/>
      <c r="P308" s="7"/>
    </row>
    <row r="309" spans="1:16" s="5" customFormat="1" ht="47">
      <c r="A309" s="54" t="s">
        <v>427</v>
      </c>
      <c r="B309" s="54" t="s">
        <v>65</v>
      </c>
      <c r="C309" s="54" t="s">
        <v>425</v>
      </c>
      <c r="D309" s="58" t="s">
        <v>77</v>
      </c>
      <c r="E309" s="54" t="s">
        <v>68</v>
      </c>
      <c r="F309" s="54" t="s">
        <v>76</v>
      </c>
      <c r="G309" s="74" t="s">
        <v>70</v>
      </c>
      <c r="H309" s="54"/>
      <c r="I309" s="54"/>
      <c r="J309" s="54"/>
      <c r="K309" s="54"/>
      <c r="L309" s="35"/>
      <c r="M309" s="35"/>
      <c r="N309" s="35"/>
      <c r="O309" s="7"/>
      <c r="P309" s="7"/>
    </row>
    <row r="310" spans="1:16" s="5" customFormat="1" ht="47">
      <c r="A310" s="54" t="s">
        <v>428</v>
      </c>
      <c r="B310" s="54" t="s">
        <v>65</v>
      </c>
      <c r="C310" s="54" t="s">
        <v>425</v>
      </c>
      <c r="D310" s="58" t="s">
        <v>77</v>
      </c>
      <c r="E310" s="54" t="s">
        <v>68</v>
      </c>
      <c r="F310" s="54" t="s">
        <v>76</v>
      </c>
      <c r="G310" s="75" t="s">
        <v>77</v>
      </c>
      <c r="H310" s="54"/>
      <c r="I310" s="54"/>
      <c r="J310" s="54"/>
      <c r="K310" s="54"/>
      <c r="L310" s="35"/>
      <c r="M310" s="35"/>
      <c r="N310" s="35"/>
      <c r="O310" s="7"/>
      <c r="P310" s="7"/>
    </row>
    <row r="311" spans="1:16" s="5" customFormat="1" ht="47">
      <c r="A311" s="54" t="s">
        <v>429</v>
      </c>
      <c r="B311" s="54" t="s">
        <v>65</v>
      </c>
      <c r="C311" s="54" t="s">
        <v>425</v>
      </c>
      <c r="D311" s="58" t="s">
        <v>77</v>
      </c>
      <c r="E311" s="54" t="s">
        <v>68</v>
      </c>
      <c r="F311" s="54" t="s">
        <v>76</v>
      </c>
      <c r="G311" s="75" t="s">
        <v>77</v>
      </c>
      <c r="H311" s="54"/>
      <c r="I311" s="54"/>
      <c r="J311" s="54"/>
      <c r="K311" s="54"/>
      <c r="L311" s="35"/>
      <c r="M311" s="35"/>
      <c r="N311" s="35"/>
      <c r="O311" s="7"/>
      <c r="P311" s="7"/>
    </row>
    <row r="312" spans="1:16" s="5" customFormat="1" ht="47">
      <c r="A312" s="54" t="s">
        <v>430</v>
      </c>
      <c r="B312" s="54" t="s">
        <v>65</v>
      </c>
      <c r="C312" s="54" t="s">
        <v>425</v>
      </c>
      <c r="D312" s="58" t="s">
        <v>77</v>
      </c>
      <c r="E312" s="54" t="s">
        <v>75</v>
      </c>
      <c r="F312" s="54" t="s">
        <v>200</v>
      </c>
      <c r="G312" s="75" t="s">
        <v>77</v>
      </c>
      <c r="H312" s="54"/>
      <c r="I312" s="54"/>
      <c r="J312" s="54"/>
      <c r="K312" s="54"/>
      <c r="L312" s="35"/>
      <c r="M312" s="35"/>
      <c r="N312" s="35"/>
      <c r="O312" s="7"/>
      <c r="P312" s="7"/>
    </row>
    <row r="313" spans="1:16" s="5" customFormat="1" ht="47">
      <c r="A313" s="54" t="s">
        <v>431</v>
      </c>
      <c r="B313" s="54" t="s">
        <v>65</v>
      </c>
      <c r="C313" s="54" t="s">
        <v>425</v>
      </c>
      <c r="D313" s="58" t="s">
        <v>77</v>
      </c>
      <c r="E313" s="54" t="s">
        <v>68</v>
      </c>
      <c r="F313" s="54" t="s">
        <v>76</v>
      </c>
      <c r="G313" s="75" t="s">
        <v>77</v>
      </c>
      <c r="H313" s="54"/>
      <c r="I313" s="54"/>
      <c r="J313" s="54"/>
      <c r="K313" s="54"/>
      <c r="L313" s="35"/>
      <c r="M313" s="35"/>
      <c r="N313" s="35"/>
      <c r="O313" s="7"/>
      <c r="P313" s="7"/>
    </row>
    <row r="314" spans="1:16" s="5" customFormat="1" ht="47">
      <c r="A314" s="54" t="s">
        <v>432</v>
      </c>
      <c r="B314" s="54" t="s">
        <v>65</v>
      </c>
      <c r="C314" s="54" t="s">
        <v>425</v>
      </c>
      <c r="D314" s="58" t="s">
        <v>77</v>
      </c>
      <c r="E314" s="54" t="s">
        <v>75</v>
      </c>
      <c r="F314" s="54" t="s">
        <v>76</v>
      </c>
      <c r="G314" s="75" t="s">
        <v>77</v>
      </c>
      <c r="H314" s="54"/>
      <c r="I314" s="54"/>
      <c r="J314" s="54"/>
      <c r="K314" s="54"/>
      <c r="L314" s="35"/>
      <c r="M314" s="35"/>
      <c r="N314" s="35"/>
      <c r="O314" s="7"/>
      <c r="P314" s="7"/>
    </row>
    <row r="315" spans="1:16" s="5" customFormat="1" ht="47">
      <c r="A315" s="54" t="s">
        <v>433</v>
      </c>
      <c r="B315" s="54" t="s">
        <v>65</v>
      </c>
      <c r="C315" s="54" t="s">
        <v>425</v>
      </c>
      <c r="D315" s="58" t="s">
        <v>77</v>
      </c>
      <c r="E315" s="54" t="s">
        <v>68</v>
      </c>
      <c r="F315" s="54" t="s">
        <v>76</v>
      </c>
      <c r="G315" s="75" t="s">
        <v>77</v>
      </c>
      <c r="H315" s="54"/>
      <c r="I315" s="54"/>
      <c r="J315" s="54"/>
      <c r="K315" s="54"/>
      <c r="L315" s="35"/>
      <c r="M315" s="35"/>
      <c r="N315" s="35"/>
      <c r="O315" s="7"/>
      <c r="P315" s="7"/>
    </row>
    <row r="316" spans="1:16" s="5" customFormat="1" ht="47">
      <c r="A316" s="54" t="s">
        <v>434</v>
      </c>
      <c r="B316" s="54" t="s">
        <v>65</v>
      </c>
      <c r="C316" s="54" t="s">
        <v>425</v>
      </c>
      <c r="D316" s="58" t="s">
        <v>77</v>
      </c>
      <c r="E316" s="54" t="s">
        <v>68</v>
      </c>
      <c r="F316" s="54" t="s">
        <v>76</v>
      </c>
      <c r="G316" s="74" t="s">
        <v>70</v>
      </c>
      <c r="H316" s="54"/>
      <c r="I316" s="54"/>
      <c r="J316" s="54"/>
      <c r="K316" s="54"/>
      <c r="L316" s="35"/>
      <c r="M316" s="35"/>
      <c r="N316" s="35"/>
      <c r="O316" s="7"/>
      <c r="P316" s="7"/>
    </row>
    <row r="317" spans="1:16" s="5" customFormat="1" ht="47">
      <c r="A317" s="54" t="s">
        <v>435</v>
      </c>
      <c r="B317" s="54" t="s">
        <v>65</v>
      </c>
      <c r="C317" s="54" t="s">
        <v>425</v>
      </c>
      <c r="D317" s="58" t="s">
        <v>77</v>
      </c>
      <c r="E317" s="54" t="s">
        <v>68</v>
      </c>
      <c r="F317" s="54" t="s">
        <v>76</v>
      </c>
      <c r="G317" s="75" t="s">
        <v>77</v>
      </c>
      <c r="H317" s="54"/>
      <c r="I317" s="54"/>
      <c r="J317" s="54"/>
      <c r="K317" s="54"/>
      <c r="L317" s="35"/>
      <c r="M317" s="35"/>
      <c r="N317" s="35"/>
      <c r="O317" s="7"/>
      <c r="P317" s="7"/>
    </row>
    <row r="318" spans="1:16" s="5" customFormat="1" ht="47">
      <c r="A318" s="54" t="s">
        <v>436</v>
      </c>
      <c r="B318" s="54" t="s">
        <v>65</v>
      </c>
      <c r="C318" s="54" t="s">
        <v>425</v>
      </c>
      <c r="D318" s="58" t="s">
        <v>77</v>
      </c>
      <c r="E318" s="54" t="s">
        <v>68</v>
      </c>
      <c r="F318" s="54" t="s">
        <v>76</v>
      </c>
      <c r="G318" s="74" t="s">
        <v>70</v>
      </c>
      <c r="H318" s="54"/>
      <c r="I318" s="54"/>
      <c r="J318" s="54"/>
      <c r="K318" s="54"/>
      <c r="L318" s="35"/>
      <c r="M318" s="35"/>
      <c r="N318" s="35"/>
      <c r="O318" s="7"/>
      <c r="P318" s="7"/>
    </row>
    <row r="319" spans="1:16" s="5" customFormat="1" ht="47">
      <c r="A319" s="54" t="s">
        <v>437</v>
      </c>
      <c r="B319" s="54" t="s">
        <v>65</v>
      </c>
      <c r="C319" s="54" t="s">
        <v>425</v>
      </c>
      <c r="D319" s="58" t="s">
        <v>77</v>
      </c>
      <c r="E319" s="54" t="s">
        <v>84</v>
      </c>
      <c r="F319" s="54" t="s">
        <v>76</v>
      </c>
      <c r="G319" s="75" t="s">
        <v>77</v>
      </c>
      <c r="H319" s="54"/>
      <c r="I319" s="54"/>
      <c r="J319" s="54"/>
      <c r="K319" s="54"/>
      <c r="L319" s="35"/>
      <c r="M319" s="35"/>
      <c r="N319" s="35"/>
      <c r="O319" s="7"/>
      <c r="P319" s="7"/>
    </row>
    <row r="320" spans="1:16" s="5" customFormat="1" ht="47">
      <c r="A320" s="54" t="s">
        <v>438</v>
      </c>
      <c r="B320" s="54" t="s">
        <v>65</v>
      </c>
      <c r="C320" s="54" t="s">
        <v>425</v>
      </c>
      <c r="D320" s="58" t="s">
        <v>77</v>
      </c>
      <c r="E320" s="54" t="s">
        <v>75</v>
      </c>
      <c r="F320" s="54" t="s">
        <v>69</v>
      </c>
      <c r="G320" s="75" t="s">
        <v>77</v>
      </c>
      <c r="H320" s="54"/>
      <c r="I320" s="54"/>
      <c r="J320" s="54"/>
      <c r="K320" s="54"/>
      <c r="L320" s="35"/>
      <c r="M320" s="35"/>
      <c r="N320" s="35"/>
      <c r="O320" s="7"/>
      <c r="P320" s="7"/>
    </row>
    <row r="321" spans="1:16" s="5" customFormat="1" ht="47">
      <c r="A321" s="54" t="s">
        <v>439</v>
      </c>
      <c r="B321" s="54" t="s">
        <v>65</v>
      </c>
      <c r="C321" s="54" t="s">
        <v>425</v>
      </c>
      <c r="D321" s="58" t="s">
        <v>77</v>
      </c>
      <c r="E321" s="54" t="s">
        <v>68</v>
      </c>
      <c r="F321" s="54" t="s">
        <v>76</v>
      </c>
      <c r="G321" s="75" t="s">
        <v>77</v>
      </c>
      <c r="H321" s="54"/>
      <c r="I321" s="54"/>
      <c r="J321" s="54"/>
      <c r="K321" s="54"/>
      <c r="L321" s="35"/>
      <c r="M321" s="35"/>
      <c r="N321" s="35"/>
      <c r="O321" s="7"/>
      <c r="P321" s="7"/>
    </row>
    <row r="322" spans="1:16" s="5" customFormat="1" ht="47">
      <c r="A322" s="54" t="s">
        <v>440</v>
      </c>
      <c r="B322" s="54" t="s">
        <v>65</v>
      </c>
      <c r="C322" s="54" t="s">
        <v>425</v>
      </c>
      <c r="D322" s="58" t="s">
        <v>77</v>
      </c>
      <c r="E322" s="54" t="s">
        <v>68</v>
      </c>
      <c r="F322" s="54" t="s">
        <v>76</v>
      </c>
      <c r="G322" s="75" t="s">
        <v>77</v>
      </c>
      <c r="H322" s="54"/>
      <c r="I322" s="54"/>
      <c r="J322" s="54"/>
      <c r="K322" s="54"/>
      <c r="L322" s="35"/>
      <c r="M322" s="35"/>
      <c r="N322" s="35"/>
      <c r="O322" s="7"/>
      <c r="P322" s="7"/>
    </row>
    <row r="323" spans="1:16" s="5" customFormat="1" ht="47">
      <c r="A323" s="54" t="s">
        <v>441</v>
      </c>
      <c r="B323" s="54" t="s">
        <v>65</v>
      </c>
      <c r="C323" s="54" t="s">
        <v>425</v>
      </c>
      <c r="D323" s="58" t="s">
        <v>77</v>
      </c>
      <c r="E323" s="54" t="s">
        <v>84</v>
      </c>
      <c r="F323" s="54" t="s">
        <v>76</v>
      </c>
      <c r="G323" s="75" t="s">
        <v>77</v>
      </c>
      <c r="H323" s="54"/>
      <c r="I323" s="54"/>
      <c r="J323" s="54"/>
      <c r="K323" s="54"/>
      <c r="L323" s="35"/>
      <c r="M323" s="35"/>
      <c r="N323" s="35"/>
      <c r="O323" s="7"/>
      <c r="P323" s="7"/>
    </row>
    <row r="324" spans="1:16" s="5" customFormat="1" ht="47">
      <c r="A324" s="54" t="s">
        <v>442</v>
      </c>
      <c r="B324" s="54" t="s">
        <v>106</v>
      </c>
      <c r="C324" s="54" t="s">
        <v>425</v>
      </c>
      <c r="D324" s="58" t="s">
        <v>77</v>
      </c>
      <c r="E324" s="54" t="s">
        <v>69</v>
      </c>
      <c r="F324" s="54" t="s">
        <v>69</v>
      </c>
      <c r="G324" s="75" t="s">
        <v>77</v>
      </c>
      <c r="H324" s="54"/>
      <c r="I324" s="54"/>
      <c r="J324" s="54"/>
      <c r="K324" s="54"/>
      <c r="L324" s="35"/>
      <c r="M324" s="35"/>
      <c r="N324" s="35"/>
      <c r="O324" s="7"/>
      <c r="P324" s="7"/>
    </row>
    <row r="325" spans="1:16" s="5" customFormat="1" ht="47">
      <c r="A325" s="54" t="s">
        <v>443</v>
      </c>
      <c r="B325" s="54" t="s">
        <v>106</v>
      </c>
      <c r="C325" s="54" t="s">
        <v>425</v>
      </c>
      <c r="D325" s="58" t="s">
        <v>77</v>
      </c>
      <c r="E325" s="54" t="s">
        <v>69</v>
      </c>
      <c r="F325" s="54" t="s">
        <v>69</v>
      </c>
      <c r="G325" s="75" t="s">
        <v>77</v>
      </c>
      <c r="H325" s="54"/>
      <c r="I325" s="54"/>
      <c r="J325" s="54"/>
      <c r="K325" s="54"/>
      <c r="L325" s="35"/>
      <c r="M325" s="35"/>
      <c r="N325" s="35"/>
      <c r="O325" s="7"/>
      <c r="P325" s="7"/>
    </row>
    <row r="326" spans="1:16" s="5" customFormat="1" ht="47">
      <c r="A326" s="54" t="s">
        <v>444</v>
      </c>
      <c r="B326" s="54" t="s">
        <v>65</v>
      </c>
      <c r="C326" s="54" t="s">
        <v>425</v>
      </c>
      <c r="D326" s="58" t="s">
        <v>77</v>
      </c>
      <c r="E326" s="54" t="s">
        <v>68</v>
      </c>
      <c r="F326" s="54" t="s">
        <v>76</v>
      </c>
      <c r="G326" s="75" t="s">
        <v>77</v>
      </c>
      <c r="H326" s="54"/>
      <c r="I326" s="54"/>
      <c r="J326" s="54"/>
      <c r="K326" s="54"/>
      <c r="L326" s="35"/>
      <c r="M326" s="35"/>
      <c r="N326" s="35"/>
      <c r="O326" s="7"/>
      <c r="P326" s="7"/>
    </row>
    <row r="327" spans="1:16" s="5" customFormat="1" ht="47">
      <c r="A327" s="54" t="s">
        <v>445</v>
      </c>
      <c r="B327" s="54" t="s">
        <v>65</v>
      </c>
      <c r="C327" s="54" t="s">
        <v>425</v>
      </c>
      <c r="D327" s="58" t="s">
        <v>77</v>
      </c>
      <c r="E327" s="54" t="s">
        <v>68</v>
      </c>
      <c r="F327" s="54" t="s">
        <v>76</v>
      </c>
      <c r="G327" s="74" t="s">
        <v>70</v>
      </c>
      <c r="H327" s="54"/>
      <c r="I327" s="54"/>
      <c r="J327" s="54"/>
      <c r="K327" s="54"/>
      <c r="L327" s="35"/>
      <c r="M327" s="35"/>
      <c r="N327" s="35"/>
      <c r="O327" s="7"/>
      <c r="P327" s="7"/>
    </row>
    <row r="328" spans="1:16" s="5" customFormat="1" ht="47">
      <c r="A328" s="54" t="s">
        <v>446</v>
      </c>
      <c r="B328" s="54" t="s">
        <v>65</v>
      </c>
      <c r="C328" s="54" t="s">
        <v>425</v>
      </c>
      <c r="D328" s="58" t="s">
        <v>77</v>
      </c>
      <c r="E328" s="54" t="s">
        <v>68</v>
      </c>
      <c r="F328" s="54" t="s">
        <v>76</v>
      </c>
      <c r="G328" s="75" t="s">
        <v>77</v>
      </c>
      <c r="H328" s="54"/>
      <c r="I328" s="54"/>
      <c r="J328" s="54"/>
      <c r="K328" s="54"/>
      <c r="L328" s="35"/>
      <c r="M328" s="35"/>
      <c r="N328" s="35"/>
      <c r="O328" s="7"/>
      <c r="P328" s="7"/>
    </row>
    <row r="329" spans="1:16" s="5" customFormat="1" ht="47">
      <c r="A329" s="54" t="s">
        <v>447</v>
      </c>
      <c r="B329" s="54" t="s">
        <v>65</v>
      </c>
      <c r="C329" s="54" t="s">
        <v>425</v>
      </c>
      <c r="D329" s="58" t="s">
        <v>77</v>
      </c>
      <c r="E329" s="54" t="s">
        <v>68</v>
      </c>
      <c r="F329" s="54" t="s">
        <v>76</v>
      </c>
      <c r="G329" s="74" t="s">
        <v>70</v>
      </c>
      <c r="H329" s="54"/>
      <c r="I329" s="54"/>
      <c r="J329" s="54"/>
      <c r="K329" s="54"/>
      <c r="L329" s="35"/>
      <c r="M329" s="35"/>
      <c r="N329" s="35"/>
      <c r="O329" s="7"/>
      <c r="P329" s="7"/>
    </row>
    <row r="330" spans="1:16" s="5" customFormat="1" ht="47">
      <c r="A330" s="54" t="s">
        <v>448</v>
      </c>
      <c r="B330" s="54" t="s">
        <v>65</v>
      </c>
      <c r="C330" s="54" t="s">
        <v>425</v>
      </c>
      <c r="D330" s="58" t="s">
        <v>77</v>
      </c>
      <c r="E330" s="54" t="s">
        <v>68</v>
      </c>
      <c r="F330" s="54" t="s">
        <v>76</v>
      </c>
      <c r="G330" s="75" t="s">
        <v>77</v>
      </c>
      <c r="H330" s="54"/>
      <c r="I330" s="54"/>
      <c r="J330" s="54"/>
      <c r="K330" s="54"/>
      <c r="L330" s="35"/>
      <c r="M330" s="35"/>
      <c r="N330" s="35"/>
      <c r="O330" s="7"/>
      <c r="P330" s="7"/>
    </row>
    <row r="331" spans="1:16" s="5" customFormat="1" ht="47">
      <c r="A331" s="54" t="s">
        <v>449</v>
      </c>
      <c r="B331" s="54" t="s">
        <v>65</v>
      </c>
      <c r="C331" s="54" t="s">
        <v>425</v>
      </c>
      <c r="D331" s="58" t="s">
        <v>77</v>
      </c>
      <c r="E331" s="54" t="s">
        <v>68</v>
      </c>
      <c r="F331" s="54" t="s">
        <v>76</v>
      </c>
      <c r="G331" s="75" t="s">
        <v>77</v>
      </c>
      <c r="H331" s="54"/>
      <c r="I331" s="54"/>
      <c r="J331" s="54"/>
      <c r="K331" s="54"/>
      <c r="L331" s="35"/>
      <c r="M331" s="35"/>
      <c r="N331" s="35"/>
      <c r="O331" s="7"/>
      <c r="P331" s="7"/>
    </row>
    <row r="332" spans="1:16" s="5" customFormat="1" ht="47">
      <c r="A332" s="54" t="s">
        <v>450</v>
      </c>
      <c r="B332" s="54" t="s">
        <v>65</v>
      </c>
      <c r="C332" s="54" t="s">
        <v>425</v>
      </c>
      <c r="D332" s="58" t="s">
        <v>77</v>
      </c>
      <c r="E332" s="54" t="s">
        <v>68</v>
      </c>
      <c r="F332" s="54" t="s">
        <v>76</v>
      </c>
      <c r="G332" s="74" t="s">
        <v>70</v>
      </c>
      <c r="H332" s="54"/>
      <c r="I332" s="54"/>
      <c r="J332" s="54"/>
      <c r="K332" s="54"/>
      <c r="L332" s="35"/>
      <c r="M332" s="35"/>
      <c r="N332" s="35"/>
      <c r="O332" s="7"/>
      <c r="P332" s="7"/>
    </row>
    <row r="333" spans="1:16" s="5" customFormat="1" ht="47">
      <c r="A333" s="54" t="s">
        <v>451</v>
      </c>
      <c r="B333" s="54" t="s">
        <v>65</v>
      </c>
      <c r="C333" s="54" t="s">
        <v>425</v>
      </c>
      <c r="D333" s="58" t="s">
        <v>77</v>
      </c>
      <c r="E333" s="54" t="s">
        <v>68</v>
      </c>
      <c r="F333" s="54" t="s">
        <v>76</v>
      </c>
      <c r="G333" s="75" t="s">
        <v>77</v>
      </c>
      <c r="H333" s="54"/>
      <c r="I333" s="54"/>
      <c r="J333" s="54"/>
      <c r="K333" s="54"/>
      <c r="L333" s="35"/>
      <c r="M333" s="35"/>
      <c r="N333" s="35"/>
      <c r="O333" s="7"/>
      <c r="P333" s="7"/>
    </row>
    <row r="334" spans="1:16" s="5" customFormat="1" ht="47">
      <c r="A334" s="54" t="s">
        <v>452</v>
      </c>
      <c r="B334" s="54" t="s">
        <v>65</v>
      </c>
      <c r="C334" s="54" t="s">
        <v>425</v>
      </c>
      <c r="D334" s="58" t="s">
        <v>77</v>
      </c>
      <c r="E334" s="54" t="s">
        <v>68</v>
      </c>
      <c r="F334" s="54" t="s">
        <v>76</v>
      </c>
      <c r="G334" s="75" t="s">
        <v>77</v>
      </c>
      <c r="H334" s="54"/>
      <c r="I334" s="54"/>
      <c r="J334" s="54"/>
      <c r="K334" s="54"/>
      <c r="L334" s="35"/>
      <c r="M334" s="35"/>
      <c r="N334" s="35"/>
      <c r="O334" s="7"/>
      <c r="P334" s="7"/>
    </row>
    <row r="335" spans="1:16" s="5" customFormat="1" ht="47">
      <c r="A335" s="54" t="s">
        <v>453</v>
      </c>
      <c r="B335" s="54" t="s">
        <v>65</v>
      </c>
      <c r="C335" s="54" t="s">
        <v>425</v>
      </c>
      <c r="D335" s="58" t="s">
        <v>77</v>
      </c>
      <c r="E335" s="54" t="s">
        <v>68</v>
      </c>
      <c r="F335" s="54" t="s">
        <v>76</v>
      </c>
      <c r="G335" s="75" t="s">
        <v>77</v>
      </c>
      <c r="H335" s="54"/>
      <c r="I335" s="54"/>
      <c r="J335" s="54"/>
      <c r="K335" s="54"/>
      <c r="L335" s="35"/>
      <c r="M335" s="35"/>
      <c r="N335" s="35"/>
      <c r="O335" s="7"/>
      <c r="P335" s="7"/>
    </row>
    <row r="336" spans="1:16" s="5" customFormat="1" ht="47">
      <c r="A336" s="54" t="s">
        <v>454</v>
      </c>
      <c r="B336" s="54" t="s">
        <v>65</v>
      </c>
      <c r="C336" s="54" t="s">
        <v>425</v>
      </c>
      <c r="D336" s="58" t="s">
        <v>77</v>
      </c>
      <c r="E336" s="54" t="s">
        <v>68</v>
      </c>
      <c r="F336" s="54" t="s">
        <v>76</v>
      </c>
      <c r="G336" s="75" t="s">
        <v>77</v>
      </c>
      <c r="H336" s="54"/>
      <c r="I336" s="54"/>
      <c r="J336" s="54"/>
      <c r="K336" s="54"/>
      <c r="L336" s="35"/>
      <c r="M336" s="35"/>
      <c r="N336" s="35"/>
      <c r="O336" s="7"/>
      <c r="P336" s="7"/>
    </row>
    <row r="337" spans="1:16" s="5" customFormat="1" ht="47">
      <c r="A337" s="54" t="s">
        <v>455</v>
      </c>
      <c r="B337" s="54" t="s">
        <v>65</v>
      </c>
      <c r="C337" s="54" t="s">
        <v>425</v>
      </c>
      <c r="D337" s="58" t="s">
        <v>77</v>
      </c>
      <c r="E337" s="54" t="s">
        <v>84</v>
      </c>
      <c r="F337" s="54" t="s">
        <v>76</v>
      </c>
      <c r="G337" s="75" t="s">
        <v>77</v>
      </c>
      <c r="H337" s="54"/>
      <c r="I337" s="54"/>
      <c r="J337" s="54"/>
      <c r="K337" s="54"/>
      <c r="L337" s="35"/>
      <c r="M337" s="35"/>
      <c r="N337" s="35"/>
      <c r="O337" s="7"/>
      <c r="P337" s="7"/>
    </row>
    <row r="338" spans="1:16" s="5" customFormat="1" ht="47">
      <c r="A338" s="54" t="s">
        <v>456</v>
      </c>
      <c r="B338" s="54" t="s">
        <v>65</v>
      </c>
      <c r="C338" s="54" t="s">
        <v>425</v>
      </c>
      <c r="D338" s="58" t="s">
        <v>77</v>
      </c>
      <c r="E338" s="54" t="s">
        <v>68</v>
      </c>
      <c r="F338" s="54" t="s">
        <v>76</v>
      </c>
      <c r="G338" s="75" t="s">
        <v>77</v>
      </c>
      <c r="H338" s="54"/>
      <c r="I338" s="54"/>
      <c r="J338" s="54"/>
      <c r="K338" s="54"/>
      <c r="L338" s="35"/>
      <c r="M338" s="35"/>
      <c r="N338" s="35"/>
      <c r="O338" s="7"/>
      <c r="P338" s="7"/>
    </row>
    <row r="339" spans="1:16" s="5" customFormat="1" ht="47">
      <c r="A339" s="54" t="s">
        <v>457</v>
      </c>
      <c r="B339" s="54" t="s">
        <v>65</v>
      </c>
      <c r="C339" s="54" t="s">
        <v>425</v>
      </c>
      <c r="D339" s="58" t="s">
        <v>77</v>
      </c>
      <c r="E339" s="54" t="s">
        <v>68</v>
      </c>
      <c r="F339" s="54" t="s">
        <v>76</v>
      </c>
      <c r="G339" s="75" t="s">
        <v>77</v>
      </c>
      <c r="H339" s="54"/>
      <c r="I339" s="54"/>
      <c r="J339" s="54"/>
      <c r="K339" s="54"/>
      <c r="L339" s="35"/>
      <c r="M339" s="35"/>
      <c r="N339" s="35"/>
      <c r="O339" s="7"/>
      <c r="P339" s="7"/>
    </row>
    <row r="340" spans="1:16" s="5" customFormat="1" ht="47">
      <c r="A340" s="54" t="s">
        <v>458</v>
      </c>
      <c r="B340" s="54" t="s">
        <v>65</v>
      </c>
      <c r="C340" s="54" t="s">
        <v>425</v>
      </c>
      <c r="D340" s="62" t="s">
        <v>77</v>
      </c>
      <c r="E340" s="54" t="s">
        <v>68</v>
      </c>
      <c r="F340" s="54" t="s">
        <v>76</v>
      </c>
      <c r="G340" s="75" t="s">
        <v>77</v>
      </c>
      <c r="H340" s="54"/>
      <c r="I340" s="54"/>
      <c r="J340" s="54"/>
      <c r="K340" s="54"/>
      <c r="L340" s="35"/>
      <c r="M340" s="35"/>
      <c r="N340" s="35"/>
      <c r="O340" s="7"/>
      <c r="P340" s="7"/>
    </row>
    <row r="341" spans="1:16" s="5" customFormat="1" ht="47">
      <c r="A341" s="54" t="s">
        <v>459</v>
      </c>
      <c r="B341" s="54" t="s">
        <v>65</v>
      </c>
      <c r="C341" s="54" t="s">
        <v>425</v>
      </c>
      <c r="D341" s="62" t="s">
        <v>77</v>
      </c>
      <c r="E341" s="54" t="s">
        <v>68</v>
      </c>
      <c r="F341" s="54" t="s">
        <v>69</v>
      </c>
      <c r="G341" s="75" t="s">
        <v>77</v>
      </c>
      <c r="H341" s="54"/>
      <c r="I341" s="54"/>
      <c r="J341" s="54"/>
      <c r="K341" s="54"/>
      <c r="L341" s="35"/>
      <c r="M341" s="35"/>
      <c r="N341" s="35"/>
      <c r="O341" s="7"/>
      <c r="P341" s="7"/>
    </row>
    <row r="342" spans="1:16" s="5" customFormat="1" ht="47">
      <c r="A342" s="54" t="s">
        <v>460</v>
      </c>
      <c r="B342" s="54" t="s">
        <v>65</v>
      </c>
      <c r="C342" s="54" t="s">
        <v>425</v>
      </c>
      <c r="D342" s="62" t="s">
        <v>77</v>
      </c>
      <c r="E342" s="54" t="s">
        <v>68</v>
      </c>
      <c r="F342" s="54" t="s">
        <v>76</v>
      </c>
      <c r="G342" s="75" t="s">
        <v>77</v>
      </c>
      <c r="H342" s="54"/>
      <c r="I342" s="54"/>
      <c r="J342" s="54"/>
      <c r="K342" s="54"/>
      <c r="L342" s="35"/>
      <c r="M342" s="35"/>
      <c r="N342" s="35"/>
      <c r="O342" s="7"/>
      <c r="P342" s="7"/>
    </row>
    <row r="343" spans="1:16" s="5" customFormat="1" ht="47">
      <c r="A343" s="54" t="s">
        <v>461</v>
      </c>
      <c r="B343" s="54" t="s">
        <v>65</v>
      </c>
      <c r="C343" s="54" t="s">
        <v>425</v>
      </c>
      <c r="D343" s="62" t="s">
        <v>77</v>
      </c>
      <c r="E343" s="54" t="s">
        <v>68</v>
      </c>
      <c r="F343" s="54" t="s">
        <v>76</v>
      </c>
      <c r="G343" s="75" t="s">
        <v>77</v>
      </c>
      <c r="H343" s="54"/>
      <c r="I343" s="54"/>
      <c r="J343" s="54"/>
      <c r="K343" s="54"/>
      <c r="L343" s="35"/>
      <c r="M343" s="35"/>
      <c r="N343" s="35"/>
      <c r="O343" s="7"/>
      <c r="P343" s="7"/>
    </row>
    <row r="344" spans="1:16" s="5" customFormat="1" ht="47">
      <c r="A344" s="54" t="s">
        <v>462</v>
      </c>
      <c r="B344" s="54" t="s">
        <v>65</v>
      </c>
      <c r="C344" s="54" t="s">
        <v>425</v>
      </c>
      <c r="D344" s="58" t="s">
        <v>77</v>
      </c>
      <c r="E344" s="54" t="s">
        <v>68</v>
      </c>
      <c r="F344" s="54" t="s">
        <v>76</v>
      </c>
      <c r="G344" s="74" t="s">
        <v>70</v>
      </c>
      <c r="H344" s="54"/>
      <c r="I344" s="54"/>
      <c r="J344" s="54"/>
      <c r="K344" s="54"/>
      <c r="L344" s="35"/>
      <c r="M344" s="35"/>
      <c r="N344" s="35"/>
      <c r="O344" s="7"/>
      <c r="P344" s="7"/>
    </row>
    <row r="345" spans="1:16" s="5" customFormat="1" ht="47">
      <c r="A345" s="54" t="s">
        <v>463</v>
      </c>
      <c r="B345" s="54" t="s">
        <v>65</v>
      </c>
      <c r="C345" s="54" t="s">
        <v>425</v>
      </c>
      <c r="D345" s="62" t="s">
        <v>77</v>
      </c>
      <c r="E345" s="54" t="s">
        <v>68</v>
      </c>
      <c r="F345" s="54" t="s">
        <v>76</v>
      </c>
      <c r="G345" s="75" t="s">
        <v>77</v>
      </c>
      <c r="H345" s="54"/>
      <c r="I345" s="54"/>
      <c r="J345" s="54"/>
      <c r="K345" s="54"/>
      <c r="L345" s="35"/>
      <c r="M345" s="35"/>
      <c r="N345" s="35"/>
      <c r="O345" s="7"/>
      <c r="P345" s="7"/>
    </row>
    <row r="346" spans="1:16" s="5" customFormat="1" ht="47">
      <c r="A346" s="54" t="s">
        <v>464</v>
      </c>
      <c r="B346" s="54" t="s">
        <v>65</v>
      </c>
      <c r="C346" s="54" t="s">
        <v>425</v>
      </c>
      <c r="D346" s="62" t="s">
        <v>77</v>
      </c>
      <c r="E346" s="54" t="s">
        <v>68</v>
      </c>
      <c r="F346" s="54" t="s">
        <v>76</v>
      </c>
      <c r="G346" s="75" t="s">
        <v>77</v>
      </c>
      <c r="H346" s="54"/>
      <c r="I346" s="54"/>
      <c r="J346" s="54"/>
      <c r="K346" s="54"/>
      <c r="L346" s="35"/>
      <c r="M346" s="35"/>
      <c r="N346" s="35"/>
      <c r="O346" s="7"/>
      <c r="P346" s="7"/>
    </row>
    <row r="347" spans="1:16" s="5" customFormat="1" ht="47">
      <c r="A347" s="54" t="s">
        <v>465</v>
      </c>
      <c r="B347" s="54" t="s">
        <v>65</v>
      </c>
      <c r="C347" s="54" t="s">
        <v>425</v>
      </c>
      <c r="D347" s="62" t="s">
        <v>77</v>
      </c>
      <c r="E347" s="54" t="s">
        <v>68</v>
      </c>
      <c r="F347" s="54" t="s">
        <v>76</v>
      </c>
      <c r="G347" s="75" t="s">
        <v>77</v>
      </c>
      <c r="H347" s="54"/>
      <c r="I347" s="54"/>
      <c r="J347" s="54"/>
      <c r="K347" s="54"/>
      <c r="L347" s="35"/>
      <c r="M347" s="35"/>
      <c r="N347" s="35"/>
      <c r="O347" s="7"/>
      <c r="P347" s="7"/>
    </row>
    <row r="348" spans="1:16" s="5" customFormat="1" ht="47">
      <c r="A348" s="54" t="s">
        <v>941</v>
      </c>
      <c r="B348" s="54" t="s">
        <v>65</v>
      </c>
      <c r="C348" s="54" t="s">
        <v>425</v>
      </c>
      <c r="D348" s="62" t="s">
        <v>77</v>
      </c>
      <c r="E348" s="54" t="s">
        <v>68</v>
      </c>
      <c r="F348" s="54" t="s">
        <v>76</v>
      </c>
      <c r="G348" s="75" t="s">
        <v>77</v>
      </c>
      <c r="H348" s="54"/>
      <c r="I348" s="54"/>
      <c r="J348" s="54"/>
      <c r="K348" s="54"/>
      <c r="L348" s="35"/>
      <c r="M348" s="35"/>
      <c r="N348" s="35"/>
      <c r="O348" s="7"/>
      <c r="P348" s="7"/>
    </row>
    <row r="349" spans="1:16" s="5" customFormat="1" ht="70.5">
      <c r="A349" s="54" t="s">
        <v>466</v>
      </c>
      <c r="B349" s="54" t="s">
        <v>65</v>
      </c>
      <c r="C349" s="54" t="s">
        <v>467</v>
      </c>
      <c r="D349" s="56" t="s">
        <v>67</v>
      </c>
      <c r="E349" s="54" t="s">
        <v>68</v>
      </c>
      <c r="F349" s="54" t="s">
        <v>69</v>
      </c>
      <c r="G349" s="75" t="s">
        <v>77</v>
      </c>
      <c r="H349" s="54"/>
      <c r="I349" s="54"/>
      <c r="J349" s="54"/>
      <c r="K349" s="54"/>
      <c r="L349" s="35"/>
      <c r="M349" s="35"/>
      <c r="N349" s="35"/>
      <c r="O349" s="7"/>
      <c r="P349" s="7"/>
    </row>
    <row r="350" spans="1:16" s="5" customFormat="1" ht="47">
      <c r="A350" s="54" t="s">
        <v>468</v>
      </c>
      <c r="B350" s="54" t="s">
        <v>65</v>
      </c>
      <c r="C350" s="54" t="s">
        <v>469</v>
      </c>
      <c r="D350" s="56" t="s">
        <v>67</v>
      </c>
      <c r="E350" s="54" t="s">
        <v>84</v>
      </c>
      <c r="F350" s="54" t="s">
        <v>76</v>
      </c>
      <c r="G350" s="75" t="s">
        <v>77</v>
      </c>
      <c r="H350" s="54"/>
      <c r="I350" s="54"/>
      <c r="J350" s="54"/>
      <c r="K350" s="54"/>
      <c r="L350" s="35"/>
      <c r="M350" s="35"/>
      <c r="N350" s="35"/>
      <c r="O350" s="7"/>
      <c r="P350" s="7"/>
    </row>
    <row r="351" spans="1:16" s="5" customFormat="1" ht="47">
      <c r="A351" s="54" t="s">
        <v>470</v>
      </c>
      <c r="B351" s="54" t="s">
        <v>65</v>
      </c>
      <c r="C351" s="54" t="s">
        <v>469</v>
      </c>
      <c r="D351" s="56" t="s">
        <v>67</v>
      </c>
      <c r="E351" s="54" t="s">
        <v>84</v>
      </c>
      <c r="F351" s="54" t="s">
        <v>76</v>
      </c>
      <c r="G351" s="75" t="s">
        <v>77</v>
      </c>
      <c r="H351" s="54"/>
      <c r="I351" s="54"/>
      <c r="J351" s="54"/>
      <c r="K351" s="54"/>
      <c r="L351" s="35"/>
      <c r="M351" s="35"/>
      <c r="N351" s="35"/>
      <c r="O351" s="7"/>
      <c r="P351" s="7"/>
    </row>
    <row r="352" spans="1:16" s="5" customFormat="1" ht="47">
      <c r="A352" s="54" t="s">
        <v>471</v>
      </c>
      <c r="B352" s="54" t="s">
        <v>65</v>
      </c>
      <c r="C352" s="54" t="s">
        <v>469</v>
      </c>
      <c r="D352" s="56" t="s">
        <v>67</v>
      </c>
      <c r="E352" s="54" t="s">
        <v>84</v>
      </c>
      <c r="F352" s="54" t="s">
        <v>76</v>
      </c>
      <c r="G352" s="75" t="s">
        <v>77</v>
      </c>
      <c r="H352" s="54"/>
      <c r="I352" s="54"/>
      <c r="J352" s="54"/>
      <c r="K352" s="54"/>
      <c r="L352" s="35"/>
      <c r="M352" s="35"/>
      <c r="N352" s="35"/>
      <c r="O352" s="7"/>
      <c r="P352" s="7"/>
    </row>
    <row r="353" spans="1:16" s="5" customFormat="1" ht="47">
      <c r="A353" s="54" t="s">
        <v>472</v>
      </c>
      <c r="B353" s="54" t="s">
        <v>65</v>
      </c>
      <c r="C353" s="54" t="s">
        <v>469</v>
      </c>
      <c r="D353" s="56" t="s">
        <v>67</v>
      </c>
      <c r="E353" s="54" t="s">
        <v>84</v>
      </c>
      <c r="F353" s="54" t="s">
        <v>76</v>
      </c>
      <c r="G353" s="75" t="s">
        <v>77</v>
      </c>
      <c r="H353" s="54"/>
      <c r="I353" s="54"/>
      <c r="J353" s="54"/>
      <c r="K353" s="54"/>
      <c r="L353" s="35"/>
      <c r="M353" s="35"/>
      <c r="N353" s="35"/>
      <c r="O353" s="7"/>
      <c r="P353" s="7"/>
    </row>
    <row r="354" spans="1:16" s="5" customFormat="1" ht="47">
      <c r="A354" s="54" t="s">
        <v>473</v>
      </c>
      <c r="B354" s="54" t="s">
        <v>65</v>
      </c>
      <c r="C354" s="54" t="s">
        <v>469</v>
      </c>
      <c r="D354" s="56" t="s">
        <v>67</v>
      </c>
      <c r="E354" s="54" t="s">
        <v>75</v>
      </c>
      <c r="F354" s="54" t="s">
        <v>76</v>
      </c>
      <c r="G354" s="75" t="s">
        <v>77</v>
      </c>
      <c r="H354" s="54"/>
      <c r="I354" s="54"/>
      <c r="J354" s="54"/>
      <c r="K354" s="54"/>
      <c r="L354" s="35"/>
      <c r="M354" s="35"/>
      <c r="N354" s="35"/>
      <c r="O354" s="7"/>
      <c r="P354" s="7"/>
    </row>
    <row r="355" spans="1:16" s="5" customFormat="1" ht="47">
      <c r="A355" s="54" t="s">
        <v>474</v>
      </c>
      <c r="B355" s="54" t="s">
        <v>65</v>
      </c>
      <c r="C355" s="54" t="s">
        <v>469</v>
      </c>
      <c r="D355" s="56" t="s">
        <v>67</v>
      </c>
      <c r="E355" s="54" t="s">
        <v>75</v>
      </c>
      <c r="F355" s="54" t="s">
        <v>76</v>
      </c>
      <c r="G355" s="75" t="s">
        <v>77</v>
      </c>
      <c r="H355" s="54"/>
      <c r="I355" s="54"/>
      <c r="J355" s="54"/>
      <c r="K355" s="54"/>
      <c r="L355" s="35"/>
      <c r="M355" s="35"/>
      <c r="N355" s="35"/>
      <c r="O355" s="7"/>
      <c r="P355" s="7"/>
    </row>
    <row r="356" spans="1:16" s="5" customFormat="1" ht="47">
      <c r="A356" s="54" t="s">
        <v>475</v>
      </c>
      <c r="B356" s="54" t="s">
        <v>65</v>
      </c>
      <c r="C356" s="54" t="s">
        <v>469</v>
      </c>
      <c r="D356" s="56" t="s">
        <v>67</v>
      </c>
      <c r="E356" s="54" t="s">
        <v>84</v>
      </c>
      <c r="F356" s="54" t="s">
        <v>76</v>
      </c>
      <c r="G356" s="75" t="s">
        <v>77</v>
      </c>
      <c r="H356" s="54"/>
      <c r="I356" s="54"/>
      <c r="J356" s="54"/>
      <c r="K356" s="54"/>
      <c r="L356" s="35"/>
      <c r="M356" s="35"/>
      <c r="N356" s="35"/>
      <c r="O356" s="7"/>
      <c r="P356" s="7"/>
    </row>
    <row r="357" spans="1:16" s="5" customFormat="1" ht="47">
      <c r="A357" s="54" t="s">
        <v>476</v>
      </c>
      <c r="B357" s="54" t="s">
        <v>65</v>
      </c>
      <c r="C357" s="54" t="s">
        <v>469</v>
      </c>
      <c r="D357" s="56" t="s">
        <v>67</v>
      </c>
      <c r="E357" s="54" t="s">
        <v>75</v>
      </c>
      <c r="F357" s="54" t="s">
        <v>76</v>
      </c>
      <c r="G357" s="75" t="s">
        <v>77</v>
      </c>
      <c r="H357" s="54"/>
      <c r="I357" s="54"/>
      <c r="J357" s="54"/>
      <c r="K357" s="54"/>
      <c r="L357" s="35"/>
      <c r="M357" s="35"/>
      <c r="N357" s="35"/>
      <c r="O357" s="7"/>
      <c r="P357" s="7"/>
    </row>
    <row r="358" spans="1:16" s="5" customFormat="1" ht="47">
      <c r="A358" s="54" t="s">
        <v>477</v>
      </c>
      <c r="B358" s="54" t="s">
        <v>65</v>
      </c>
      <c r="C358" s="54" t="s">
        <v>469</v>
      </c>
      <c r="D358" s="56" t="s">
        <v>67</v>
      </c>
      <c r="E358" s="54" t="s">
        <v>84</v>
      </c>
      <c r="F358" s="54" t="s">
        <v>76</v>
      </c>
      <c r="G358" s="75" t="s">
        <v>77</v>
      </c>
      <c r="H358" s="54"/>
      <c r="I358" s="54"/>
      <c r="J358" s="54"/>
      <c r="K358" s="54"/>
      <c r="L358" s="35"/>
      <c r="M358" s="35"/>
      <c r="N358" s="35"/>
      <c r="O358" s="7"/>
      <c r="P358" s="7"/>
    </row>
    <row r="359" spans="1:16" s="5" customFormat="1" ht="47">
      <c r="A359" s="54" t="s">
        <v>478</v>
      </c>
      <c r="B359" s="54" t="s">
        <v>65</v>
      </c>
      <c r="C359" s="54" t="s">
        <v>469</v>
      </c>
      <c r="D359" s="56" t="s">
        <v>67</v>
      </c>
      <c r="E359" s="54" t="s">
        <v>84</v>
      </c>
      <c r="F359" s="54" t="s">
        <v>76</v>
      </c>
      <c r="G359" s="75" t="s">
        <v>77</v>
      </c>
      <c r="H359" s="1"/>
      <c r="I359" s="54"/>
      <c r="J359" s="54"/>
      <c r="K359" s="54"/>
      <c r="L359" s="35"/>
      <c r="M359" s="35"/>
      <c r="N359" s="35"/>
      <c r="O359" s="7"/>
      <c r="P359" s="7"/>
    </row>
    <row r="360" spans="1:16" s="5" customFormat="1" ht="47">
      <c r="A360" s="54" t="s">
        <v>479</v>
      </c>
      <c r="B360" s="54" t="s">
        <v>65</v>
      </c>
      <c r="C360" s="54" t="s">
        <v>469</v>
      </c>
      <c r="D360" s="56" t="s">
        <v>67</v>
      </c>
      <c r="E360" s="54" t="s">
        <v>84</v>
      </c>
      <c r="F360" s="54" t="s">
        <v>76</v>
      </c>
      <c r="G360" s="75" t="s">
        <v>77</v>
      </c>
      <c r="H360" s="54"/>
      <c r="I360" s="54"/>
      <c r="J360" s="54"/>
      <c r="K360" s="54"/>
      <c r="L360" s="35"/>
      <c r="M360" s="35"/>
      <c r="N360" s="35"/>
      <c r="O360" s="7"/>
      <c r="P360" s="7"/>
    </row>
    <row r="361" spans="1:16" s="5" customFormat="1" ht="47">
      <c r="A361" s="54" t="s">
        <v>480</v>
      </c>
      <c r="B361" s="54" t="s">
        <v>65</v>
      </c>
      <c r="C361" s="54" t="s">
        <v>469</v>
      </c>
      <c r="D361" s="56" t="s">
        <v>67</v>
      </c>
      <c r="E361" s="54" t="s">
        <v>75</v>
      </c>
      <c r="F361" s="54" t="s">
        <v>76</v>
      </c>
      <c r="G361" s="75" t="s">
        <v>77</v>
      </c>
      <c r="H361" s="54"/>
      <c r="I361" s="54"/>
      <c r="J361" s="54"/>
      <c r="K361" s="54"/>
      <c r="L361" s="35"/>
      <c r="M361" s="35"/>
      <c r="N361" s="35"/>
      <c r="O361" s="7"/>
      <c r="P361" s="7"/>
    </row>
    <row r="362" spans="1:16" s="5" customFormat="1" ht="47">
      <c r="A362" s="54" t="s">
        <v>481</v>
      </c>
      <c r="B362" s="54" t="s">
        <v>65</v>
      </c>
      <c r="C362" s="54" t="s">
        <v>469</v>
      </c>
      <c r="D362" s="56" t="s">
        <v>67</v>
      </c>
      <c r="E362" s="54" t="s">
        <v>84</v>
      </c>
      <c r="F362" s="54" t="s">
        <v>76</v>
      </c>
      <c r="G362" s="75" t="s">
        <v>77</v>
      </c>
      <c r="H362" s="54"/>
      <c r="I362" s="54"/>
      <c r="J362" s="54"/>
      <c r="K362" s="54"/>
      <c r="L362" s="35"/>
      <c r="M362" s="35"/>
      <c r="N362" s="35"/>
      <c r="O362" s="7"/>
      <c r="P362" s="7"/>
    </row>
    <row r="363" spans="1:16" s="5" customFormat="1" ht="47">
      <c r="A363" s="54" t="s">
        <v>482</v>
      </c>
      <c r="B363" s="54" t="s">
        <v>65</v>
      </c>
      <c r="C363" s="54" t="s">
        <v>469</v>
      </c>
      <c r="D363" s="56" t="s">
        <v>67</v>
      </c>
      <c r="E363" s="54" t="s">
        <v>84</v>
      </c>
      <c r="F363" s="54" t="s">
        <v>76</v>
      </c>
      <c r="G363" s="75" t="s">
        <v>77</v>
      </c>
      <c r="H363" s="54"/>
      <c r="I363" s="54"/>
      <c r="J363" s="54"/>
      <c r="K363" s="54"/>
      <c r="L363" s="35"/>
      <c r="M363" s="35"/>
      <c r="N363" s="35"/>
      <c r="O363" s="7"/>
      <c r="P363" s="7"/>
    </row>
    <row r="364" spans="1:16" s="5" customFormat="1" ht="47">
      <c r="A364" s="54" t="s">
        <v>483</v>
      </c>
      <c r="B364" s="54" t="s">
        <v>65</v>
      </c>
      <c r="C364" s="54" t="s">
        <v>469</v>
      </c>
      <c r="D364" s="56" t="s">
        <v>67</v>
      </c>
      <c r="E364" s="54" t="s">
        <v>84</v>
      </c>
      <c r="F364" s="54" t="s">
        <v>76</v>
      </c>
      <c r="G364" s="75" t="s">
        <v>77</v>
      </c>
      <c r="H364" s="54"/>
      <c r="I364" s="54"/>
      <c r="J364" s="54"/>
      <c r="K364" s="54"/>
      <c r="L364" s="35"/>
      <c r="M364" s="35"/>
      <c r="N364" s="35"/>
      <c r="O364" s="7"/>
      <c r="P364" s="7"/>
    </row>
    <row r="365" spans="1:16" s="5" customFormat="1" ht="47">
      <c r="A365" s="54" t="s">
        <v>484</v>
      </c>
      <c r="B365" s="54" t="s">
        <v>65</v>
      </c>
      <c r="C365" s="54" t="s">
        <v>469</v>
      </c>
      <c r="D365" s="56" t="s">
        <v>67</v>
      </c>
      <c r="E365" s="54" t="s">
        <v>84</v>
      </c>
      <c r="F365" s="54" t="s">
        <v>76</v>
      </c>
      <c r="G365" s="75" t="s">
        <v>77</v>
      </c>
      <c r="H365" s="54"/>
      <c r="I365" s="54"/>
      <c r="J365" s="54"/>
      <c r="K365" s="54"/>
      <c r="L365" s="35"/>
      <c r="M365" s="35"/>
      <c r="N365" s="35"/>
      <c r="O365" s="7"/>
      <c r="P365" s="7"/>
    </row>
    <row r="366" spans="1:16" s="5" customFormat="1" ht="47">
      <c r="A366" s="54" t="s">
        <v>485</v>
      </c>
      <c r="B366" s="54" t="s">
        <v>65</v>
      </c>
      <c r="C366" s="54" t="s">
        <v>469</v>
      </c>
      <c r="D366" s="56" t="s">
        <v>67</v>
      </c>
      <c r="E366" s="54" t="s">
        <v>84</v>
      </c>
      <c r="F366" s="54" t="s">
        <v>76</v>
      </c>
      <c r="G366" s="75" t="s">
        <v>77</v>
      </c>
      <c r="H366" s="54"/>
      <c r="I366" s="54"/>
      <c r="J366" s="54"/>
      <c r="K366" s="54"/>
      <c r="L366" s="35"/>
      <c r="M366" s="35"/>
      <c r="N366" s="35"/>
      <c r="O366" s="7"/>
      <c r="P366" s="7"/>
    </row>
    <row r="367" spans="1:16" s="5" customFormat="1" ht="47">
      <c r="A367" s="54" t="s">
        <v>486</v>
      </c>
      <c r="B367" s="54" t="s">
        <v>65</v>
      </c>
      <c r="C367" s="54" t="s">
        <v>469</v>
      </c>
      <c r="D367" s="56" t="s">
        <v>67</v>
      </c>
      <c r="E367" s="54" t="s">
        <v>84</v>
      </c>
      <c r="F367" s="54" t="s">
        <v>76</v>
      </c>
      <c r="G367" s="75" t="s">
        <v>77</v>
      </c>
      <c r="H367" s="54"/>
      <c r="I367" s="54"/>
      <c r="J367" s="54"/>
      <c r="K367" s="54"/>
      <c r="L367" s="35"/>
      <c r="M367" s="35"/>
      <c r="N367" s="35"/>
      <c r="O367" s="7"/>
      <c r="P367" s="7"/>
    </row>
    <row r="368" spans="1:16" s="5" customFormat="1" ht="47">
      <c r="A368" s="54" t="s">
        <v>487</v>
      </c>
      <c r="B368" s="54" t="s">
        <v>65</v>
      </c>
      <c r="C368" s="54" t="s">
        <v>469</v>
      </c>
      <c r="D368" s="56" t="s">
        <v>67</v>
      </c>
      <c r="E368" s="54" t="s">
        <v>84</v>
      </c>
      <c r="F368" s="54" t="s">
        <v>76</v>
      </c>
      <c r="G368" s="75" t="s">
        <v>77</v>
      </c>
      <c r="H368" s="54"/>
      <c r="I368" s="54"/>
      <c r="J368" s="54"/>
      <c r="K368" s="54"/>
      <c r="L368" s="35"/>
      <c r="M368" s="35"/>
      <c r="N368" s="35"/>
      <c r="O368" s="7"/>
      <c r="P368" s="7"/>
    </row>
    <row r="369" spans="1:16" s="5" customFormat="1" ht="47">
      <c r="A369" s="54" t="s">
        <v>488</v>
      </c>
      <c r="B369" s="54" t="s">
        <v>65</v>
      </c>
      <c r="C369" s="54" t="s">
        <v>469</v>
      </c>
      <c r="D369" s="56" t="s">
        <v>67</v>
      </c>
      <c r="E369" s="54" t="s">
        <v>84</v>
      </c>
      <c r="F369" s="54" t="s">
        <v>76</v>
      </c>
      <c r="G369" s="75" t="s">
        <v>77</v>
      </c>
      <c r="H369" s="54"/>
      <c r="I369" s="54"/>
      <c r="J369" s="54"/>
      <c r="K369" s="54"/>
      <c r="L369" s="35"/>
      <c r="M369" s="35"/>
      <c r="N369" s="35"/>
      <c r="O369" s="7"/>
      <c r="P369" s="7"/>
    </row>
    <row r="370" spans="1:16" s="5" customFormat="1" ht="23.5">
      <c r="A370" s="54" t="s">
        <v>489</v>
      </c>
      <c r="B370" s="54" t="s">
        <v>65</v>
      </c>
      <c r="C370" s="54" t="s">
        <v>469</v>
      </c>
      <c r="D370" s="56" t="s">
        <v>67</v>
      </c>
      <c r="E370" s="54" t="s">
        <v>75</v>
      </c>
      <c r="F370" s="54" t="s">
        <v>76</v>
      </c>
      <c r="G370" s="75" t="s">
        <v>77</v>
      </c>
      <c r="H370" s="54"/>
      <c r="I370" s="54"/>
      <c r="J370" s="54"/>
      <c r="K370" s="54"/>
      <c r="L370" s="35"/>
      <c r="M370" s="35"/>
      <c r="N370" s="35"/>
      <c r="O370" s="7"/>
      <c r="P370" s="7"/>
    </row>
    <row r="371" spans="1:16" s="5" customFormat="1" ht="47">
      <c r="A371" s="54" t="s">
        <v>490</v>
      </c>
      <c r="B371" s="54" t="s">
        <v>65</v>
      </c>
      <c r="C371" s="54" t="s">
        <v>469</v>
      </c>
      <c r="D371" s="56" t="s">
        <v>67</v>
      </c>
      <c r="E371" s="54" t="s">
        <v>84</v>
      </c>
      <c r="F371" s="54" t="s">
        <v>76</v>
      </c>
      <c r="G371" s="75" t="s">
        <v>77</v>
      </c>
      <c r="H371" s="54"/>
      <c r="I371" s="54"/>
      <c r="J371" s="54"/>
      <c r="K371" s="54"/>
      <c r="L371" s="35"/>
      <c r="M371" s="35"/>
      <c r="N371" s="35"/>
      <c r="O371" s="7"/>
      <c r="P371" s="7"/>
    </row>
    <row r="372" spans="1:16" s="5" customFormat="1" ht="47">
      <c r="A372" s="54" t="s">
        <v>491</v>
      </c>
      <c r="B372" s="54" t="s">
        <v>65</v>
      </c>
      <c r="C372" s="54" t="s">
        <v>469</v>
      </c>
      <c r="D372" s="56" t="s">
        <v>67</v>
      </c>
      <c r="E372" s="54" t="s">
        <v>84</v>
      </c>
      <c r="F372" s="54" t="s">
        <v>76</v>
      </c>
      <c r="G372" s="75" t="s">
        <v>77</v>
      </c>
      <c r="H372" s="54"/>
      <c r="I372" s="54"/>
      <c r="J372" s="54"/>
      <c r="K372" s="54"/>
      <c r="L372" s="35"/>
      <c r="M372" s="35"/>
      <c r="N372" s="35"/>
      <c r="O372" s="7"/>
      <c r="P372" s="7"/>
    </row>
    <row r="373" spans="1:16" s="5" customFormat="1" ht="47">
      <c r="A373" s="54" t="s">
        <v>492</v>
      </c>
      <c r="B373" s="54" t="s">
        <v>65</v>
      </c>
      <c r="C373" s="54" t="s">
        <v>469</v>
      </c>
      <c r="D373" s="56" t="s">
        <v>67</v>
      </c>
      <c r="E373" s="54" t="s">
        <v>84</v>
      </c>
      <c r="F373" s="54" t="s">
        <v>76</v>
      </c>
      <c r="G373" s="75" t="s">
        <v>77</v>
      </c>
      <c r="H373" s="54"/>
      <c r="I373" s="54"/>
      <c r="J373" s="54"/>
      <c r="K373" s="54"/>
      <c r="L373" s="35"/>
      <c r="M373" s="35"/>
      <c r="N373" s="35"/>
      <c r="O373" s="7"/>
      <c r="P373" s="7"/>
    </row>
    <row r="374" spans="1:16" s="5" customFormat="1" ht="47">
      <c r="A374" s="54" t="s">
        <v>493</v>
      </c>
      <c r="B374" s="54" t="s">
        <v>65</v>
      </c>
      <c r="C374" s="54" t="s">
        <v>469</v>
      </c>
      <c r="D374" s="56" t="s">
        <v>67</v>
      </c>
      <c r="E374" s="54" t="s">
        <v>84</v>
      </c>
      <c r="F374" s="54" t="s">
        <v>76</v>
      </c>
      <c r="G374" s="75" t="s">
        <v>77</v>
      </c>
      <c r="H374" s="54"/>
      <c r="I374" s="54"/>
      <c r="J374" s="54"/>
      <c r="K374" s="54"/>
      <c r="L374" s="35"/>
      <c r="M374" s="35"/>
      <c r="N374" s="35"/>
      <c r="O374" s="7"/>
      <c r="P374" s="7"/>
    </row>
    <row r="375" spans="1:16" s="5" customFormat="1" ht="47">
      <c r="A375" s="54" t="s">
        <v>494</v>
      </c>
      <c r="B375" s="54" t="s">
        <v>65</v>
      </c>
      <c r="C375" s="54" t="s">
        <v>469</v>
      </c>
      <c r="D375" s="56" t="s">
        <v>67</v>
      </c>
      <c r="E375" s="54" t="s">
        <v>84</v>
      </c>
      <c r="F375" s="54" t="s">
        <v>76</v>
      </c>
      <c r="G375" s="75" t="s">
        <v>77</v>
      </c>
      <c r="H375" s="54"/>
      <c r="I375" s="54"/>
      <c r="J375" s="54"/>
      <c r="K375" s="54"/>
      <c r="L375" s="35"/>
      <c r="M375" s="35"/>
      <c r="N375" s="35"/>
      <c r="O375" s="7"/>
      <c r="P375" s="7"/>
    </row>
    <row r="376" spans="1:16" s="5" customFormat="1" ht="47">
      <c r="A376" s="54" t="s">
        <v>495</v>
      </c>
      <c r="B376" s="54" t="s">
        <v>65</v>
      </c>
      <c r="C376" s="54" t="s">
        <v>469</v>
      </c>
      <c r="D376" s="56" t="s">
        <v>67</v>
      </c>
      <c r="E376" s="54" t="s">
        <v>84</v>
      </c>
      <c r="F376" s="54" t="s">
        <v>76</v>
      </c>
      <c r="G376" s="75" t="s">
        <v>77</v>
      </c>
      <c r="H376" s="54"/>
      <c r="I376" s="54"/>
      <c r="J376" s="54"/>
      <c r="K376" s="54"/>
      <c r="L376" s="35"/>
      <c r="M376" s="35"/>
      <c r="N376" s="35"/>
      <c r="O376" s="7"/>
      <c r="P376" s="7"/>
    </row>
    <row r="377" spans="1:16" s="5" customFormat="1" ht="47">
      <c r="A377" s="54" t="s">
        <v>496</v>
      </c>
      <c r="B377" s="54" t="s">
        <v>65</v>
      </c>
      <c r="C377" s="54" t="s">
        <v>469</v>
      </c>
      <c r="D377" s="56" t="s">
        <v>67</v>
      </c>
      <c r="E377" s="54" t="s">
        <v>84</v>
      </c>
      <c r="F377" s="54" t="s">
        <v>76</v>
      </c>
      <c r="G377" s="75" t="s">
        <v>77</v>
      </c>
      <c r="H377" s="54"/>
      <c r="I377" s="54"/>
      <c r="J377" s="54"/>
      <c r="K377" s="54"/>
      <c r="L377" s="35"/>
      <c r="M377" s="35"/>
      <c r="N377" s="35"/>
      <c r="O377" s="7"/>
      <c r="P377" s="7"/>
    </row>
    <row r="378" spans="1:16" s="5" customFormat="1" ht="47">
      <c r="A378" s="54" t="s">
        <v>497</v>
      </c>
      <c r="B378" s="54" t="s">
        <v>65</v>
      </c>
      <c r="C378" s="54" t="s">
        <v>469</v>
      </c>
      <c r="D378" s="56" t="s">
        <v>67</v>
      </c>
      <c r="E378" s="54" t="s">
        <v>84</v>
      </c>
      <c r="F378" s="54" t="s">
        <v>76</v>
      </c>
      <c r="G378" s="75" t="s">
        <v>77</v>
      </c>
      <c r="H378" s="54"/>
      <c r="I378" s="54"/>
      <c r="J378" s="54"/>
      <c r="K378" s="54"/>
      <c r="L378" s="35"/>
      <c r="M378" s="35"/>
      <c r="N378" s="35"/>
      <c r="O378" s="7"/>
      <c r="P378" s="7"/>
    </row>
    <row r="379" spans="1:16" s="5" customFormat="1" ht="47">
      <c r="A379" s="54" t="s">
        <v>498</v>
      </c>
      <c r="B379" s="54" t="s">
        <v>65</v>
      </c>
      <c r="C379" s="54" t="s">
        <v>469</v>
      </c>
      <c r="D379" s="56" t="s">
        <v>67</v>
      </c>
      <c r="E379" s="54" t="s">
        <v>84</v>
      </c>
      <c r="F379" s="54" t="s">
        <v>76</v>
      </c>
      <c r="G379" s="75" t="s">
        <v>77</v>
      </c>
      <c r="H379" s="54"/>
      <c r="I379" s="54"/>
      <c r="J379" s="54"/>
      <c r="K379" s="54"/>
      <c r="L379" s="35"/>
      <c r="M379" s="35"/>
      <c r="N379" s="35"/>
      <c r="O379" s="7"/>
      <c r="P379" s="7"/>
    </row>
    <row r="380" spans="1:16" s="5" customFormat="1" ht="47">
      <c r="A380" s="54" t="s">
        <v>499</v>
      </c>
      <c r="B380" s="54" t="s">
        <v>65</v>
      </c>
      <c r="C380" s="54" t="s">
        <v>469</v>
      </c>
      <c r="D380" s="56" t="s">
        <v>67</v>
      </c>
      <c r="E380" s="54" t="s">
        <v>84</v>
      </c>
      <c r="F380" s="54" t="s">
        <v>76</v>
      </c>
      <c r="G380" s="75" t="s">
        <v>77</v>
      </c>
      <c r="H380" s="54"/>
      <c r="I380" s="54"/>
      <c r="J380" s="54"/>
      <c r="K380" s="54"/>
      <c r="L380" s="35"/>
      <c r="M380" s="35"/>
      <c r="N380" s="35"/>
      <c r="O380" s="7"/>
      <c r="P380" s="7"/>
    </row>
    <row r="381" spans="1:16" s="5" customFormat="1" ht="47">
      <c r="A381" s="54" t="s">
        <v>500</v>
      </c>
      <c r="B381" s="54" t="s">
        <v>65</v>
      </c>
      <c r="C381" s="54" t="s">
        <v>469</v>
      </c>
      <c r="D381" s="56" t="s">
        <v>67</v>
      </c>
      <c r="E381" s="54" t="s">
        <v>84</v>
      </c>
      <c r="F381" s="54" t="s">
        <v>76</v>
      </c>
      <c r="G381" s="75" t="s">
        <v>77</v>
      </c>
      <c r="H381" s="54"/>
      <c r="I381" s="54"/>
      <c r="J381" s="54"/>
      <c r="K381" s="54"/>
      <c r="L381" s="35"/>
      <c r="M381" s="35"/>
      <c r="N381" s="35"/>
      <c r="O381" s="7"/>
      <c r="P381" s="7"/>
    </row>
    <row r="382" spans="1:16" s="5" customFormat="1" ht="47">
      <c r="A382" s="54" t="s">
        <v>501</v>
      </c>
      <c r="B382" s="54" t="s">
        <v>65</v>
      </c>
      <c r="C382" s="54" t="s">
        <v>469</v>
      </c>
      <c r="D382" s="56" t="s">
        <v>67</v>
      </c>
      <c r="E382" s="54" t="s">
        <v>84</v>
      </c>
      <c r="F382" s="54" t="s">
        <v>76</v>
      </c>
      <c r="G382" s="75" t="s">
        <v>77</v>
      </c>
      <c r="H382" s="54"/>
      <c r="I382" s="54"/>
      <c r="J382" s="54"/>
      <c r="K382" s="54"/>
      <c r="L382" s="35"/>
      <c r="M382" s="35"/>
      <c r="N382" s="35"/>
      <c r="O382" s="7"/>
      <c r="P382" s="7"/>
    </row>
    <row r="383" spans="1:16" s="5" customFormat="1" ht="47">
      <c r="A383" s="54" t="s">
        <v>502</v>
      </c>
      <c r="B383" s="54" t="s">
        <v>65</v>
      </c>
      <c r="C383" s="54" t="s">
        <v>469</v>
      </c>
      <c r="D383" s="56" t="s">
        <v>67</v>
      </c>
      <c r="E383" s="54" t="s">
        <v>84</v>
      </c>
      <c r="F383" s="54" t="s">
        <v>76</v>
      </c>
      <c r="G383" s="75" t="s">
        <v>77</v>
      </c>
      <c r="H383" s="54"/>
      <c r="I383" s="54"/>
      <c r="J383" s="54"/>
      <c r="K383" s="54"/>
      <c r="L383" s="35"/>
      <c r="M383" s="35"/>
      <c r="N383" s="35"/>
      <c r="O383" s="7"/>
      <c r="P383" s="7"/>
    </row>
    <row r="384" spans="1:16" s="5" customFormat="1" ht="47">
      <c r="A384" s="54" t="s">
        <v>503</v>
      </c>
      <c r="B384" s="54" t="s">
        <v>65</v>
      </c>
      <c r="C384" s="54" t="s">
        <v>469</v>
      </c>
      <c r="D384" s="56" t="s">
        <v>67</v>
      </c>
      <c r="E384" s="54" t="s">
        <v>84</v>
      </c>
      <c r="F384" s="54" t="s">
        <v>76</v>
      </c>
      <c r="G384" s="75" t="s">
        <v>77</v>
      </c>
      <c r="H384" s="54"/>
      <c r="I384" s="54"/>
      <c r="J384" s="54"/>
      <c r="K384" s="54"/>
      <c r="L384" s="35"/>
      <c r="M384" s="35"/>
      <c r="N384" s="35"/>
      <c r="O384" s="7"/>
      <c r="P384" s="7"/>
    </row>
    <row r="385" spans="1:16" s="5" customFormat="1" ht="47">
      <c r="A385" s="54" t="s">
        <v>504</v>
      </c>
      <c r="B385" s="54" t="s">
        <v>65</v>
      </c>
      <c r="C385" s="54" t="s">
        <v>469</v>
      </c>
      <c r="D385" s="56" t="s">
        <v>67</v>
      </c>
      <c r="E385" s="54" t="s">
        <v>84</v>
      </c>
      <c r="F385" s="54" t="s">
        <v>76</v>
      </c>
      <c r="G385" s="75" t="s">
        <v>77</v>
      </c>
      <c r="H385" s="54"/>
      <c r="I385" s="54"/>
      <c r="J385" s="54"/>
      <c r="K385" s="54"/>
      <c r="L385" s="35"/>
      <c r="M385" s="35"/>
      <c r="N385" s="35"/>
      <c r="O385" s="7"/>
      <c r="P385" s="7"/>
    </row>
    <row r="386" spans="1:16" s="5" customFormat="1" ht="47">
      <c r="A386" s="54" t="s">
        <v>505</v>
      </c>
      <c r="B386" s="54" t="s">
        <v>65</v>
      </c>
      <c r="C386" s="54" t="s">
        <v>469</v>
      </c>
      <c r="D386" s="56" t="s">
        <v>67</v>
      </c>
      <c r="E386" s="54" t="s">
        <v>84</v>
      </c>
      <c r="F386" s="54" t="s">
        <v>76</v>
      </c>
      <c r="G386" s="75" t="s">
        <v>77</v>
      </c>
      <c r="H386" s="54"/>
      <c r="I386" s="54"/>
      <c r="J386" s="54"/>
      <c r="K386" s="54"/>
      <c r="L386" s="35"/>
      <c r="M386" s="35"/>
      <c r="N386" s="35"/>
      <c r="O386" s="7"/>
      <c r="P386" s="7"/>
    </row>
    <row r="387" spans="1:16" s="5" customFormat="1" ht="47">
      <c r="A387" s="54" t="s">
        <v>506</v>
      </c>
      <c r="B387" s="54" t="s">
        <v>65</v>
      </c>
      <c r="C387" s="54" t="s">
        <v>469</v>
      </c>
      <c r="D387" s="56" t="s">
        <v>67</v>
      </c>
      <c r="E387" s="54" t="s">
        <v>84</v>
      </c>
      <c r="F387" s="54" t="s">
        <v>76</v>
      </c>
      <c r="G387" s="75" t="s">
        <v>77</v>
      </c>
      <c r="H387" s="54"/>
      <c r="I387" s="54"/>
      <c r="J387" s="54"/>
      <c r="K387" s="54"/>
      <c r="L387" s="35"/>
      <c r="M387" s="35"/>
      <c r="N387" s="35"/>
      <c r="O387" s="7"/>
      <c r="P387" s="7"/>
    </row>
    <row r="388" spans="1:16" s="5" customFormat="1" ht="47">
      <c r="A388" s="54" t="s">
        <v>507</v>
      </c>
      <c r="B388" s="54" t="s">
        <v>65</v>
      </c>
      <c r="C388" s="54" t="s">
        <v>469</v>
      </c>
      <c r="D388" s="56" t="s">
        <v>67</v>
      </c>
      <c r="E388" s="54" t="s">
        <v>84</v>
      </c>
      <c r="F388" s="54" t="s">
        <v>76</v>
      </c>
      <c r="G388" s="75" t="s">
        <v>77</v>
      </c>
      <c r="H388" s="54"/>
      <c r="I388" s="54"/>
      <c r="J388" s="54"/>
      <c r="K388" s="54"/>
      <c r="L388" s="35"/>
      <c r="M388" s="35"/>
      <c r="N388" s="35"/>
      <c r="O388" s="7"/>
      <c r="P388" s="7"/>
    </row>
    <row r="389" spans="1:16" s="5" customFormat="1" ht="47">
      <c r="A389" s="54" t="s">
        <v>508</v>
      </c>
      <c r="B389" s="54" t="s">
        <v>65</v>
      </c>
      <c r="C389" s="54" t="s">
        <v>469</v>
      </c>
      <c r="D389" s="56" t="s">
        <v>67</v>
      </c>
      <c r="E389" s="54" t="s">
        <v>75</v>
      </c>
      <c r="F389" s="54" t="s">
        <v>76</v>
      </c>
      <c r="G389" s="75" t="s">
        <v>77</v>
      </c>
      <c r="H389" s="54"/>
      <c r="I389" s="54"/>
      <c r="J389" s="54"/>
      <c r="K389" s="54"/>
      <c r="L389" s="35"/>
      <c r="M389" s="35"/>
      <c r="N389" s="35"/>
      <c r="O389" s="7"/>
      <c r="P389" s="7"/>
    </row>
    <row r="390" spans="1:16" s="5" customFormat="1" ht="47">
      <c r="A390" s="54" t="s">
        <v>509</v>
      </c>
      <c r="B390" s="54" t="s">
        <v>65</v>
      </c>
      <c r="C390" s="54" t="s">
        <v>469</v>
      </c>
      <c r="D390" s="56" t="s">
        <v>67</v>
      </c>
      <c r="E390" s="54" t="s">
        <v>84</v>
      </c>
      <c r="F390" s="54" t="s">
        <v>76</v>
      </c>
      <c r="G390" s="75" t="s">
        <v>77</v>
      </c>
      <c r="H390" s="54"/>
      <c r="I390" s="54"/>
      <c r="J390" s="54"/>
      <c r="K390" s="54"/>
      <c r="L390" s="35"/>
      <c r="M390" s="35"/>
      <c r="N390" s="35"/>
      <c r="O390" s="7"/>
      <c r="P390" s="7"/>
    </row>
    <row r="391" spans="1:16" s="5" customFormat="1" ht="47">
      <c r="A391" s="54" t="s">
        <v>510</v>
      </c>
      <c r="B391" s="54" t="s">
        <v>65</v>
      </c>
      <c r="C391" s="54" t="s">
        <v>469</v>
      </c>
      <c r="D391" s="56" t="s">
        <v>67</v>
      </c>
      <c r="E391" s="54" t="s">
        <v>75</v>
      </c>
      <c r="F391" s="54" t="s">
        <v>76</v>
      </c>
      <c r="G391" s="75" t="s">
        <v>77</v>
      </c>
      <c r="H391" s="54"/>
      <c r="I391" s="54"/>
      <c r="J391" s="54"/>
      <c r="K391" s="54"/>
      <c r="L391" s="35"/>
      <c r="M391" s="35"/>
      <c r="N391" s="35"/>
      <c r="O391" s="7"/>
      <c r="P391" s="7"/>
    </row>
    <row r="392" spans="1:16" s="5" customFormat="1" ht="47">
      <c r="A392" s="54" t="s">
        <v>511</v>
      </c>
      <c r="B392" s="54" t="s">
        <v>65</v>
      </c>
      <c r="C392" s="54" t="s">
        <v>469</v>
      </c>
      <c r="D392" s="56" t="s">
        <v>67</v>
      </c>
      <c r="E392" s="54" t="s">
        <v>84</v>
      </c>
      <c r="F392" s="54" t="s">
        <v>76</v>
      </c>
      <c r="G392" s="75" t="s">
        <v>77</v>
      </c>
      <c r="H392" s="54"/>
      <c r="I392" s="54"/>
      <c r="J392" s="54"/>
      <c r="K392" s="54"/>
      <c r="L392" s="35"/>
      <c r="M392" s="35"/>
      <c r="N392" s="35"/>
      <c r="O392" s="7"/>
      <c r="P392" s="7"/>
    </row>
    <row r="393" spans="1:16" s="5" customFormat="1" ht="47">
      <c r="A393" s="54" t="s">
        <v>512</v>
      </c>
      <c r="B393" s="54" t="s">
        <v>65</v>
      </c>
      <c r="C393" s="54" t="s">
        <v>469</v>
      </c>
      <c r="D393" s="56" t="s">
        <v>67</v>
      </c>
      <c r="E393" s="54" t="s">
        <v>84</v>
      </c>
      <c r="F393" s="54" t="s">
        <v>76</v>
      </c>
      <c r="G393" s="75" t="s">
        <v>77</v>
      </c>
      <c r="H393" s="54"/>
      <c r="I393" s="54"/>
      <c r="J393" s="54"/>
      <c r="K393" s="54"/>
      <c r="L393" s="35"/>
      <c r="M393" s="35"/>
      <c r="N393" s="35"/>
      <c r="O393" s="7"/>
      <c r="P393" s="7"/>
    </row>
    <row r="394" spans="1:16" s="5" customFormat="1" ht="47">
      <c r="A394" s="54" t="s">
        <v>513</v>
      </c>
      <c r="B394" s="54" t="s">
        <v>65</v>
      </c>
      <c r="C394" s="54" t="s">
        <v>469</v>
      </c>
      <c r="D394" s="56" t="s">
        <v>67</v>
      </c>
      <c r="E394" s="54" t="s">
        <v>84</v>
      </c>
      <c r="F394" s="54" t="s">
        <v>76</v>
      </c>
      <c r="G394" s="75" t="s">
        <v>77</v>
      </c>
      <c r="H394" s="54"/>
      <c r="I394" s="54"/>
      <c r="J394" s="54"/>
      <c r="K394" s="54"/>
      <c r="L394" s="35"/>
      <c r="M394" s="35"/>
      <c r="N394" s="35"/>
      <c r="O394" s="7"/>
      <c r="P394" s="7"/>
    </row>
    <row r="395" spans="1:16" s="5" customFormat="1" ht="47">
      <c r="A395" s="54" t="s">
        <v>514</v>
      </c>
      <c r="B395" s="54" t="s">
        <v>65</v>
      </c>
      <c r="C395" s="54" t="s">
        <v>469</v>
      </c>
      <c r="D395" s="56" t="s">
        <v>67</v>
      </c>
      <c r="E395" s="54" t="s">
        <v>84</v>
      </c>
      <c r="F395" s="54" t="s">
        <v>76</v>
      </c>
      <c r="G395" s="75" t="s">
        <v>77</v>
      </c>
      <c r="H395" s="54"/>
      <c r="I395" s="54"/>
      <c r="J395" s="54"/>
      <c r="K395" s="54"/>
      <c r="L395" s="35"/>
      <c r="M395" s="35"/>
      <c r="N395" s="35"/>
      <c r="O395" s="7"/>
      <c r="P395" s="7"/>
    </row>
    <row r="396" spans="1:16" s="5" customFormat="1" ht="47">
      <c r="A396" s="54" t="s">
        <v>515</v>
      </c>
      <c r="B396" s="54" t="s">
        <v>65</v>
      </c>
      <c r="C396" s="54" t="s">
        <v>469</v>
      </c>
      <c r="D396" s="56" t="s">
        <v>67</v>
      </c>
      <c r="E396" s="54" t="s">
        <v>84</v>
      </c>
      <c r="F396" s="54" t="s">
        <v>76</v>
      </c>
      <c r="G396" s="75" t="s">
        <v>77</v>
      </c>
      <c r="H396" s="54"/>
      <c r="I396" s="54"/>
      <c r="J396" s="54"/>
      <c r="K396" s="54"/>
      <c r="L396" s="35"/>
      <c r="M396" s="35"/>
      <c r="N396" s="35"/>
      <c r="O396" s="7"/>
      <c r="P396" s="7"/>
    </row>
    <row r="397" spans="1:16" s="5" customFormat="1" ht="47">
      <c r="A397" s="54" t="s">
        <v>516</v>
      </c>
      <c r="B397" s="54" t="s">
        <v>65</v>
      </c>
      <c r="C397" s="54" t="s">
        <v>469</v>
      </c>
      <c r="D397" s="56" t="s">
        <v>67</v>
      </c>
      <c r="E397" s="54" t="s">
        <v>84</v>
      </c>
      <c r="F397" s="54" t="s">
        <v>76</v>
      </c>
      <c r="G397" s="75" t="s">
        <v>77</v>
      </c>
      <c r="H397" s="54"/>
      <c r="I397" s="54"/>
      <c r="J397" s="54"/>
      <c r="K397" s="54"/>
      <c r="L397" s="35"/>
      <c r="M397" s="35"/>
      <c r="N397" s="35"/>
      <c r="O397" s="7"/>
      <c r="P397" s="7"/>
    </row>
    <row r="398" spans="1:16" s="5" customFormat="1" ht="23.5">
      <c r="A398" s="54" t="s">
        <v>517</v>
      </c>
      <c r="B398" s="54" t="s">
        <v>65</v>
      </c>
      <c r="C398" s="54" t="s">
        <v>469</v>
      </c>
      <c r="D398" s="56" t="s">
        <v>67</v>
      </c>
      <c r="E398" s="54" t="s">
        <v>75</v>
      </c>
      <c r="F398" s="54" t="s">
        <v>76</v>
      </c>
      <c r="G398" s="75" t="s">
        <v>77</v>
      </c>
      <c r="H398" s="54"/>
      <c r="I398" s="54"/>
      <c r="J398" s="54"/>
      <c r="K398" s="54"/>
      <c r="L398" s="35"/>
      <c r="M398" s="35"/>
      <c r="N398" s="35"/>
      <c r="O398" s="7"/>
      <c r="P398" s="7"/>
    </row>
    <row r="399" spans="1:16" s="5" customFormat="1" ht="47">
      <c r="A399" s="54" t="s">
        <v>518</v>
      </c>
      <c r="B399" s="54" t="s">
        <v>65</v>
      </c>
      <c r="C399" s="54" t="s">
        <v>469</v>
      </c>
      <c r="D399" s="56" t="s">
        <v>67</v>
      </c>
      <c r="E399" s="54" t="s">
        <v>75</v>
      </c>
      <c r="F399" s="54" t="s">
        <v>76</v>
      </c>
      <c r="G399" s="75" t="s">
        <v>77</v>
      </c>
      <c r="H399" s="54"/>
      <c r="I399" s="54"/>
      <c r="J399" s="54"/>
      <c r="K399" s="54"/>
      <c r="L399" s="35"/>
      <c r="M399" s="35"/>
      <c r="N399" s="35"/>
      <c r="O399" s="7"/>
      <c r="P399" s="7"/>
    </row>
    <row r="400" spans="1:16" s="5" customFormat="1" ht="47">
      <c r="A400" s="54" t="s">
        <v>519</v>
      </c>
      <c r="B400" s="54" t="s">
        <v>65</v>
      </c>
      <c r="C400" s="54" t="s">
        <v>469</v>
      </c>
      <c r="D400" s="56" t="s">
        <v>67</v>
      </c>
      <c r="E400" s="54" t="s">
        <v>75</v>
      </c>
      <c r="F400" s="54" t="s">
        <v>76</v>
      </c>
      <c r="G400" s="75" t="s">
        <v>77</v>
      </c>
      <c r="H400" s="54"/>
      <c r="I400" s="54"/>
      <c r="J400" s="54"/>
      <c r="K400" s="54"/>
      <c r="L400" s="35"/>
      <c r="M400" s="35"/>
      <c r="N400" s="35"/>
      <c r="O400" s="7"/>
      <c r="P400" s="7"/>
    </row>
    <row r="401" spans="1:16" s="5" customFormat="1" ht="47">
      <c r="A401" s="54" t="s">
        <v>520</v>
      </c>
      <c r="B401" s="54" t="s">
        <v>65</v>
      </c>
      <c r="C401" s="54" t="s">
        <v>469</v>
      </c>
      <c r="D401" s="56" t="s">
        <v>67</v>
      </c>
      <c r="E401" s="54" t="s">
        <v>75</v>
      </c>
      <c r="F401" s="54" t="s">
        <v>76</v>
      </c>
      <c r="G401" s="75" t="s">
        <v>77</v>
      </c>
      <c r="H401" s="54"/>
      <c r="I401" s="54"/>
      <c r="J401" s="54"/>
      <c r="K401" s="54"/>
      <c r="L401" s="35"/>
      <c r="M401" s="35"/>
      <c r="N401" s="35"/>
      <c r="O401" s="7"/>
      <c r="P401" s="7"/>
    </row>
    <row r="402" spans="1:16" s="5" customFormat="1" ht="47">
      <c r="A402" s="54" t="s">
        <v>521</v>
      </c>
      <c r="B402" s="54" t="s">
        <v>65</v>
      </c>
      <c r="C402" s="54" t="s">
        <v>469</v>
      </c>
      <c r="D402" s="56" t="s">
        <v>67</v>
      </c>
      <c r="E402" s="54" t="s">
        <v>84</v>
      </c>
      <c r="F402" s="54" t="s">
        <v>76</v>
      </c>
      <c r="G402" s="75" t="s">
        <v>77</v>
      </c>
      <c r="H402" s="54"/>
      <c r="I402" s="54"/>
      <c r="J402" s="54"/>
      <c r="K402" s="54"/>
      <c r="L402" s="35"/>
      <c r="M402" s="35"/>
      <c r="N402" s="35"/>
      <c r="O402" s="7"/>
      <c r="P402" s="7"/>
    </row>
    <row r="403" spans="1:16" s="5" customFormat="1" ht="47">
      <c r="A403" s="54" t="s">
        <v>522</v>
      </c>
      <c r="B403" s="54" t="s">
        <v>65</v>
      </c>
      <c r="C403" s="54" t="s">
        <v>469</v>
      </c>
      <c r="D403" s="56" t="s">
        <v>67</v>
      </c>
      <c r="E403" s="54" t="s">
        <v>84</v>
      </c>
      <c r="F403" s="54" t="s">
        <v>76</v>
      </c>
      <c r="G403" s="75" t="s">
        <v>77</v>
      </c>
      <c r="H403" s="54"/>
      <c r="I403" s="54"/>
      <c r="J403" s="54"/>
      <c r="K403" s="54"/>
      <c r="L403" s="35"/>
      <c r="M403" s="35"/>
      <c r="N403" s="35"/>
      <c r="O403" s="7"/>
      <c r="P403" s="7"/>
    </row>
    <row r="404" spans="1:16" s="5" customFormat="1" ht="47">
      <c r="A404" s="54" t="s">
        <v>523</v>
      </c>
      <c r="B404" s="54" t="s">
        <v>65</v>
      </c>
      <c r="C404" s="54" t="s">
        <v>469</v>
      </c>
      <c r="D404" s="56" t="s">
        <v>67</v>
      </c>
      <c r="E404" s="54" t="s">
        <v>75</v>
      </c>
      <c r="F404" s="54" t="s">
        <v>76</v>
      </c>
      <c r="G404" s="75" t="s">
        <v>77</v>
      </c>
      <c r="H404" s="54"/>
      <c r="I404" s="54"/>
      <c r="J404" s="54"/>
      <c r="K404" s="54"/>
      <c r="L404" s="35"/>
      <c r="M404" s="35"/>
      <c r="N404" s="35"/>
      <c r="O404" s="7"/>
      <c r="P404" s="7"/>
    </row>
    <row r="405" spans="1:16" s="5" customFormat="1" ht="47">
      <c r="A405" s="54" t="s">
        <v>524</v>
      </c>
      <c r="B405" s="54" t="s">
        <v>65</v>
      </c>
      <c r="C405" s="54" t="s">
        <v>469</v>
      </c>
      <c r="D405" s="56" t="s">
        <v>67</v>
      </c>
      <c r="E405" s="54" t="s">
        <v>75</v>
      </c>
      <c r="F405" s="54" t="s">
        <v>76</v>
      </c>
      <c r="G405" s="75" t="s">
        <v>77</v>
      </c>
      <c r="H405" s="54"/>
      <c r="I405" s="54"/>
      <c r="J405" s="54"/>
      <c r="K405" s="54"/>
      <c r="L405" s="35"/>
      <c r="M405" s="35"/>
      <c r="N405" s="35"/>
      <c r="O405" s="7"/>
      <c r="P405" s="7"/>
    </row>
    <row r="406" spans="1:16" s="5" customFormat="1" ht="47">
      <c r="A406" s="54" t="s">
        <v>525</v>
      </c>
      <c r="B406" s="54" t="s">
        <v>65</v>
      </c>
      <c r="C406" s="54" t="s">
        <v>469</v>
      </c>
      <c r="D406" s="56" t="s">
        <v>67</v>
      </c>
      <c r="E406" s="54" t="s">
        <v>75</v>
      </c>
      <c r="F406" s="54" t="s">
        <v>76</v>
      </c>
      <c r="G406" s="75" t="s">
        <v>77</v>
      </c>
      <c r="H406" s="54"/>
      <c r="I406" s="54"/>
      <c r="J406" s="54"/>
      <c r="K406" s="54"/>
      <c r="L406" s="35"/>
      <c r="M406" s="35"/>
      <c r="N406" s="35"/>
      <c r="O406" s="7"/>
      <c r="P406" s="7"/>
    </row>
    <row r="407" spans="1:16" s="5" customFormat="1" ht="47">
      <c r="A407" s="54" t="s">
        <v>526</v>
      </c>
      <c r="B407" s="54" t="s">
        <v>65</v>
      </c>
      <c r="C407" s="54" t="s">
        <v>469</v>
      </c>
      <c r="D407" s="56" t="s">
        <v>67</v>
      </c>
      <c r="E407" s="54" t="s">
        <v>84</v>
      </c>
      <c r="F407" s="54" t="s">
        <v>76</v>
      </c>
      <c r="G407" s="75" t="s">
        <v>77</v>
      </c>
      <c r="H407" s="54"/>
      <c r="I407" s="54"/>
      <c r="J407" s="54"/>
      <c r="K407" s="54"/>
      <c r="L407" s="35"/>
      <c r="M407" s="35"/>
      <c r="N407" s="35"/>
      <c r="O407" s="7"/>
      <c r="P407" s="7"/>
    </row>
    <row r="408" spans="1:16" s="5" customFormat="1" ht="47">
      <c r="A408" s="54" t="s">
        <v>527</v>
      </c>
      <c r="B408" s="54" t="s">
        <v>65</v>
      </c>
      <c r="C408" s="54" t="s">
        <v>469</v>
      </c>
      <c r="D408" s="56" t="s">
        <v>67</v>
      </c>
      <c r="E408" s="54" t="s">
        <v>84</v>
      </c>
      <c r="F408" s="54" t="s">
        <v>76</v>
      </c>
      <c r="G408" s="75" t="s">
        <v>77</v>
      </c>
      <c r="H408" s="54"/>
      <c r="I408" s="54"/>
      <c r="J408" s="54"/>
      <c r="K408" s="54"/>
      <c r="L408" s="35"/>
      <c r="M408" s="35"/>
      <c r="N408" s="35"/>
      <c r="O408" s="7"/>
      <c r="P408" s="7"/>
    </row>
    <row r="409" spans="1:16" s="5" customFormat="1" ht="47">
      <c r="A409" s="54" t="s">
        <v>528</v>
      </c>
      <c r="B409" s="54" t="s">
        <v>65</v>
      </c>
      <c r="C409" s="54" t="s">
        <v>469</v>
      </c>
      <c r="D409" s="56" t="s">
        <v>67</v>
      </c>
      <c r="E409" s="54" t="s">
        <v>84</v>
      </c>
      <c r="F409" s="54" t="s">
        <v>76</v>
      </c>
      <c r="G409" s="75" t="s">
        <v>77</v>
      </c>
      <c r="H409" s="54"/>
      <c r="I409" s="54"/>
      <c r="J409" s="54"/>
      <c r="K409" s="54"/>
      <c r="L409" s="35"/>
      <c r="M409" s="35"/>
      <c r="N409" s="35"/>
      <c r="O409" s="7"/>
      <c r="P409" s="7"/>
    </row>
    <row r="410" spans="1:16" s="5" customFormat="1" ht="47">
      <c r="A410" s="54" t="s">
        <v>529</v>
      </c>
      <c r="B410" s="54" t="s">
        <v>65</v>
      </c>
      <c r="C410" s="54" t="s">
        <v>469</v>
      </c>
      <c r="D410" s="56" t="s">
        <v>67</v>
      </c>
      <c r="E410" s="54" t="s">
        <v>84</v>
      </c>
      <c r="F410" s="54" t="s">
        <v>76</v>
      </c>
      <c r="G410" s="75" t="s">
        <v>77</v>
      </c>
      <c r="H410" s="54"/>
      <c r="I410" s="54"/>
      <c r="J410" s="54"/>
      <c r="K410" s="54"/>
      <c r="L410" s="35"/>
      <c r="M410" s="35"/>
      <c r="N410" s="35"/>
      <c r="O410" s="7"/>
      <c r="P410" s="7"/>
    </row>
    <row r="411" spans="1:16" s="5" customFormat="1" ht="47">
      <c r="A411" s="54" t="s">
        <v>530</v>
      </c>
      <c r="B411" s="54" t="s">
        <v>65</v>
      </c>
      <c r="C411" s="54" t="s">
        <v>469</v>
      </c>
      <c r="D411" s="56" t="s">
        <v>67</v>
      </c>
      <c r="E411" s="54" t="s">
        <v>84</v>
      </c>
      <c r="F411" s="54" t="s">
        <v>76</v>
      </c>
      <c r="G411" s="75" t="s">
        <v>77</v>
      </c>
      <c r="H411" s="54"/>
      <c r="I411" s="54"/>
      <c r="J411" s="54"/>
      <c r="K411" s="54"/>
      <c r="L411" s="35"/>
      <c r="M411" s="35"/>
      <c r="N411" s="35"/>
      <c r="O411" s="7"/>
      <c r="P411" s="7"/>
    </row>
    <row r="412" spans="1:16" s="5" customFormat="1" ht="47">
      <c r="A412" s="54" t="s">
        <v>531</v>
      </c>
      <c r="B412" s="54" t="s">
        <v>65</v>
      </c>
      <c r="C412" s="54" t="s">
        <v>469</v>
      </c>
      <c r="D412" s="56" t="s">
        <v>67</v>
      </c>
      <c r="E412" s="54" t="s">
        <v>84</v>
      </c>
      <c r="F412" s="54" t="s">
        <v>76</v>
      </c>
      <c r="G412" s="75" t="s">
        <v>77</v>
      </c>
      <c r="H412" s="54"/>
      <c r="I412" s="54"/>
      <c r="J412" s="54"/>
      <c r="K412" s="54"/>
      <c r="L412" s="35"/>
      <c r="M412" s="35"/>
      <c r="N412" s="35"/>
      <c r="O412" s="7"/>
      <c r="P412" s="7"/>
    </row>
    <row r="413" spans="1:16" s="5" customFormat="1" ht="47">
      <c r="A413" s="54" t="s">
        <v>532</v>
      </c>
      <c r="B413" s="54" t="s">
        <v>65</v>
      </c>
      <c r="C413" s="54" t="s">
        <v>469</v>
      </c>
      <c r="D413" s="56" t="s">
        <v>67</v>
      </c>
      <c r="E413" s="54" t="s">
        <v>75</v>
      </c>
      <c r="F413" s="54" t="s">
        <v>76</v>
      </c>
      <c r="G413" s="75" t="s">
        <v>77</v>
      </c>
      <c r="H413" s="54"/>
      <c r="I413" s="54"/>
      <c r="J413" s="54"/>
      <c r="K413" s="54"/>
      <c r="L413" s="35"/>
      <c r="M413" s="35"/>
      <c r="N413" s="35"/>
      <c r="O413" s="7"/>
      <c r="P413" s="7"/>
    </row>
    <row r="414" spans="1:16" s="5" customFormat="1" ht="47">
      <c r="A414" s="54" t="s">
        <v>533</v>
      </c>
      <c r="B414" s="54" t="s">
        <v>65</v>
      </c>
      <c r="C414" s="54" t="s">
        <v>469</v>
      </c>
      <c r="D414" s="56" t="s">
        <v>67</v>
      </c>
      <c r="E414" s="54" t="s">
        <v>75</v>
      </c>
      <c r="F414" s="54" t="s">
        <v>76</v>
      </c>
      <c r="G414" s="75" t="s">
        <v>77</v>
      </c>
      <c r="H414" s="54"/>
      <c r="I414" s="54"/>
      <c r="J414" s="54"/>
      <c r="K414" s="54"/>
      <c r="L414" s="35"/>
      <c r="M414" s="35"/>
      <c r="N414" s="35"/>
      <c r="O414" s="7"/>
      <c r="P414" s="7"/>
    </row>
    <row r="415" spans="1:16" s="5" customFormat="1" ht="47">
      <c r="A415" s="54" t="s">
        <v>534</v>
      </c>
      <c r="B415" s="54" t="s">
        <v>65</v>
      </c>
      <c r="C415" s="54" t="s">
        <v>469</v>
      </c>
      <c r="D415" s="56" t="s">
        <v>67</v>
      </c>
      <c r="E415" s="54" t="s">
        <v>75</v>
      </c>
      <c r="F415" s="54" t="s">
        <v>76</v>
      </c>
      <c r="G415" s="75" t="s">
        <v>77</v>
      </c>
      <c r="H415" s="54"/>
      <c r="I415" s="54"/>
      <c r="J415" s="54"/>
      <c r="K415" s="54"/>
      <c r="L415" s="35"/>
      <c r="M415" s="35"/>
      <c r="N415" s="35"/>
      <c r="O415" s="7"/>
      <c r="P415" s="7"/>
    </row>
    <row r="416" spans="1:16" s="5" customFormat="1" ht="47">
      <c r="A416" s="54" t="s">
        <v>535</v>
      </c>
      <c r="B416" s="54" t="s">
        <v>65</v>
      </c>
      <c r="C416" s="54" t="s">
        <v>469</v>
      </c>
      <c r="D416" s="56" t="s">
        <v>67</v>
      </c>
      <c r="E416" s="54" t="s">
        <v>75</v>
      </c>
      <c r="F416" s="54" t="s">
        <v>76</v>
      </c>
      <c r="G416" s="75" t="s">
        <v>77</v>
      </c>
      <c r="H416" s="54"/>
      <c r="I416" s="54"/>
      <c r="J416" s="54"/>
      <c r="K416" s="54"/>
      <c r="L416" s="35"/>
      <c r="M416" s="35"/>
      <c r="N416" s="35"/>
      <c r="O416" s="7"/>
      <c r="P416" s="7"/>
    </row>
    <row r="417" spans="1:16" s="5" customFormat="1" ht="47">
      <c r="A417" s="54" t="s">
        <v>536</v>
      </c>
      <c r="B417" s="54" t="s">
        <v>65</v>
      </c>
      <c r="C417" s="54" t="s">
        <v>469</v>
      </c>
      <c r="D417" s="56" t="s">
        <v>67</v>
      </c>
      <c r="E417" s="54" t="s">
        <v>75</v>
      </c>
      <c r="F417" s="54" t="s">
        <v>76</v>
      </c>
      <c r="G417" s="75" t="s">
        <v>77</v>
      </c>
      <c r="H417" s="54"/>
      <c r="I417" s="54"/>
      <c r="J417" s="54"/>
      <c r="K417" s="54"/>
      <c r="L417" s="35"/>
      <c r="M417" s="35"/>
      <c r="N417" s="35"/>
      <c r="O417" s="7"/>
      <c r="P417" s="7"/>
    </row>
    <row r="418" spans="1:16" s="5" customFormat="1" ht="47">
      <c r="A418" s="54" t="s">
        <v>537</v>
      </c>
      <c r="B418" s="54" t="s">
        <v>65</v>
      </c>
      <c r="C418" s="54" t="s">
        <v>469</v>
      </c>
      <c r="D418" s="56" t="s">
        <v>67</v>
      </c>
      <c r="E418" s="54" t="s">
        <v>75</v>
      </c>
      <c r="F418" s="54" t="s">
        <v>76</v>
      </c>
      <c r="G418" s="75" t="s">
        <v>77</v>
      </c>
      <c r="H418" s="54"/>
      <c r="I418" s="54"/>
      <c r="J418" s="54"/>
      <c r="K418" s="54"/>
      <c r="L418" s="35"/>
      <c r="M418" s="35"/>
      <c r="N418" s="35"/>
      <c r="O418" s="7"/>
      <c r="P418" s="7"/>
    </row>
    <row r="419" spans="1:16" s="5" customFormat="1" ht="47">
      <c r="A419" s="54" t="s">
        <v>538</v>
      </c>
      <c r="B419" s="54" t="s">
        <v>65</v>
      </c>
      <c r="C419" s="54" t="s">
        <v>469</v>
      </c>
      <c r="D419" s="56" t="s">
        <v>67</v>
      </c>
      <c r="E419" s="54" t="s">
        <v>84</v>
      </c>
      <c r="F419" s="54" t="s">
        <v>76</v>
      </c>
      <c r="G419" s="75" t="s">
        <v>77</v>
      </c>
      <c r="H419" s="54"/>
      <c r="I419" s="54"/>
      <c r="J419" s="54"/>
      <c r="K419" s="54"/>
      <c r="L419" s="35"/>
      <c r="M419" s="35"/>
      <c r="N419" s="35"/>
      <c r="O419" s="7"/>
      <c r="P419" s="7"/>
    </row>
    <row r="420" spans="1:16" s="5" customFormat="1" ht="47">
      <c r="A420" s="54" t="s">
        <v>539</v>
      </c>
      <c r="B420" s="54" t="s">
        <v>65</v>
      </c>
      <c r="C420" s="54" t="s">
        <v>469</v>
      </c>
      <c r="D420" s="56" t="s">
        <v>67</v>
      </c>
      <c r="E420" s="54" t="s">
        <v>84</v>
      </c>
      <c r="F420" s="54" t="s">
        <v>76</v>
      </c>
      <c r="G420" s="75" t="s">
        <v>77</v>
      </c>
      <c r="H420" s="54"/>
      <c r="I420" s="54"/>
      <c r="J420" s="54"/>
      <c r="K420" s="54"/>
      <c r="L420" s="35"/>
      <c r="M420" s="35"/>
      <c r="N420" s="35"/>
      <c r="O420" s="7"/>
      <c r="P420" s="7"/>
    </row>
    <row r="421" spans="1:16" s="5" customFormat="1" ht="47">
      <c r="A421" s="54" t="s">
        <v>540</v>
      </c>
      <c r="B421" s="54" t="s">
        <v>65</v>
      </c>
      <c r="C421" s="54" t="s">
        <v>469</v>
      </c>
      <c r="D421" s="56" t="s">
        <v>67</v>
      </c>
      <c r="E421" s="54" t="s">
        <v>84</v>
      </c>
      <c r="F421" s="54" t="s">
        <v>76</v>
      </c>
      <c r="G421" s="75" t="s">
        <v>77</v>
      </c>
      <c r="H421" s="54"/>
      <c r="I421" s="54"/>
      <c r="J421" s="54"/>
      <c r="K421" s="54"/>
      <c r="L421" s="35"/>
      <c r="M421" s="35"/>
      <c r="N421" s="35"/>
      <c r="O421" s="7"/>
      <c r="P421" s="7"/>
    </row>
    <row r="422" spans="1:16" s="5" customFormat="1" ht="47">
      <c r="A422" s="54" t="s">
        <v>541</v>
      </c>
      <c r="B422" s="54" t="s">
        <v>65</v>
      </c>
      <c r="C422" s="54" t="s">
        <v>469</v>
      </c>
      <c r="D422" s="56" t="s">
        <v>67</v>
      </c>
      <c r="E422" s="54" t="s">
        <v>84</v>
      </c>
      <c r="F422" s="54" t="s">
        <v>76</v>
      </c>
      <c r="G422" s="75" t="s">
        <v>77</v>
      </c>
      <c r="H422" s="54"/>
      <c r="I422" s="54"/>
      <c r="J422" s="54"/>
      <c r="K422" s="54"/>
      <c r="L422" s="35"/>
      <c r="M422" s="35"/>
      <c r="N422" s="35"/>
      <c r="O422" s="7"/>
      <c r="P422" s="7"/>
    </row>
    <row r="423" spans="1:16" s="5" customFormat="1" ht="47">
      <c r="A423" s="54" t="s">
        <v>542</v>
      </c>
      <c r="B423" s="54" t="s">
        <v>65</v>
      </c>
      <c r="C423" s="54" t="s">
        <v>469</v>
      </c>
      <c r="D423" s="56" t="s">
        <v>67</v>
      </c>
      <c r="E423" s="54" t="s">
        <v>84</v>
      </c>
      <c r="F423" s="54" t="s">
        <v>76</v>
      </c>
      <c r="G423" s="75" t="s">
        <v>77</v>
      </c>
      <c r="H423" s="54"/>
      <c r="I423" s="54"/>
      <c r="J423" s="54"/>
      <c r="K423" s="54"/>
      <c r="L423" s="35"/>
      <c r="M423" s="35"/>
      <c r="N423" s="35"/>
      <c r="O423" s="7"/>
      <c r="P423" s="7"/>
    </row>
    <row r="424" spans="1:16" s="5" customFormat="1" ht="47">
      <c r="A424" s="54" t="s">
        <v>543</v>
      </c>
      <c r="B424" s="54" t="s">
        <v>65</v>
      </c>
      <c r="C424" s="54" t="s">
        <v>469</v>
      </c>
      <c r="D424" s="56" t="s">
        <v>67</v>
      </c>
      <c r="E424" s="54" t="s">
        <v>84</v>
      </c>
      <c r="F424" s="54" t="s">
        <v>76</v>
      </c>
      <c r="G424" s="75" t="s">
        <v>77</v>
      </c>
      <c r="H424" s="54"/>
      <c r="I424" s="54"/>
      <c r="J424" s="54"/>
      <c r="K424" s="54"/>
      <c r="L424" s="35"/>
      <c r="M424" s="35"/>
      <c r="N424" s="35"/>
      <c r="O424" s="7"/>
      <c r="P424" s="7"/>
    </row>
    <row r="425" spans="1:16" s="5" customFormat="1" ht="47">
      <c r="A425" s="54" t="s">
        <v>544</v>
      </c>
      <c r="B425" s="54" t="s">
        <v>65</v>
      </c>
      <c r="C425" s="54" t="s">
        <v>469</v>
      </c>
      <c r="D425" s="56" t="s">
        <v>67</v>
      </c>
      <c r="E425" s="54" t="s">
        <v>75</v>
      </c>
      <c r="F425" s="54" t="s">
        <v>76</v>
      </c>
      <c r="G425" s="75" t="s">
        <v>77</v>
      </c>
      <c r="H425" s="54"/>
      <c r="I425" s="54"/>
      <c r="J425" s="54"/>
      <c r="K425" s="54"/>
      <c r="L425" s="35"/>
      <c r="M425" s="35"/>
      <c r="N425" s="35"/>
      <c r="O425" s="7"/>
      <c r="P425" s="7"/>
    </row>
    <row r="426" spans="1:16" s="5" customFormat="1" ht="47">
      <c r="A426" s="54" t="s">
        <v>545</v>
      </c>
      <c r="B426" s="54" t="s">
        <v>65</v>
      </c>
      <c r="C426" s="54" t="s">
        <v>469</v>
      </c>
      <c r="D426" s="56" t="s">
        <v>67</v>
      </c>
      <c r="E426" s="54" t="s">
        <v>75</v>
      </c>
      <c r="F426" s="54" t="s">
        <v>76</v>
      </c>
      <c r="G426" s="75" t="s">
        <v>77</v>
      </c>
      <c r="H426" s="54"/>
      <c r="I426" s="54"/>
      <c r="J426" s="54"/>
      <c r="K426" s="54"/>
      <c r="L426" s="35"/>
      <c r="M426" s="35"/>
      <c r="N426" s="35"/>
      <c r="O426" s="7"/>
      <c r="P426" s="7"/>
    </row>
    <row r="427" spans="1:16" s="5" customFormat="1" ht="47">
      <c r="A427" s="54" t="s">
        <v>546</v>
      </c>
      <c r="B427" s="54" t="s">
        <v>65</v>
      </c>
      <c r="C427" s="54" t="s">
        <v>469</v>
      </c>
      <c r="D427" s="56" t="s">
        <v>67</v>
      </c>
      <c r="E427" s="54" t="s">
        <v>75</v>
      </c>
      <c r="F427" s="54" t="s">
        <v>76</v>
      </c>
      <c r="G427" s="75" t="s">
        <v>77</v>
      </c>
      <c r="H427" s="54"/>
      <c r="I427" s="54"/>
      <c r="J427" s="54"/>
      <c r="K427" s="54"/>
      <c r="L427" s="35"/>
      <c r="M427" s="35"/>
      <c r="N427" s="35"/>
      <c r="O427" s="7"/>
      <c r="P427" s="7"/>
    </row>
    <row r="428" spans="1:16" s="5" customFormat="1" ht="47">
      <c r="A428" s="54" t="s">
        <v>547</v>
      </c>
      <c r="B428" s="54" t="s">
        <v>65</v>
      </c>
      <c r="C428" s="54" t="s">
        <v>469</v>
      </c>
      <c r="D428" s="56" t="s">
        <v>67</v>
      </c>
      <c r="E428" s="54" t="s">
        <v>75</v>
      </c>
      <c r="F428" s="54" t="s">
        <v>76</v>
      </c>
      <c r="G428" s="75" t="s">
        <v>77</v>
      </c>
      <c r="H428" s="54"/>
      <c r="I428" s="54"/>
      <c r="J428" s="54"/>
      <c r="K428" s="54"/>
      <c r="L428" s="35"/>
      <c r="M428" s="35"/>
      <c r="N428" s="35"/>
      <c r="O428" s="7"/>
      <c r="P428" s="7"/>
    </row>
    <row r="429" spans="1:16" s="5" customFormat="1" ht="47">
      <c r="A429" s="54" t="s">
        <v>548</v>
      </c>
      <c r="B429" s="54" t="s">
        <v>65</v>
      </c>
      <c r="C429" s="54" t="s">
        <v>469</v>
      </c>
      <c r="D429" s="56" t="s">
        <v>67</v>
      </c>
      <c r="E429" s="54" t="s">
        <v>75</v>
      </c>
      <c r="F429" s="54" t="s">
        <v>76</v>
      </c>
      <c r="G429" s="75" t="s">
        <v>77</v>
      </c>
      <c r="H429" s="54"/>
      <c r="I429" s="54"/>
      <c r="J429" s="54"/>
      <c r="K429" s="54"/>
      <c r="L429" s="35"/>
      <c r="M429" s="35"/>
      <c r="N429" s="35"/>
      <c r="O429" s="7"/>
      <c r="P429" s="7"/>
    </row>
    <row r="430" spans="1:16" s="5" customFormat="1" ht="47">
      <c r="A430" s="54" t="s">
        <v>549</v>
      </c>
      <c r="B430" s="54" t="s">
        <v>65</v>
      </c>
      <c r="C430" s="54" t="s">
        <v>469</v>
      </c>
      <c r="D430" s="56" t="s">
        <v>67</v>
      </c>
      <c r="E430" s="54" t="s">
        <v>75</v>
      </c>
      <c r="F430" s="54" t="s">
        <v>76</v>
      </c>
      <c r="G430" s="75" t="s">
        <v>77</v>
      </c>
      <c r="H430" s="54"/>
      <c r="I430" s="54"/>
      <c r="J430" s="54"/>
      <c r="K430" s="54"/>
      <c r="L430" s="35"/>
      <c r="M430" s="35"/>
      <c r="N430" s="35"/>
      <c r="O430" s="7"/>
      <c r="P430" s="7"/>
    </row>
    <row r="431" spans="1:16" s="5" customFormat="1" ht="47">
      <c r="A431" s="54" t="s">
        <v>550</v>
      </c>
      <c r="B431" s="54" t="s">
        <v>65</v>
      </c>
      <c r="C431" s="54" t="s">
        <v>469</v>
      </c>
      <c r="D431" s="56" t="s">
        <v>67</v>
      </c>
      <c r="E431" s="54" t="s">
        <v>75</v>
      </c>
      <c r="F431" s="54" t="s">
        <v>76</v>
      </c>
      <c r="G431" s="75" t="s">
        <v>77</v>
      </c>
      <c r="H431" s="54"/>
      <c r="I431" s="54"/>
      <c r="J431" s="54"/>
      <c r="K431" s="54"/>
      <c r="L431" s="35"/>
      <c r="M431" s="35"/>
      <c r="N431" s="35"/>
      <c r="O431" s="7"/>
      <c r="P431" s="7"/>
    </row>
    <row r="432" spans="1:16" s="5" customFormat="1" ht="47">
      <c r="A432" s="54" t="s">
        <v>551</v>
      </c>
      <c r="B432" s="54" t="s">
        <v>65</v>
      </c>
      <c r="C432" s="54" t="s">
        <v>469</v>
      </c>
      <c r="D432" s="56" t="s">
        <v>67</v>
      </c>
      <c r="E432" s="54" t="s">
        <v>75</v>
      </c>
      <c r="F432" s="54" t="s">
        <v>76</v>
      </c>
      <c r="G432" s="75" t="s">
        <v>77</v>
      </c>
      <c r="H432" s="54"/>
      <c r="I432" s="54"/>
      <c r="J432" s="54"/>
      <c r="K432" s="54"/>
      <c r="L432" s="35"/>
      <c r="M432" s="35"/>
      <c r="N432" s="35"/>
      <c r="O432" s="7"/>
      <c r="P432" s="7"/>
    </row>
    <row r="433" spans="1:16" s="5" customFormat="1" ht="47">
      <c r="A433" s="54" t="s">
        <v>552</v>
      </c>
      <c r="B433" s="54" t="s">
        <v>65</v>
      </c>
      <c r="C433" s="54" t="s">
        <v>469</v>
      </c>
      <c r="D433" s="56" t="s">
        <v>67</v>
      </c>
      <c r="E433" s="54" t="s">
        <v>84</v>
      </c>
      <c r="F433" s="54" t="s">
        <v>76</v>
      </c>
      <c r="G433" s="75" t="s">
        <v>77</v>
      </c>
      <c r="H433" s="54"/>
      <c r="I433" s="54"/>
      <c r="J433" s="54"/>
      <c r="K433" s="54"/>
      <c r="L433" s="35"/>
      <c r="M433" s="35"/>
      <c r="N433" s="35"/>
      <c r="O433" s="7"/>
      <c r="P433" s="7"/>
    </row>
    <row r="434" spans="1:16" s="5" customFormat="1" ht="47">
      <c r="A434" s="54" t="s">
        <v>553</v>
      </c>
      <c r="B434" s="54" t="s">
        <v>65</v>
      </c>
      <c r="C434" s="54" t="s">
        <v>469</v>
      </c>
      <c r="D434" s="56" t="s">
        <v>67</v>
      </c>
      <c r="E434" s="54" t="s">
        <v>84</v>
      </c>
      <c r="F434" s="54" t="s">
        <v>76</v>
      </c>
      <c r="G434" s="75" t="s">
        <v>77</v>
      </c>
      <c r="H434" s="54"/>
      <c r="I434" s="54"/>
      <c r="J434" s="54"/>
      <c r="K434" s="54"/>
      <c r="L434" s="35"/>
      <c r="M434" s="35"/>
      <c r="N434" s="35"/>
      <c r="O434" s="7"/>
      <c r="P434" s="7"/>
    </row>
    <row r="435" spans="1:16" s="5" customFormat="1" ht="47">
      <c r="A435" s="54" t="s">
        <v>554</v>
      </c>
      <c r="B435" s="54" t="s">
        <v>65</v>
      </c>
      <c r="C435" s="54" t="s">
        <v>469</v>
      </c>
      <c r="D435" s="56" t="s">
        <v>67</v>
      </c>
      <c r="E435" s="54" t="s">
        <v>84</v>
      </c>
      <c r="F435" s="54" t="s">
        <v>76</v>
      </c>
      <c r="G435" s="75" t="s">
        <v>77</v>
      </c>
      <c r="H435" s="54"/>
      <c r="I435" s="54"/>
      <c r="J435" s="54"/>
      <c r="K435" s="54"/>
      <c r="L435" s="35"/>
      <c r="M435" s="35"/>
      <c r="N435" s="35"/>
      <c r="O435" s="7"/>
      <c r="P435" s="7"/>
    </row>
    <row r="436" spans="1:16" s="5" customFormat="1" ht="47">
      <c r="A436" s="54" t="s">
        <v>555</v>
      </c>
      <c r="B436" s="54" t="s">
        <v>65</v>
      </c>
      <c r="C436" s="54" t="s">
        <v>469</v>
      </c>
      <c r="D436" s="56" t="s">
        <v>67</v>
      </c>
      <c r="E436" s="54" t="s">
        <v>75</v>
      </c>
      <c r="F436" s="54" t="s">
        <v>76</v>
      </c>
      <c r="G436" s="75" t="s">
        <v>77</v>
      </c>
      <c r="H436" s="54"/>
      <c r="I436" s="54"/>
      <c r="J436" s="54"/>
      <c r="K436" s="54"/>
      <c r="L436" s="35"/>
      <c r="M436" s="35"/>
      <c r="N436" s="35"/>
      <c r="O436" s="7"/>
      <c r="P436" s="7"/>
    </row>
    <row r="437" spans="1:16" s="5" customFormat="1" ht="47">
      <c r="A437" s="54" t="s">
        <v>556</v>
      </c>
      <c r="B437" s="54" t="s">
        <v>65</v>
      </c>
      <c r="C437" s="54" t="s">
        <v>469</v>
      </c>
      <c r="D437" s="56" t="s">
        <v>67</v>
      </c>
      <c r="E437" s="54" t="s">
        <v>75</v>
      </c>
      <c r="F437" s="54" t="s">
        <v>76</v>
      </c>
      <c r="G437" s="75" t="s">
        <v>77</v>
      </c>
      <c r="H437" s="54"/>
      <c r="I437" s="54"/>
      <c r="J437" s="54"/>
      <c r="K437" s="54"/>
      <c r="L437" s="35"/>
      <c r="M437" s="35"/>
      <c r="N437" s="35"/>
      <c r="O437" s="7"/>
      <c r="P437" s="7"/>
    </row>
    <row r="438" spans="1:16" s="5" customFormat="1" ht="47">
      <c r="A438" s="54" t="s">
        <v>557</v>
      </c>
      <c r="B438" s="54" t="s">
        <v>65</v>
      </c>
      <c r="C438" s="54" t="s">
        <v>469</v>
      </c>
      <c r="D438" s="56" t="s">
        <v>67</v>
      </c>
      <c r="E438" s="54" t="s">
        <v>75</v>
      </c>
      <c r="F438" s="54" t="s">
        <v>76</v>
      </c>
      <c r="G438" s="75" t="s">
        <v>77</v>
      </c>
      <c r="H438" s="54"/>
      <c r="I438" s="54"/>
      <c r="J438" s="54"/>
      <c r="K438" s="54"/>
      <c r="L438" s="35"/>
      <c r="M438" s="35"/>
      <c r="N438" s="35"/>
      <c r="O438" s="7"/>
      <c r="P438" s="7"/>
    </row>
    <row r="439" spans="1:16" s="5" customFormat="1" ht="47">
      <c r="A439" s="54" t="s">
        <v>558</v>
      </c>
      <c r="B439" s="54" t="s">
        <v>65</v>
      </c>
      <c r="C439" s="54" t="s">
        <v>469</v>
      </c>
      <c r="D439" s="56" t="s">
        <v>67</v>
      </c>
      <c r="E439" s="54" t="s">
        <v>75</v>
      </c>
      <c r="F439" s="54" t="s">
        <v>76</v>
      </c>
      <c r="G439" s="75" t="s">
        <v>77</v>
      </c>
      <c r="H439" s="54"/>
      <c r="I439" s="54"/>
      <c r="J439" s="54"/>
      <c r="K439" s="54"/>
      <c r="L439" s="35"/>
      <c r="M439" s="35"/>
      <c r="N439" s="35"/>
      <c r="O439" s="7"/>
      <c r="P439" s="7"/>
    </row>
    <row r="440" spans="1:16" s="5" customFormat="1" ht="47">
      <c r="A440" s="54" t="s">
        <v>559</v>
      </c>
      <c r="B440" s="54" t="s">
        <v>65</v>
      </c>
      <c r="C440" s="54" t="s">
        <v>469</v>
      </c>
      <c r="D440" s="56" t="s">
        <v>67</v>
      </c>
      <c r="E440" s="54" t="s">
        <v>75</v>
      </c>
      <c r="F440" s="54" t="s">
        <v>76</v>
      </c>
      <c r="G440" s="75" t="s">
        <v>77</v>
      </c>
      <c r="H440" s="54"/>
      <c r="I440" s="54"/>
      <c r="J440" s="54"/>
      <c r="K440" s="54"/>
      <c r="L440" s="35"/>
      <c r="M440" s="35"/>
      <c r="N440" s="35"/>
      <c r="O440" s="7"/>
      <c r="P440" s="7"/>
    </row>
    <row r="441" spans="1:16" s="5" customFormat="1" ht="47">
      <c r="A441" s="54" t="s">
        <v>560</v>
      </c>
      <c r="B441" s="54" t="s">
        <v>65</v>
      </c>
      <c r="C441" s="54" t="s">
        <v>469</v>
      </c>
      <c r="D441" s="56" t="s">
        <v>67</v>
      </c>
      <c r="E441" s="54" t="s">
        <v>75</v>
      </c>
      <c r="F441" s="54" t="s">
        <v>76</v>
      </c>
      <c r="G441" s="75" t="s">
        <v>77</v>
      </c>
      <c r="H441" s="54"/>
      <c r="I441" s="54"/>
      <c r="J441" s="54"/>
      <c r="K441" s="54"/>
      <c r="L441" s="35"/>
      <c r="M441" s="35"/>
      <c r="N441" s="35"/>
      <c r="O441" s="7"/>
      <c r="P441" s="7"/>
    </row>
    <row r="442" spans="1:16" s="5" customFormat="1" ht="47">
      <c r="A442" s="54" t="s">
        <v>561</v>
      </c>
      <c r="B442" s="54" t="s">
        <v>65</v>
      </c>
      <c r="C442" s="54" t="s">
        <v>469</v>
      </c>
      <c r="D442" s="56" t="s">
        <v>67</v>
      </c>
      <c r="E442" s="54" t="s">
        <v>75</v>
      </c>
      <c r="F442" s="54" t="s">
        <v>76</v>
      </c>
      <c r="G442" s="75" t="s">
        <v>77</v>
      </c>
      <c r="H442" s="54"/>
      <c r="I442" s="54"/>
      <c r="J442" s="54"/>
      <c r="K442" s="54"/>
      <c r="L442" s="35"/>
      <c r="M442" s="35"/>
      <c r="N442" s="35"/>
      <c r="O442" s="7"/>
      <c r="P442" s="7"/>
    </row>
    <row r="443" spans="1:16" s="5" customFormat="1" ht="47">
      <c r="A443" s="54" t="s">
        <v>562</v>
      </c>
      <c r="B443" s="54" t="s">
        <v>65</v>
      </c>
      <c r="C443" s="54" t="s">
        <v>469</v>
      </c>
      <c r="D443" s="56" t="s">
        <v>67</v>
      </c>
      <c r="E443" s="54" t="s">
        <v>84</v>
      </c>
      <c r="F443" s="54" t="s">
        <v>76</v>
      </c>
      <c r="G443" s="75" t="s">
        <v>77</v>
      </c>
      <c r="H443" s="54"/>
      <c r="I443" s="54"/>
      <c r="J443" s="54"/>
      <c r="K443" s="54"/>
      <c r="L443" s="35"/>
      <c r="M443" s="35"/>
      <c r="N443" s="35"/>
      <c r="O443" s="7"/>
      <c r="P443" s="7"/>
    </row>
    <row r="444" spans="1:16" s="5" customFormat="1" ht="47">
      <c r="A444" s="54" t="s">
        <v>563</v>
      </c>
      <c r="B444" s="54" t="s">
        <v>65</v>
      </c>
      <c r="C444" s="54" t="s">
        <v>469</v>
      </c>
      <c r="D444" s="56" t="s">
        <v>67</v>
      </c>
      <c r="E444" s="54" t="s">
        <v>75</v>
      </c>
      <c r="F444" s="54" t="s">
        <v>76</v>
      </c>
      <c r="G444" s="75" t="s">
        <v>77</v>
      </c>
      <c r="H444" s="54"/>
      <c r="I444" s="54"/>
      <c r="J444" s="54"/>
      <c r="K444" s="54"/>
      <c r="L444" s="35"/>
      <c r="M444" s="35"/>
      <c r="N444" s="35"/>
      <c r="O444" s="7"/>
      <c r="P444" s="7"/>
    </row>
    <row r="445" spans="1:16" s="5" customFormat="1" ht="47">
      <c r="A445" s="54" t="s">
        <v>563</v>
      </c>
      <c r="B445" s="54" t="s">
        <v>65</v>
      </c>
      <c r="C445" s="54" t="s">
        <v>469</v>
      </c>
      <c r="D445" s="56" t="s">
        <v>67</v>
      </c>
      <c r="E445" s="54" t="s">
        <v>75</v>
      </c>
      <c r="F445" s="54" t="s">
        <v>76</v>
      </c>
      <c r="G445" s="75" t="s">
        <v>77</v>
      </c>
      <c r="H445" s="54"/>
      <c r="I445" s="54"/>
      <c r="J445" s="54"/>
      <c r="K445" s="54"/>
      <c r="L445" s="35"/>
      <c r="M445" s="35"/>
      <c r="N445" s="35"/>
      <c r="O445" s="7"/>
      <c r="P445" s="7"/>
    </row>
    <row r="446" spans="1:16" s="5" customFormat="1" ht="47">
      <c r="A446" s="54" t="s">
        <v>564</v>
      </c>
      <c r="B446" s="54" t="s">
        <v>65</v>
      </c>
      <c r="C446" s="54" t="s">
        <v>469</v>
      </c>
      <c r="D446" s="56" t="s">
        <v>67</v>
      </c>
      <c r="E446" s="54" t="s">
        <v>75</v>
      </c>
      <c r="F446" s="54" t="s">
        <v>76</v>
      </c>
      <c r="G446" s="75" t="s">
        <v>77</v>
      </c>
      <c r="H446" s="54"/>
      <c r="I446" s="54"/>
      <c r="J446" s="54"/>
      <c r="K446" s="54"/>
      <c r="L446" s="35"/>
      <c r="M446" s="35"/>
      <c r="N446" s="35"/>
      <c r="O446" s="7"/>
      <c r="P446" s="7"/>
    </row>
    <row r="447" spans="1:16" s="5" customFormat="1" ht="47">
      <c r="A447" s="54" t="s">
        <v>565</v>
      </c>
      <c r="B447" s="54" t="s">
        <v>65</v>
      </c>
      <c r="C447" s="54" t="s">
        <v>469</v>
      </c>
      <c r="D447" s="56" t="s">
        <v>67</v>
      </c>
      <c r="E447" s="54" t="s">
        <v>75</v>
      </c>
      <c r="F447" s="54" t="s">
        <v>76</v>
      </c>
      <c r="G447" s="75" t="s">
        <v>77</v>
      </c>
      <c r="H447" s="54"/>
      <c r="I447" s="54"/>
      <c r="J447" s="54"/>
      <c r="K447" s="54"/>
      <c r="L447" s="35"/>
      <c r="M447" s="35"/>
      <c r="N447" s="35"/>
      <c r="O447" s="7"/>
      <c r="P447" s="7"/>
    </row>
    <row r="448" spans="1:16" s="5" customFormat="1" ht="47">
      <c r="A448" s="54" t="s">
        <v>566</v>
      </c>
      <c r="B448" s="54" t="s">
        <v>65</v>
      </c>
      <c r="C448" s="54" t="s">
        <v>469</v>
      </c>
      <c r="D448" s="56" t="s">
        <v>67</v>
      </c>
      <c r="E448" s="54" t="s">
        <v>75</v>
      </c>
      <c r="F448" s="54" t="s">
        <v>76</v>
      </c>
      <c r="G448" s="75" t="s">
        <v>77</v>
      </c>
      <c r="H448" s="54"/>
      <c r="I448" s="54"/>
      <c r="J448" s="54"/>
      <c r="K448" s="54"/>
      <c r="L448" s="35"/>
      <c r="M448" s="35"/>
      <c r="N448" s="35"/>
      <c r="O448" s="7"/>
      <c r="P448" s="7"/>
    </row>
    <row r="449" spans="1:16" s="5" customFormat="1" ht="47">
      <c r="A449" s="54" t="s">
        <v>567</v>
      </c>
      <c r="B449" s="54" t="s">
        <v>65</v>
      </c>
      <c r="C449" s="54" t="s">
        <v>469</v>
      </c>
      <c r="D449" s="56" t="s">
        <v>67</v>
      </c>
      <c r="E449" s="54" t="s">
        <v>84</v>
      </c>
      <c r="F449" s="54" t="s">
        <v>76</v>
      </c>
      <c r="G449" s="75" t="s">
        <v>77</v>
      </c>
      <c r="H449" s="54"/>
      <c r="I449" s="54"/>
      <c r="J449" s="54"/>
      <c r="K449" s="54"/>
      <c r="L449" s="35"/>
      <c r="M449" s="35"/>
      <c r="N449" s="35"/>
      <c r="O449" s="7"/>
      <c r="P449" s="7"/>
    </row>
    <row r="450" spans="1:16" s="5" customFormat="1" ht="47">
      <c r="A450" s="54" t="s">
        <v>568</v>
      </c>
      <c r="B450" s="54" t="s">
        <v>65</v>
      </c>
      <c r="C450" s="54" t="s">
        <v>469</v>
      </c>
      <c r="D450" s="56" t="s">
        <v>67</v>
      </c>
      <c r="E450" s="54" t="s">
        <v>75</v>
      </c>
      <c r="F450" s="54" t="s">
        <v>76</v>
      </c>
      <c r="G450" s="75" t="s">
        <v>77</v>
      </c>
      <c r="H450" s="54"/>
      <c r="I450" s="54"/>
      <c r="J450" s="54"/>
      <c r="K450" s="54"/>
      <c r="L450" s="35"/>
      <c r="M450" s="35"/>
      <c r="N450" s="35"/>
      <c r="O450" s="7"/>
      <c r="P450" s="7"/>
    </row>
    <row r="451" spans="1:16" s="5" customFormat="1" ht="47">
      <c r="A451" s="54" t="s">
        <v>569</v>
      </c>
      <c r="B451" s="54" t="s">
        <v>65</v>
      </c>
      <c r="C451" s="54" t="s">
        <v>469</v>
      </c>
      <c r="D451" s="56" t="s">
        <v>67</v>
      </c>
      <c r="E451" s="54" t="s">
        <v>75</v>
      </c>
      <c r="F451" s="54" t="s">
        <v>76</v>
      </c>
      <c r="G451" s="75" t="s">
        <v>77</v>
      </c>
      <c r="H451" s="54"/>
      <c r="I451" s="54"/>
      <c r="J451" s="54"/>
      <c r="K451" s="54"/>
      <c r="L451" s="35"/>
      <c r="M451" s="35"/>
      <c r="N451" s="35"/>
      <c r="O451" s="7"/>
      <c r="P451" s="7"/>
    </row>
    <row r="452" spans="1:16" s="5" customFormat="1" ht="47">
      <c r="A452" s="54" t="s">
        <v>570</v>
      </c>
      <c r="B452" s="54" t="s">
        <v>65</v>
      </c>
      <c r="C452" s="54" t="s">
        <v>469</v>
      </c>
      <c r="D452" s="56" t="s">
        <v>67</v>
      </c>
      <c r="E452" s="54" t="s">
        <v>75</v>
      </c>
      <c r="F452" s="54" t="s">
        <v>76</v>
      </c>
      <c r="G452" s="75" t="s">
        <v>77</v>
      </c>
      <c r="H452" s="54"/>
      <c r="I452" s="54"/>
      <c r="J452" s="54"/>
      <c r="K452" s="54"/>
      <c r="L452" s="35"/>
      <c r="M452" s="35"/>
      <c r="N452" s="35"/>
      <c r="O452" s="7"/>
      <c r="P452" s="7"/>
    </row>
    <row r="453" spans="1:16" s="5" customFormat="1" ht="47">
      <c r="A453" s="54" t="s">
        <v>571</v>
      </c>
      <c r="B453" s="54" t="s">
        <v>65</v>
      </c>
      <c r="C453" s="54" t="s">
        <v>469</v>
      </c>
      <c r="D453" s="56" t="s">
        <v>67</v>
      </c>
      <c r="E453" s="54" t="s">
        <v>84</v>
      </c>
      <c r="F453" s="54" t="s">
        <v>76</v>
      </c>
      <c r="G453" s="75" t="s">
        <v>77</v>
      </c>
      <c r="H453" s="54"/>
      <c r="I453" s="54"/>
      <c r="J453" s="54"/>
      <c r="K453" s="54"/>
      <c r="L453" s="35"/>
      <c r="M453" s="35"/>
      <c r="N453" s="35"/>
      <c r="O453" s="7"/>
      <c r="P453" s="7"/>
    </row>
    <row r="454" spans="1:16" s="5" customFormat="1" ht="47">
      <c r="A454" s="54" t="s">
        <v>572</v>
      </c>
      <c r="B454" s="54" t="s">
        <v>65</v>
      </c>
      <c r="C454" s="54" t="s">
        <v>469</v>
      </c>
      <c r="D454" s="56" t="s">
        <v>67</v>
      </c>
      <c r="E454" s="54" t="s">
        <v>84</v>
      </c>
      <c r="F454" s="54" t="s">
        <v>76</v>
      </c>
      <c r="G454" s="75" t="s">
        <v>77</v>
      </c>
      <c r="H454" s="54"/>
      <c r="I454" s="54"/>
      <c r="J454" s="54"/>
      <c r="K454" s="54"/>
      <c r="L454" s="35"/>
      <c r="M454" s="35"/>
      <c r="N454" s="35"/>
      <c r="O454" s="7"/>
      <c r="P454" s="7"/>
    </row>
    <row r="455" spans="1:16" s="5" customFormat="1" ht="47">
      <c r="A455" s="54" t="s">
        <v>573</v>
      </c>
      <c r="B455" s="54" t="s">
        <v>65</v>
      </c>
      <c r="C455" s="54" t="s">
        <v>469</v>
      </c>
      <c r="D455" s="56" t="s">
        <v>67</v>
      </c>
      <c r="E455" s="54" t="s">
        <v>84</v>
      </c>
      <c r="F455" s="54" t="s">
        <v>76</v>
      </c>
      <c r="G455" s="75" t="s">
        <v>77</v>
      </c>
      <c r="H455" s="54"/>
      <c r="I455" s="54"/>
      <c r="J455" s="54"/>
      <c r="K455" s="54"/>
      <c r="L455" s="35"/>
      <c r="M455" s="35"/>
      <c r="N455" s="35"/>
      <c r="O455" s="7"/>
      <c r="P455" s="7"/>
    </row>
    <row r="456" spans="1:16" s="5" customFormat="1" ht="47">
      <c r="A456" s="54" t="s">
        <v>574</v>
      </c>
      <c r="B456" s="54" t="s">
        <v>65</v>
      </c>
      <c r="C456" s="54" t="s">
        <v>469</v>
      </c>
      <c r="D456" s="56" t="s">
        <v>67</v>
      </c>
      <c r="E456" s="54" t="s">
        <v>84</v>
      </c>
      <c r="F456" s="54" t="s">
        <v>76</v>
      </c>
      <c r="G456" s="75" t="s">
        <v>77</v>
      </c>
      <c r="H456" s="54"/>
      <c r="I456" s="54"/>
      <c r="J456" s="54"/>
      <c r="K456" s="54"/>
      <c r="L456" s="35"/>
      <c r="M456" s="35"/>
      <c r="N456" s="35"/>
      <c r="O456" s="7"/>
      <c r="P456" s="7"/>
    </row>
    <row r="457" spans="1:16" s="5" customFormat="1" ht="47">
      <c r="A457" s="54" t="s">
        <v>575</v>
      </c>
      <c r="B457" s="54" t="s">
        <v>65</v>
      </c>
      <c r="C457" s="54" t="s">
        <v>469</v>
      </c>
      <c r="D457" s="56" t="s">
        <v>67</v>
      </c>
      <c r="E457" s="54" t="s">
        <v>75</v>
      </c>
      <c r="F457" s="54" t="s">
        <v>76</v>
      </c>
      <c r="G457" s="75" t="s">
        <v>77</v>
      </c>
      <c r="H457" s="54"/>
      <c r="I457" s="54"/>
      <c r="J457" s="54"/>
      <c r="K457" s="54"/>
      <c r="L457" s="35"/>
      <c r="M457" s="35"/>
      <c r="N457" s="35"/>
      <c r="O457" s="7"/>
      <c r="P457" s="7"/>
    </row>
    <row r="458" spans="1:16" s="5" customFormat="1" ht="47">
      <c r="A458" s="54" t="s">
        <v>576</v>
      </c>
      <c r="B458" s="54" t="s">
        <v>65</v>
      </c>
      <c r="C458" s="54" t="s">
        <v>469</v>
      </c>
      <c r="D458" s="56" t="s">
        <v>67</v>
      </c>
      <c r="E458" s="54" t="s">
        <v>75</v>
      </c>
      <c r="F458" s="54" t="s">
        <v>76</v>
      </c>
      <c r="G458" s="75" t="s">
        <v>77</v>
      </c>
      <c r="H458" s="54"/>
      <c r="I458" s="54"/>
      <c r="J458" s="54"/>
      <c r="K458" s="54"/>
      <c r="L458" s="35"/>
      <c r="M458" s="35"/>
      <c r="N458" s="35"/>
      <c r="O458" s="7"/>
      <c r="P458" s="7"/>
    </row>
    <row r="459" spans="1:16" s="5" customFormat="1" ht="47">
      <c r="A459" s="54" t="s">
        <v>577</v>
      </c>
      <c r="B459" s="54" t="s">
        <v>65</v>
      </c>
      <c r="C459" s="54" t="s">
        <v>469</v>
      </c>
      <c r="D459" s="56" t="s">
        <v>67</v>
      </c>
      <c r="E459" s="54" t="s">
        <v>75</v>
      </c>
      <c r="F459" s="54" t="s">
        <v>76</v>
      </c>
      <c r="G459" s="75" t="s">
        <v>77</v>
      </c>
      <c r="H459" s="54"/>
      <c r="I459" s="54"/>
      <c r="J459" s="54"/>
      <c r="K459" s="54"/>
      <c r="L459" s="35"/>
      <c r="M459" s="35"/>
      <c r="N459" s="35"/>
      <c r="O459" s="7"/>
      <c r="P459" s="7"/>
    </row>
    <row r="460" spans="1:16" s="5" customFormat="1" ht="47">
      <c r="A460" s="54" t="s">
        <v>578</v>
      </c>
      <c r="B460" s="54" t="s">
        <v>65</v>
      </c>
      <c r="C460" s="54" t="s">
        <v>469</v>
      </c>
      <c r="D460" s="56" t="s">
        <v>67</v>
      </c>
      <c r="E460" s="54" t="s">
        <v>75</v>
      </c>
      <c r="F460" s="54" t="s">
        <v>76</v>
      </c>
      <c r="G460" s="75" t="s">
        <v>77</v>
      </c>
      <c r="H460" s="54"/>
      <c r="I460" s="54"/>
      <c r="J460" s="54"/>
      <c r="K460" s="54"/>
      <c r="L460" s="35"/>
      <c r="M460" s="35"/>
      <c r="N460" s="35"/>
      <c r="O460" s="7"/>
      <c r="P460" s="7"/>
    </row>
    <row r="461" spans="1:16" s="5" customFormat="1" ht="47">
      <c r="A461" s="54" t="s">
        <v>579</v>
      </c>
      <c r="B461" s="54" t="s">
        <v>65</v>
      </c>
      <c r="C461" s="54" t="s">
        <v>469</v>
      </c>
      <c r="D461" s="56" t="s">
        <v>67</v>
      </c>
      <c r="E461" s="54" t="s">
        <v>75</v>
      </c>
      <c r="F461" s="54" t="s">
        <v>76</v>
      </c>
      <c r="G461" s="75" t="s">
        <v>77</v>
      </c>
      <c r="H461" s="54"/>
      <c r="I461" s="54"/>
      <c r="J461" s="54"/>
      <c r="K461" s="54"/>
      <c r="L461" s="35"/>
      <c r="M461" s="35"/>
      <c r="N461" s="35"/>
      <c r="O461" s="7"/>
      <c r="P461" s="7"/>
    </row>
    <row r="462" spans="1:16" s="5" customFormat="1" ht="47">
      <c r="A462" s="54" t="s">
        <v>580</v>
      </c>
      <c r="B462" s="54" t="s">
        <v>65</v>
      </c>
      <c r="C462" s="54" t="s">
        <v>469</v>
      </c>
      <c r="D462" s="56" t="s">
        <v>67</v>
      </c>
      <c r="E462" s="54" t="s">
        <v>84</v>
      </c>
      <c r="F462" s="54" t="s">
        <v>76</v>
      </c>
      <c r="G462" s="75" t="s">
        <v>77</v>
      </c>
      <c r="H462" s="54"/>
      <c r="I462" s="54"/>
      <c r="J462" s="54"/>
      <c r="K462" s="54"/>
      <c r="L462" s="35"/>
      <c r="M462" s="35"/>
      <c r="N462" s="35"/>
      <c r="O462" s="7"/>
      <c r="P462" s="7"/>
    </row>
    <row r="463" spans="1:16" s="5" customFormat="1" ht="47">
      <c r="A463" s="54" t="s">
        <v>581</v>
      </c>
      <c r="B463" s="54" t="s">
        <v>65</v>
      </c>
      <c r="C463" s="54" t="s">
        <v>469</v>
      </c>
      <c r="D463" s="56" t="s">
        <v>67</v>
      </c>
      <c r="E463" s="54" t="s">
        <v>75</v>
      </c>
      <c r="F463" s="54" t="s">
        <v>76</v>
      </c>
      <c r="G463" s="75" t="s">
        <v>77</v>
      </c>
      <c r="H463" s="54"/>
      <c r="I463" s="54"/>
      <c r="J463" s="54"/>
      <c r="K463" s="54"/>
      <c r="L463" s="35"/>
      <c r="M463" s="35"/>
      <c r="N463" s="35"/>
      <c r="O463" s="7"/>
      <c r="P463" s="7"/>
    </row>
    <row r="464" spans="1:16" s="5" customFormat="1" ht="47">
      <c r="A464" s="54" t="s">
        <v>582</v>
      </c>
      <c r="B464" s="54" t="s">
        <v>65</v>
      </c>
      <c r="C464" s="54" t="s">
        <v>469</v>
      </c>
      <c r="D464" s="56" t="s">
        <v>67</v>
      </c>
      <c r="E464" s="54" t="s">
        <v>75</v>
      </c>
      <c r="F464" s="54" t="s">
        <v>76</v>
      </c>
      <c r="G464" s="75" t="s">
        <v>77</v>
      </c>
      <c r="H464" s="54"/>
      <c r="I464" s="54"/>
      <c r="J464" s="54"/>
      <c r="K464" s="54"/>
      <c r="L464" s="35"/>
      <c r="M464" s="35"/>
      <c r="N464" s="35"/>
      <c r="O464" s="7"/>
      <c r="P464" s="7"/>
    </row>
    <row r="465" spans="1:16" s="5" customFormat="1" ht="47">
      <c r="A465" s="54" t="s">
        <v>583</v>
      </c>
      <c r="B465" s="54" t="s">
        <v>65</v>
      </c>
      <c r="C465" s="54" t="s">
        <v>469</v>
      </c>
      <c r="D465" s="56" t="s">
        <v>67</v>
      </c>
      <c r="E465" s="54" t="s">
        <v>84</v>
      </c>
      <c r="F465" s="54" t="s">
        <v>76</v>
      </c>
      <c r="G465" s="75" t="s">
        <v>77</v>
      </c>
      <c r="H465" s="54"/>
      <c r="I465" s="54"/>
      <c r="J465" s="54"/>
      <c r="K465" s="54"/>
      <c r="L465" s="35"/>
      <c r="M465" s="35"/>
      <c r="N465" s="35"/>
      <c r="O465" s="7"/>
      <c r="P465" s="7"/>
    </row>
    <row r="466" spans="1:16" s="5" customFormat="1" ht="47">
      <c r="A466" s="54" t="s">
        <v>584</v>
      </c>
      <c r="B466" s="54" t="s">
        <v>65</v>
      </c>
      <c r="C466" s="54" t="s">
        <v>469</v>
      </c>
      <c r="D466" s="56" t="s">
        <v>67</v>
      </c>
      <c r="E466" s="54" t="s">
        <v>75</v>
      </c>
      <c r="F466" s="54" t="s">
        <v>76</v>
      </c>
      <c r="G466" s="75" t="s">
        <v>77</v>
      </c>
      <c r="H466" s="54"/>
      <c r="I466" s="54"/>
      <c r="J466" s="54"/>
      <c r="K466" s="54"/>
      <c r="L466" s="35"/>
      <c r="M466" s="35"/>
      <c r="N466" s="35"/>
      <c r="O466" s="7"/>
      <c r="P466" s="7"/>
    </row>
    <row r="467" spans="1:16" s="5" customFormat="1" ht="47">
      <c r="A467" s="54" t="s">
        <v>585</v>
      </c>
      <c r="B467" s="54" t="s">
        <v>65</v>
      </c>
      <c r="C467" s="54" t="s">
        <v>469</v>
      </c>
      <c r="D467" s="56" t="s">
        <v>67</v>
      </c>
      <c r="E467" s="54" t="s">
        <v>75</v>
      </c>
      <c r="F467" s="54" t="s">
        <v>76</v>
      </c>
      <c r="G467" s="75" t="s">
        <v>77</v>
      </c>
      <c r="H467" s="54"/>
      <c r="I467" s="54"/>
      <c r="J467" s="54"/>
      <c r="K467" s="54"/>
      <c r="L467" s="35"/>
      <c r="M467" s="35"/>
      <c r="N467" s="35"/>
      <c r="O467" s="7"/>
      <c r="P467" s="7"/>
    </row>
    <row r="468" spans="1:16" s="5" customFormat="1" ht="47">
      <c r="A468" s="54" t="s">
        <v>586</v>
      </c>
      <c r="B468" s="54" t="s">
        <v>65</v>
      </c>
      <c r="C468" s="54" t="s">
        <v>469</v>
      </c>
      <c r="D468" s="56" t="s">
        <v>67</v>
      </c>
      <c r="E468" s="54" t="s">
        <v>75</v>
      </c>
      <c r="F468" s="54" t="s">
        <v>76</v>
      </c>
      <c r="G468" s="75" t="s">
        <v>77</v>
      </c>
      <c r="H468" s="54"/>
      <c r="I468" s="54"/>
      <c r="J468" s="54"/>
      <c r="K468" s="54"/>
      <c r="L468" s="35"/>
      <c r="M468" s="35"/>
      <c r="N468" s="35"/>
      <c r="O468" s="7"/>
      <c r="P468" s="7"/>
    </row>
    <row r="469" spans="1:16" s="5" customFormat="1" ht="47">
      <c r="A469" s="54" t="s">
        <v>587</v>
      </c>
      <c r="B469" s="54" t="s">
        <v>65</v>
      </c>
      <c r="C469" s="54" t="s">
        <v>469</v>
      </c>
      <c r="D469" s="56" t="s">
        <v>67</v>
      </c>
      <c r="E469" s="54" t="s">
        <v>84</v>
      </c>
      <c r="F469" s="54" t="s">
        <v>76</v>
      </c>
      <c r="G469" s="75" t="s">
        <v>77</v>
      </c>
      <c r="H469" s="54"/>
      <c r="I469" s="54"/>
      <c r="J469" s="54"/>
      <c r="K469" s="54"/>
      <c r="L469" s="35"/>
      <c r="M469" s="35"/>
      <c r="N469" s="35"/>
      <c r="O469" s="7"/>
      <c r="P469" s="7"/>
    </row>
    <row r="470" spans="1:16" s="5" customFormat="1" ht="47">
      <c r="A470" s="54" t="s">
        <v>588</v>
      </c>
      <c r="B470" s="54" t="s">
        <v>65</v>
      </c>
      <c r="C470" s="54" t="s">
        <v>469</v>
      </c>
      <c r="D470" s="56" t="s">
        <v>67</v>
      </c>
      <c r="E470" s="54" t="s">
        <v>75</v>
      </c>
      <c r="F470" s="54" t="s">
        <v>76</v>
      </c>
      <c r="G470" s="75" t="s">
        <v>77</v>
      </c>
      <c r="H470" s="54"/>
      <c r="I470" s="54"/>
      <c r="J470" s="54"/>
      <c r="K470" s="54"/>
      <c r="L470" s="35"/>
      <c r="M470" s="35"/>
      <c r="N470" s="35"/>
      <c r="O470" s="7"/>
      <c r="P470" s="7"/>
    </row>
    <row r="471" spans="1:16" s="5" customFormat="1" ht="47">
      <c r="A471" s="54" t="s">
        <v>589</v>
      </c>
      <c r="B471" s="54" t="s">
        <v>65</v>
      </c>
      <c r="C471" s="54" t="s">
        <v>469</v>
      </c>
      <c r="D471" s="56" t="s">
        <v>67</v>
      </c>
      <c r="E471" s="54" t="s">
        <v>75</v>
      </c>
      <c r="F471" s="54" t="s">
        <v>76</v>
      </c>
      <c r="G471" s="75" t="s">
        <v>77</v>
      </c>
      <c r="H471" s="54"/>
      <c r="I471" s="54"/>
      <c r="J471" s="54"/>
      <c r="K471" s="54"/>
      <c r="L471" s="35"/>
      <c r="M471" s="35"/>
      <c r="N471" s="35"/>
      <c r="O471" s="7"/>
      <c r="P471" s="7"/>
    </row>
    <row r="472" spans="1:16" s="5" customFormat="1" ht="47">
      <c r="A472" s="54" t="s">
        <v>590</v>
      </c>
      <c r="B472" s="54" t="s">
        <v>65</v>
      </c>
      <c r="C472" s="54" t="s">
        <v>469</v>
      </c>
      <c r="D472" s="56" t="s">
        <v>67</v>
      </c>
      <c r="E472" s="54" t="s">
        <v>75</v>
      </c>
      <c r="F472" s="54" t="s">
        <v>76</v>
      </c>
      <c r="G472" s="75" t="s">
        <v>77</v>
      </c>
      <c r="H472" s="54"/>
      <c r="I472" s="54"/>
      <c r="J472" s="54"/>
      <c r="K472" s="54"/>
      <c r="L472" s="35"/>
      <c r="M472" s="35"/>
      <c r="N472" s="35"/>
      <c r="O472" s="7"/>
      <c r="P472" s="7"/>
    </row>
    <row r="473" spans="1:16" s="5" customFormat="1" ht="47">
      <c r="A473" s="54" t="s">
        <v>591</v>
      </c>
      <c r="B473" s="54" t="s">
        <v>65</v>
      </c>
      <c r="C473" s="54" t="s">
        <v>469</v>
      </c>
      <c r="D473" s="56" t="s">
        <v>67</v>
      </c>
      <c r="E473" s="54" t="s">
        <v>84</v>
      </c>
      <c r="F473" s="54" t="s">
        <v>76</v>
      </c>
      <c r="G473" s="75" t="s">
        <v>77</v>
      </c>
      <c r="H473" s="54"/>
      <c r="I473" s="54"/>
      <c r="J473" s="54"/>
      <c r="K473" s="54"/>
      <c r="L473" s="35"/>
      <c r="M473" s="35"/>
      <c r="N473" s="35"/>
      <c r="O473" s="7"/>
      <c r="P473" s="7"/>
    </row>
    <row r="474" spans="1:16" s="5" customFormat="1" ht="47">
      <c r="A474" s="54" t="s">
        <v>592</v>
      </c>
      <c r="B474" s="54" t="s">
        <v>65</v>
      </c>
      <c r="C474" s="54" t="s">
        <v>469</v>
      </c>
      <c r="D474" s="56" t="s">
        <v>67</v>
      </c>
      <c r="E474" s="54" t="s">
        <v>84</v>
      </c>
      <c r="F474" s="54" t="s">
        <v>76</v>
      </c>
      <c r="G474" s="75" t="s">
        <v>77</v>
      </c>
      <c r="H474" s="54"/>
      <c r="I474" s="54"/>
      <c r="J474" s="54"/>
      <c r="K474" s="54"/>
      <c r="L474" s="35"/>
      <c r="M474" s="35"/>
      <c r="N474" s="35"/>
      <c r="O474" s="7"/>
      <c r="P474" s="7"/>
    </row>
    <row r="475" spans="1:16" s="5" customFormat="1" ht="47">
      <c r="A475" s="54" t="s">
        <v>593</v>
      </c>
      <c r="B475" s="54" t="s">
        <v>65</v>
      </c>
      <c r="C475" s="54" t="s">
        <v>469</v>
      </c>
      <c r="D475" s="56" t="s">
        <v>67</v>
      </c>
      <c r="E475" s="54" t="s">
        <v>75</v>
      </c>
      <c r="F475" s="54" t="s">
        <v>76</v>
      </c>
      <c r="G475" s="75" t="s">
        <v>77</v>
      </c>
      <c r="H475" s="54"/>
      <c r="I475" s="54"/>
      <c r="J475" s="54"/>
      <c r="K475" s="54"/>
      <c r="L475" s="35"/>
      <c r="M475" s="35"/>
      <c r="N475" s="35"/>
      <c r="O475" s="7"/>
      <c r="P475" s="7"/>
    </row>
    <row r="476" spans="1:16" s="5" customFormat="1" ht="47">
      <c r="A476" s="54" t="s">
        <v>594</v>
      </c>
      <c r="B476" s="54" t="s">
        <v>65</v>
      </c>
      <c r="C476" s="54" t="s">
        <v>469</v>
      </c>
      <c r="D476" s="56" t="s">
        <v>67</v>
      </c>
      <c r="E476" s="54" t="s">
        <v>84</v>
      </c>
      <c r="F476" s="54" t="s">
        <v>76</v>
      </c>
      <c r="G476" s="75" t="s">
        <v>77</v>
      </c>
      <c r="H476" s="54"/>
      <c r="I476" s="54"/>
      <c r="J476" s="54"/>
      <c r="K476" s="54"/>
      <c r="L476" s="35"/>
      <c r="M476" s="35"/>
      <c r="N476" s="35"/>
      <c r="O476" s="7"/>
      <c r="P476" s="7"/>
    </row>
    <row r="477" spans="1:16" s="5" customFormat="1" ht="47">
      <c r="A477" s="54" t="s">
        <v>595</v>
      </c>
      <c r="B477" s="54" t="s">
        <v>65</v>
      </c>
      <c r="C477" s="54" t="s">
        <v>469</v>
      </c>
      <c r="D477" s="56" t="s">
        <v>67</v>
      </c>
      <c r="E477" s="54" t="s">
        <v>84</v>
      </c>
      <c r="F477" s="54" t="s">
        <v>76</v>
      </c>
      <c r="G477" s="75" t="s">
        <v>77</v>
      </c>
      <c r="H477" s="54"/>
      <c r="I477" s="54"/>
      <c r="J477" s="54"/>
      <c r="K477" s="54"/>
      <c r="L477" s="35"/>
      <c r="M477" s="35"/>
      <c r="N477" s="35"/>
      <c r="O477" s="7"/>
      <c r="P477" s="7"/>
    </row>
    <row r="478" spans="1:16" s="5" customFormat="1" ht="47">
      <c r="A478" s="54" t="s">
        <v>596</v>
      </c>
      <c r="B478" s="54" t="s">
        <v>65</v>
      </c>
      <c r="C478" s="54" t="s">
        <v>469</v>
      </c>
      <c r="D478" s="56" t="s">
        <v>67</v>
      </c>
      <c r="E478" s="54" t="s">
        <v>84</v>
      </c>
      <c r="F478" s="54" t="s">
        <v>76</v>
      </c>
      <c r="G478" s="75" t="s">
        <v>77</v>
      </c>
      <c r="H478" s="54"/>
      <c r="I478" s="54"/>
      <c r="J478" s="54"/>
      <c r="K478" s="54"/>
      <c r="L478" s="35"/>
      <c r="M478" s="35"/>
      <c r="N478" s="35"/>
      <c r="O478" s="7"/>
      <c r="P478" s="7"/>
    </row>
    <row r="479" spans="1:16" s="5" customFormat="1" ht="47">
      <c r="A479" s="54" t="s">
        <v>597</v>
      </c>
      <c r="B479" s="54" t="s">
        <v>65</v>
      </c>
      <c r="C479" s="54" t="s">
        <v>469</v>
      </c>
      <c r="D479" s="56" t="s">
        <v>67</v>
      </c>
      <c r="E479" s="54" t="s">
        <v>84</v>
      </c>
      <c r="F479" s="54" t="s">
        <v>76</v>
      </c>
      <c r="G479" s="75" t="s">
        <v>77</v>
      </c>
      <c r="H479" s="54"/>
      <c r="I479" s="54"/>
      <c r="J479" s="54"/>
      <c r="K479" s="54"/>
      <c r="L479" s="35"/>
      <c r="M479" s="35"/>
      <c r="N479" s="35"/>
      <c r="O479" s="7"/>
      <c r="P479" s="7"/>
    </row>
    <row r="480" spans="1:16" s="5" customFormat="1" ht="47">
      <c r="A480" s="54" t="s">
        <v>598</v>
      </c>
      <c r="B480" s="54" t="s">
        <v>65</v>
      </c>
      <c r="C480" s="54" t="s">
        <v>469</v>
      </c>
      <c r="D480" s="56" t="s">
        <v>67</v>
      </c>
      <c r="E480" s="54" t="s">
        <v>84</v>
      </c>
      <c r="F480" s="54" t="s">
        <v>76</v>
      </c>
      <c r="G480" s="75" t="s">
        <v>77</v>
      </c>
      <c r="H480" s="54"/>
      <c r="I480" s="54"/>
      <c r="J480" s="54"/>
      <c r="K480" s="54"/>
      <c r="L480" s="35"/>
      <c r="M480" s="35"/>
      <c r="N480" s="35"/>
      <c r="O480" s="7"/>
      <c r="P480" s="7"/>
    </row>
    <row r="481" spans="1:16" s="5" customFormat="1" ht="47">
      <c r="A481" s="54" t="s">
        <v>599</v>
      </c>
      <c r="B481" s="54" t="s">
        <v>65</v>
      </c>
      <c r="C481" s="54" t="s">
        <v>469</v>
      </c>
      <c r="D481" s="56" t="s">
        <v>67</v>
      </c>
      <c r="E481" s="54" t="s">
        <v>84</v>
      </c>
      <c r="F481" s="54" t="s">
        <v>76</v>
      </c>
      <c r="G481" s="75" t="s">
        <v>77</v>
      </c>
      <c r="H481" s="54"/>
      <c r="I481" s="54"/>
      <c r="J481" s="54"/>
      <c r="K481" s="54"/>
      <c r="L481" s="35"/>
      <c r="M481" s="35"/>
      <c r="N481" s="35"/>
      <c r="O481" s="7"/>
      <c r="P481" s="7"/>
    </row>
    <row r="482" spans="1:16" s="5" customFormat="1" ht="47">
      <c r="A482" s="54" t="s">
        <v>600</v>
      </c>
      <c r="B482" s="54" t="s">
        <v>65</v>
      </c>
      <c r="C482" s="54" t="s">
        <v>469</v>
      </c>
      <c r="D482" s="56" t="s">
        <v>67</v>
      </c>
      <c r="E482" s="54" t="s">
        <v>84</v>
      </c>
      <c r="F482" s="54" t="s">
        <v>76</v>
      </c>
      <c r="G482" s="75" t="s">
        <v>77</v>
      </c>
      <c r="H482" s="54"/>
      <c r="I482" s="54"/>
      <c r="J482" s="54"/>
      <c r="K482" s="54"/>
      <c r="L482" s="35"/>
      <c r="M482" s="35"/>
      <c r="N482" s="35"/>
      <c r="O482" s="7"/>
      <c r="P482" s="7"/>
    </row>
    <row r="483" spans="1:16" s="5" customFormat="1" ht="47">
      <c r="A483" s="54" t="s">
        <v>601</v>
      </c>
      <c r="B483" s="54" t="s">
        <v>65</v>
      </c>
      <c r="C483" s="54" t="s">
        <v>469</v>
      </c>
      <c r="D483" s="56" t="s">
        <v>67</v>
      </c>
      <c r="E483" s="54" t="s">
        <v>84</v>
      </c>
      <c r="F483" s="54" t="s">
        <v>76</v>
      </c>
      <c r="G483" s="75" t="s">
        <v>77</v>
      </c>
      <c r="H483" s="54"/>
      <c r="I483" s="54"/>
      <c r="J483" s="54"/>
      <c r="K483" s="54"/>
      <c r="L483" s="35"/>
      <c r="M483" s="35"/>
      <c r="N483" s="35"/>
      <c r="O483" s="7"/>
      <c r="P483" s="7"/>
    </row>
    <row r="484" spans="1:16" s="5" customFormat="1" ht="47">
      <c r="A484" s="54" t="s">
        <v>602</v>
      </c>
      <c r="B484" s="54" t="s">
        <v>65</v>
      </c>
      <c r="C484" s="54" t="s">
        <v>603</v>
      </c>
      <c r="D484" s="56" t="s">
        <v>67</v>
      </c>
      <c r="E484" s="54" t="s">
        <v>68</v>
      </c>
      <c r="F484" s="54" t="s">
        <v>76</v>
      </c>
      <c r="G484" s="75" t="s">
        <v>77</v>
      </c>
      <c r="H484" s="54"/>
      <c r="I484" s="54"/>
      <c r="J484" s="54"/>
      <c r="K484" s="54"/>
      <c r="L484" s="35"/>
      <c r="M484" s="35"/>
      <c r="N484" s="35"/>
      <c r="O484" s="7"/>
      <c r="P484" s="7"/>
    </row>
    <row r="485" spans="1:16" s="5" customFormat="1" ht="47">
      <c r="A485" s="54" t="s">
        <v>604</v>
      </c>
      <c r="B485" s="54" t="s">
        <v>65</v>
      </c>
      <c r="C485" s="54" t="s">
        <v>603</v>
      </c>
      <c r="D485" s="56" t="s">
        <v>67</v>
      </c>
      <c r="E485" s="54" t="s">
        <v>68</v>
      </c>
      <c r="F485" s="54" t="s">
        <v>76</v>
      </c>
      <c r="G485" s="74" t="s">
        <v>70</v>
      </c>
      <c r="H485" s="54"/>
      <c r="I485" s="54"/>
      <c r="J485" s="54"/>
      <c r="K485" s="54"/>
      <c r="L485" s="35"/>
      <c r="M485" s="35"/>
      <c r="N485" s="35"/>
      <c r="O485" s="7"/>
      <c r="P485" s="7"/>
    </row>
    <row r="486" spans="1:16" s="5" customFormat="1" ht="70.5">
      <c r="A486" s="54" t="s">
        <v>605</v>
      </c>
      <c r="B486" s="54" t="s">
        <v>65</v>
      </c>
      <c r="C486" s="54" t="s">
        <v>603</v>
      </c>
      <c r="D486" s="56" t="s">
        <v>67</v>
      </c>
      <c r="E486" s="54" t="s">
        <v>68</v>
      </c>
      <c r="F486" s="54" t="s">
        <v>76</v>
      </c>
      <c r="G486" s="75" t="s">
        <v>77</v>
      </c>
      <c r="H486" s="54"/>
      <c r="I486" s="54"/>
      <c r="J486" s="54"/>
      <c r="K486" s="54"/>
      <c r="L486" s="35"/>
      <c r="M486" s="35"/>
      <c r="N486" s="35"/>
      <c r="O486" s="7"/>
      <c r="P486" s="7"/>
    </row>
    <row r="487" spans="1:16" s="5" customFormat="1" ht="47">
      <c r="A487" s="54" t="s">
        <v>606</v>
      </c>
      <c r="B487" s="54" t="s">
        <v>65</v>
      </c>
      <c r="C487" s="54" t="s">
        <v>603</v>
      </c>
      <c r="D487" s="56" t="s">
        <v>67</v>
      </c>
      <c r="E487" s="54" t="s">
        <v>68</v>
      </c>
      <c r="F487" s="54" t="s">
        <v>76</v>
      </c>
      <c r="G487" s="75" t="s">
        <v>77</v>
      </c>
      <c r="H487" s="54"/>
      <c r="I487" s="54"/>
      <c r="J487" s="54"/>
      <c r="K487" s="54"/>
      <c r="L487" s="35"/>
      <c r="M487" s="35"/>
      <c r="N487" s="35"/>
      <c r="O487" s="7"/>
      <c r="P487" s="7"/>
    </row>
    <row r="488" spans="1:16" s="5" customFormat="1" ht="47">
      <c r="A488" s="54" t="s">
        <v>607</v>
      </c>
      <c r="B488" s="54" t="s">
        <v>65</v>
      </c>
      <c r="C488" s="54" t="s">
        <v>603</v>
      </c>
      <c r="D488" s="56" t="s">
        <v>67</v>
      </c>
      <c r="E488" s="54" t="s">
        <v>68</v>
      </c>
      <c r="F488" s="54" t="s">
        <v>76</v>
      </c>
      <c r="G488" s="75" t="s">
        <v>77</v>
      </c>
      <c r="H488" s="54"/>
      <c r="I488" s="54"/>
      <c r="J488" s="54"/>
      <c r="K488" s="54"/>
      <c r="L488" s="35"/>
      <c r="M488" s="35"/>
      <c r="N488" s="35"/>
      <c r="O488" s="7"/>
      <c r="P488" s="7"/>
    </row>
    <row r="489" spans="1:16" s="5" customFormat="1" ht="47">
      <c r="A489" s="54" t="s">
        <v>608</v>
      </c>
      <c r="B489" s="54" t="s">
        <v>65</v>
      </c>
      <c r="C489" s="54" t="s">
        <v>603</v>
      </c>
      <c r="D489" s="56" t="s">
        <v>67</v>
      </c>
      <c r="E489" s="54" t="s">
        <v>68</v>
      </c>
      <c r="F489" s="54" t="s">
        <v>76</v>
      </c>
      <c r="G489" s="75" t="s">
        <v>77</v>
      </c>
      <c r="H489" s="54"/>
      <c r="I489" s="54"/>
      <c r="J489" s="54"/>
      <c r="K489" s="54"/>
      <c r="L489" s="35"/>
      <c r="M489" s="35"/>
      <c r="N489" s="35"/>
      <c r="O489" s="7"/>
      <c r="P489" s="7"/>
    </row>
    <row r="490" spans="1:16" s="5" customFormat="1" ht="23.5">
      <c r="A490" s="54" t="s">
        <v>609</v>
      </c>
      <c r="B490" s="54" t="s">
        <v>65</v>
      </c>
      <c r="C490" s="54" t="s">
        <v>603</v>
      </c>
      <c r="D490" s="56" t="s">
        <v>67</v>
      </c>
      <c r="E490" s="54" t="s">
        <v>68</v>
      </c>
      <c r="F490" s="54" t="s">
        <v>76</v>
      </c>
      <c r="G490" s="75" t="s">
        <v>77</v>
      </c>
      <c r="H490" s="54"/>
      <c r="I490" s="54"/>
      <c r="J490" s="54"/>
      <c r="K490" s="54"/>
      <c r="L490" s="35"/>
      <c r="M490" s="35"/>
      <c r="N490" s="35"/>
      <c r="O490" s="7"/>
      <c r="P490" s="7"/>
    </row>
    <row r="491" spans="1:16" s="5" customFormat="1" ht="70.5">
      <c r="A491" s="54" t="s">
        <v>610</v>
      </c>
      <c r="B491" s="54" t="s">
        <v>65</v>
      </c>
      <c r="C491" s="54" t="s">
        <v>603</v>
      </c>
      <c r="D491" s="56" t="s">
        <v>67</v>
      </c>
      <c r="E491" s="54" t="s">
        <v>68</v>
      </c>
      <c r="F491" s="54" t="s">
        <v>76</v>
      </c>
      <c r="G491" s="75" t="s">
        <v>77</v>
      </c>
      <c r="H491" s="54"/>
      <c r="I491" s="54"/>
      <c r="J491" s="54"/>
      <c r="K491" s="54"/>
      <c r="L491" s="35"/>
      <c r="M491" s="35"/>
      <c r="N491" s="35"/>
      <c r="O491" s="7"/>
      <c r="P491" s="7"/>
    </row>
    <row r="492" spans="1:16" s="5" customFormat="1" ht="23.5">
      <c r="A492" s="54" t="s">
        <v>611</v>
      </c>
      <c r="B492" s="54" t="s">
        <v>65</v>
      </c>
      <c r="C492" s="54" t="s">
        <v>603</v>
      </c>
      <c r="D492" s="56" t="s">
        <v>67</v>
      </c>
      <c r="E492" s="54" t="s">
        <v>68</v>
      </c>
      <c r="F492" s="54" t="s">
        <v>76</v>
      </c>
      <c r="G492" s="75" t="s">
        <v>77</v>
      </c>
      <c r="H492" s="54"/>
      <c r="I492" s="54"/>
      <c r="J492" s="54"/>
      <c r="K492" s="54"/>
      <c r="L492" s="35"/>
      <c r="M492" s="35"/>
      <c r="N492" s="35"/>
      <c r="O492" s="7"/>
      <c r="P492" s="7"/>
    </row>
    <row r="493" spans="1:16" s="5" customFormat="1" ht="23.5">
      <c r="A493" s="54" t="s">
        <v>612</v>
      </c>
      <c r="B493" s="54" t="s">
        <v>65</v>
      </c>
      <c r="C493" s="54" t="s">
        <v>603</v>
      </c>
      <c r="D493" s="56" t="s">
        <v>67</v>
      </c>
      <c r="E493" s="54" t="s">
        <v>68</v>
      </c>
      <c r="F493" s="54" t="s">
        <v>76</v>
      </c>
      <c r="G493" s="75" t="s">
        <v>77</v>
      </c>
      <c r="H493" s="54"/>
      <c r="I493" s="54"/>
      <c r="J493" s="54"/>
      <c r="K493" s="54"/>
      <c r="L493" s="35"/>
      <c r="M493" s="35"/>
      <c r="N493" s="35"/>
      <c r="O493" s="7"/>
      <c r="P493" s="7"/>
    </row>
    <row r="494" spans="1:16" s="5" customFormat="1" ht="47">
      <c r="A494" s="54" t="s">
        <v>613</v>
      </c>
      <c r="B494" s="54" t="s">
        <v>65</v>
      </c>
      <c r="C494" s="54" t="s">
        <v>603</v>
      </c>
      <c r="D494" s="56" t="s">
        <v>67</v>
      </c>
      <c r="E494" s="54" t="s">
        <v>68</v>
      </c>
      <c r="F494" s="54" t="s">
        <v>76</v>
      </c>
      <c r="G494" s="75" t="s">
        <v>77</v>
      </c>
      <c r="H494" s="54"/>
      <c r="I494" s="54"/>
      <c r="J494" s="54"/>
      <c r="K494" s="54"/>
      <c r="L494" s="35"/>
      <c r="M494" s="35"/>
      <c r="N494" s="35"/>
      <c r="O494" s="7"/>
      <c r="P494" s="7"/>
    </row>
    <row r="495" spans="1:16" s="5" customFormat="1" ht="70.5">
      <c r="A495" s="54" t="s">
        <v>614</v>
      </c>
      <c r="B495" s="54" t="s">
        <v>106</v>
      </c>
      <c r="C495" s="54" t="s">
        <v>615</v>
      </c>
      <c r="D495" s="56" t="s">
        <v>67</v>
      </c>
      <c r="E495" s="54" t="s">
        <v>107</v>
      </c>
      <c r="F495" s="54" t="s">
        <v>69</v>
      </c>
      <c r="G495" s="75" t="s">
        <v>77</v>
      </c>
      <c r="H495" s="54"/>
      <c r="I495" s="54"/>
      <c r="J495" s="54"/>
      <c r="K495" s="54"/>
      <c r="L495" s="35"/>
      <c r="M495" s="35"/>
      <c r="N495" s="35"/>
      <c r="O495" s="7"/>
      <c r="P495" s="7"/>
    </row>
    <row r="496" spans="1:16" s="5" customFormat="1" ht="70.5">
      <c r="A496" s="54" t="s">
        <v>616</v>
      </c>
      <c r="B496" s="54" t="s">
        <v>106</v>
      </c>
      <c r="C496" s="54" t="s">
        <v>615</v>
      </c>
      <c r="D496" s="56" t="s">
        <v>67</v>
      </c>
      <c r="E496" s="54" t="s">
        <v>107</v>
      </c>
      <c r="F496" s="54" t="s">
        <v>69</v>
      </c>
      <c r="G496" s="75" t="s">
        <v>77</v>
      </c>
      <c r="H496" s="54"/>
      <c r="I496" s="54"/>
      <c r="J496" s="54"/>
      <c r="K496" s="54"/>
      <c r="L496" s="35"/>
      <c r="M496" s="35"/>
      <c r="N496" s="35"/>
      <c r="O496" s="7"/>
      <c r="P496" s="7"/>
    </row>
    <row r="497" spans="1:16" s="5" customFormat="1" ht="70.5">
      <c r="A497" s="54" t="s">
        <v>617</v>
      </c>
      <c r="B497" s="54" t="s">
        <v>106</v>
      </c>
      <c r="C497" s="54" t="s">
        <v>615</v>
      </c>
      <c r="D497" s="56" t="s">
        <v>67</v>
      </c>
      <c r="E497" s="54" t="s">
        <v>107</v>
      </c>
      <c r="F497" s="54" t="s">
        <v>69</v>
      </c>
      <c r="G497" s="75" t="s">
        <v>77</v>
      </c>
      <c r="H497" s="54"/>
      <c r="I497" s="54"/>
      <c r="J497" s="54"/>
      <c r="K497" s="54"/>
      <c r="L497" s="35"/>
      <c r="M497" s="35"/>
      <c r="N497" s="35"/>
      <c r="O497" s="7"/>
      <c r="P497" s="7"/>
    </row>
    <row r="498" spans="1:16" s="5" customFormat="1" ht="70.5">
      <c r="A498" s="54" t="s">
        <v>618</v>
      </c>
      <c r="B498" s="54" t="s">
        <v>106</v>
      </c>
      <c r="C498" s="54" t="s">
        <v>615</v>
      </c>
      <c r="D498" s="56" t="s">
        <v>67</v>
      </c>
      <c r="E498" s="54" t="s">
        <v>107</v>
      </c>
      <c r="F498" s="54" t="s">
        <v>69</v>
      </c>
      <c r="G498" s="75" t="s">
        <v>77</v>
      </c>
      <c r="H498" s="54"/>
      <c r="I498" s="54"/>
      <c r="J498" s="54"/>
      <c r="K498" s="54"/>
      <c r="L498" s="35"/>
      <c r="M498" s="35"/>
      <c r="N498" s="35"/>
      <c r="O498" s="7"/>
      <c r="P498" s="7"/>
    </row>
    <row r="499" spans="1:16" s="5" customFormat="1" ht="70.5">
      <c r="A499" s="54" t="s">
        <v>619</v>
      </c>
      <c r="B499" s="54" t="s">
        <v>106</v>
      </c>
      <c r="C499" s="54" t="s">
        <v>615</v>
      </c>
      <c r="D499" s="56" t="s">
        <v>67</v>
      </c>
      <c r="E499" s="54" t="s">
        <v>107</v>
      </c>
      <c r="F499" s="54" t="s">
        <v>69</v>
      </c>
      <c r="G499" s="75" t="s">
        <v>77</v>
      </c>
      <c r="H499" s="54"/>
      <c r="I499" s="54"/>
      <c r="J499" s="54"/>
      <c r="K499" s="54"/>
      <c r="L499" s="35"/>
      <c r="M499" s="35"/>
      <c r="N499" s="35"/>
      <c r="O499" s="7"/>
      <c r="P499" s="7"/>
    </row>
    <row r="500" spans="1:16" s="5" customFormat="1" ht="70.5">
      <c r="A500" s="54" t="s">
        <v>620</v>
      </c>
      <c r="B500" s="54" t="s">
        <v>106</v>
      </c>
      <c r="C500" s="54" t="s">
        <v>615</v>
      </c>
      <c r="D500" s="56" t="s">
        <v>67</v>
      </c>
      <c r="E500" s="54" t="s">
        <v>107</v>
      </c>
      <c r="F500" s="54" t="s">
        <v>69</v>
      </c>
      <c r="G500" s="75" t="s">
        <v>77</v>
      </c>
      <c r="H500" s="54"/>
      <c r="I500" s="54"/>
      <c r="J500" s="54"/>
      <c r="K500" s="54"/>
      <c r="L500" s="35"/>
      <c r="M500" s="35"/>
      <c r="N500" s="35"/>
      <c r="O500" s="7"/>
      <c r="P500" s="7"/>
    </row>
    <row r="501" spans="1:16" s="5" customFormat="1" ht="70.5">
      <c r="A501" s="54" t="s">
        <v>621</v>
      </c>
      <c r="B501" s="54" t="s">
        <v>106</v>
      </c>
      <c r="C501" s="54" t="s">
        <v>615</v>
      </c>
      <c r="D501" s="56" t="s">
        <v>67</v>
      </c>
      <c r="E501" s="54" t="s">
        <v>107</v>
      </c>
      <c r="F501" s="54" t="s">
        <v>69</v>
      </c>
      <c r="G501" s="75" t="s">
        <v>77</v>
      </c>
      <c r="H501" s="54"/>
      <c r="I501" s="54"/>
      <c r="J501" s="54"/>
      <c r="K501" s="54"/>
      <c r="L501" s="35"/>
      <c r="M501" s="35"/>
      <c r="N501" s="35"/>
      <c r="O501" s="7"/>
      <c r="P501" s="7"/>
    </row>
    <row r="502" spans="1:16" s="5" customFormat="1" ht="70.5">
      <c r="A502" s="54" t="s">
        <v>622</v>
      </c>
      <c r="B502" s="54" t="s">
        <v>106</v>
      </c>
      <c r="C502" s="54" t="s">
        <v>615</v>
      </c>
      <c r="D502" s="56" t="s">
        <v>67</v>
      </c>
      <c r="E502" s="54" t="s">
        <v>107</v>
      </c>
      <c r="F502" s="54" t="s">
        <v>69</v>
      </c>
      <c r="G502" s="75" t="s">
        <v>77</v>
      </c>
      <c r="H502" s="54"/>
      <c r="I502" s="54"/>
      <c r="J502" s="54"/>
      <c r="K502" s="54"/>
      <c r="L502" s="35"/>
      <c r="M502" s="35"/>
      <c r="N502" s="35"/>
      <c r="O502" s="7"/>
      <c r="P502" s="7"/>
    </row>
    <row r="503" spans="1:16" s="5" customFormat="1" ht="70.5">
      <c r="A503" s="54" t="s">
        <v>623</v>
      </c>
      <c r="B503" s="54" t="s">
        <v>106</v>
      </c>
      <c r="C503" s="54" t="s">
        <v>615</v>
      </c>
      <c r="D503" s="56" t="s">
        <v>67</v>
      </c>
      <c r="E503" s="54" t="s">
        <v>107</v>
      </c>
      <c r="F503" s="54" t="s">
        <v>69</v>
      </c>
      <c r="G503" s="75" t="s">
        <v>77</v>
      </c>
      <c r="H503" s="54"/>
      <c r="I503" s="54"/>
      <c r="J503" s="54"/>
      <c r="K503" s="54"/>
      <c r="L503" s="35"/>
      <c r="M503" s="35"/>
      <c r="N503" s="35"/>
      <c r="O503" s="7"/>
      <c r="P503" s="7"/>
    </row>
    <row r="504" spans="1:16" s="5" customFormat="1" ht="70.5">
      <c r="A504" s="54" t="s">
        <v>624</v>
      </c>
      <c r="B504" s="54" t="s">
        <v>106</v>
      </c>
      <c r="C504" s="54" t="s">
        <v>615</v>
      </c>
      <c r="D504" s="56" t="s">
        <v>67</v>
      </c>
      <c r="E504" s="54" t="s">
        <v>107</v>
      </c>
      <c r="F504" s="54" t="s">
        <v>69</v>
      </c>
      <c r="G504" s="75" t="s">
        <v>77</v>
      </c>
      <c r="H504" s="54"/>
      <c r="I504" s="54"/>
      <c r="J504" s="54"/>
      <c r="K504" s="54"/>
      <c r="L504" s="35"/>
      <c r="M504" s="35"/>
      <c r="N504" s="35"/>
      <c r="O504" s="7"/>
      <c r="P504" s="7"/>
    </row>
    <row r="505" spans="1:16" s="5" customFormat="1" ht="70.5">
      <c r="A505" s="54" t="s">
        <v>625</v>
      </c>
      <c r="B505" s="54" t="s">
        <v>106</v>
      </c>
      <c r="C505" s="54" t="s">
        <v>615</v>
      </c>
      <c r="D505" s="56" t="s">
        <v>67</v>
      </c>
      <c r="E505" s="54" t="s">
        <v>107</v>
      </c>
      <c r="F505" s="54" t="s">
        <v>69</v>
      </c>
      <c r="G505" s="75" t="s">
        <v>77</v>
      </c>
      <c r="H505" s="54"/>
      <c r="I505" s="54"/>
      <c r="J505" s="54"/>
      <c r="K505" s="54"/>
      <c r="L505" s="35"/>
      <c r="M505" s="35"/>
      <c r="N505" s="35"/>
      <c r="O505" s="7"/>
      <c r="P505" s="7"/>
    </row>
    <row r="506" spans="1:16" s="5" customFormat="1" ht="70.5">
      <c r="A506" s="54" t="s">
        <v>626</v>
      </c>
      <c r="B506" s="54" t="s">
        <v>65</v>
      </c>
      <c r="C506" s="54" t="s">
        <v>615</v>
      </c>
      <c r="D506" s="56" t="s">
        <v>67</v>
      </c>
      <c r="E506" s="54" t="s">
        <v>75</v>
      </c>
      <c r="F506" s="54" t="s">
        <v>69</v>
      </c>
      <c r="G506" s="75" t="s">
        <v>77</v>
      </c>
      <c r="H506" s="54"/>
      <c r="I506" s="54"/>
      <c r="J506" s="54"/>
      <c r="K506" s="54"/>
      <c r="L506" s="35"/>
      <c r="M506" s="35"/>
      <c r="N506" s="35"/>
      <c r="O506" s="7"/>
      <c r="P506" s="7"/>
    </row>
    <row r="507" spans="1:16" s="5" customFormat="1" ht="47">
      <c r="A507" s="54" t="s">
        <v>627</v>
      </c>
      <c r="B507" s="54" t="s">
        <v>106</v>
      </c>
      <c r="C507" s="54" t="s">
        <v>615</v>
      </c>
      <c r="D507" s="56" t="s">
        <v>67</v>
      </c>
      <c r="E507" s="54" t="s">
        <v>107</v>
      </c>
      <c r="F507" s="54" t="s">
        <v>69</v>
      </c>
      <c r="G507" s="75" t="s">
        <v>77</v>
      </c>
      <c r="H507" s="54"/>
      <c r="I507" s="54"/>
      <c r="J507" s="54"/>
      <c r="K507" s="54"/>
      <c r="L507" s="35"/>
      <c r="M507" s="35"/>
      <c r="N507" s="35"/>
      <c r="O507" s="7"/>
      <c r="P507" s="7"/>
    </row>
    <row r="508" spans="1:16" s="5" customFormat="1" ht="47">
      <c r="A508" s="54" t="s">
        <v>628</v>
      </c>
      <c r="B508" s="54" t="s">
        <v>106</v>
      </c>
      <c r="C508" s="54" t="s">
        <v>615</v>
      </c>
      <c r="D508" s="56" t="s">
        <v>67</v>
      </c>
      <c r="E508" s="54" t="s">
        <v>107</v>
      </c>
      <c r="F508" s="54" t="s">
        <v>69</v>
      </c>
      <c r="G508" s="75" t="s">
        <v>77</v>
      </c>
      <c r="H508" s="54"/>
      <c r="I508" s="54"/>
      <c r="J508" s="54"/>
      <c r="K508" s="54"/>
      <c r="L508" s="35"/>
      <c r="M508" s="35"/>
      <c r="N508" s="35"/>
      <c r="O508" s="7"/>
      <c r="P508" s="7"/>
    </row>
    <row r="509" spans="1:16" s="5" customFormat="1" ht="70.5">
      <c r="A509" s="54" t="s">
        <v>629</v>
      </c>
      <c r="B509" s="54" t="s">
        <v>106</v>
      </c>
      <c r="C509" s="54" t="s">
        <v>615</v>
      </c>
      <c r="D509" s="56" t="s">
        <v>67</v>
      </c>
      <c r="E509" s="54" t="s">
        <v>107</v>
      </c>
      <c r="F509" s="54" t="s">
        <v>69</v>
      </c>
      <c r="G509" s="75" t="s">
        <v>77</v>
      </c>
      <c r="H509" s="54"/>
      <c r="I509" s="54"/>
      <c r="J509" s="54"/>
      <c r="K509" s="54"/>
      <c r="L509" s="35"/>
      <c r="M509" s="35"/>
      <c r="N509" s="35"/>
      <c r="O509" s="7"/>
      <c r="P509" s="7"/>
    </row>
    <row r="510" spans="1:16" s="5" customFormat="1" ht="47">
      <c r="A510" s="54" t="s">
        <v>630</v>
      </c>
      <c r="B510" s="54" t="s">
        <v>65</v>
      </c>
      <c r="C510" s="54" t="s">
        <v>631</v>
      </c>
      <c r="D510" s="56" t="s">
        <v>67</v>
      </c>
      <c r="E510" s="54" t="s">
        <v>84</v>
      </c>
      <c r="F510" s="54" t="s">
        <v>69</v>
      </c>
      <c r="G510" s="75" t="s">
        <v>77</v>
      </c>
      <c r="H510" s="54"/>
      <c r="I510" s="54"/>
      <c r="J510" s="54"/>
      <c r="K510" s="54"/>
      <c r="L510" s="35"/>
      <c r="M510" s="35"/>
      <c r="N510" s="35"/>
      <c r="O510" s="7"/>
      <c r="P510" s="7"/>
    </row>
    <row r="511" spans="1:16" s="5" customFormat="1" ht="47">
      <c r="A511" s="54" t="s">
        <v>632</v>
      </c>
      <c r="B511" s="54" t="s">
        <v>65</v>
      </c>
      <c r="C511" s="54" t="s">
        <v>631</v>
      </c>
      <c r="D511" s="56" t="s">
        <v>67</v>
      </c>
      <c r="E511" s="54" t="s">
        <v>84</v>
      </c>
      <c r="F511" s="54" t="s">
        <v>69</v>
      </c>
      <c r="G511" s="75" t="s">
        <v>77</v>
      </c>
      <c r="H511" s="54"/>
      <c r="I511" s="54"/>
      <c r="J511" s="54"/>
      <c r="K511" s="54"/>
      <c r="L511" s="35"/>
      <c r="M511" s="35"/>
      <c r="N511" s="35"/>
      <c r="O511" s="7"/>
      <c r="P511" s="7"/>
    </row>
    <row r="512" spans="1:16" s="5" customFormat="1" ht="47">
      <c r="A512" s="54" t="s">
        <v>633</v>
      </c>
      <c r="B512" s="54" t="s">
        <v>65</v>
      </c>
      <c r="C512" s="54" t="s">
        <v>631</v>
      </c>
      <c r="D512" s="56" t="s">
        <v>67</v>
      </c>
      <c r="E512" s="54" t="s">
        <v>84</v>
      </c>
      <c r="F512" s="54" t="s">
        <v>76</v>
      </c>
      <c r="G512" s="75" t="s">
        <v>77</v>
      </c>
      <c r="H512" s="54"/>
      <c r="I512" s="54"/>
      <c r="J512" s="54"/>
      <c r="K512" s="54"/>
      <c r="L512" s="35"/>
      <c r="M512" s="35"/>
      <c r="N512" s="35"/>
      <c r="O512" s="7"/>
      <c r="P512" s="7"/>
    </row>
    <row r="513" spans="1:16" s="5" customFormat="1" ht="70.5">
      <c r="A513" s="54" t="s">
        <v>634</v>
      </c>
      <c r="B513" s="54" t="s">
        <v>65</v>
      </c>
      <c r="C513" s="54" t="s">
        <v>631</v>
      </c>
      <c r="D513" s="59" t="s">
        <v>67</v>
      </c>
      <c r="E513" s="54" t="s">
        <v>84</v>
      </c>
      <c r="F513" s="54" t="s">
        <v>76</v>
      </c>
      <c r="G513" s="75" t="s">
        <v>77</v>
      </c>
      <c r="H513" s="54"/>
      <c r="I513" s="54"/>
      <c r="J513" s="54"/>
      <c r="K513" s="54"/>
      <c r="L513" s="35"/>
      <c r="M513" s="35"/>
      <c r="N513" s="35"/>
      <c r="O513" s="7"/>
      <c r="P513" s="7"/>
    </row>
    <row r="514" spans="1:16" s="5" customFormat="1" ht="47">
      <c r="A514" s="54" t="s">
        <v>635</v>
      </c>
      <c r="B514" s="54" t="s">
        <v>65</v>
      </c>
      <c r="C514" s="54" t="s">
        <v>636</v>
      </c>
      <c r="D514" s="67" t="s">
        <v>74</v>
      </c>
      <c r="E514" s="54" t="s">
        <v>68</v>
      </c>
      <c r="F514" s="54" t="s">
        <v>76</v>
      </c>
      <c r="G514" s="75" t="s">
        <v>77</v>
      </c>
      <c r="H514" s="54"/>
      <c r="I514" s="54"/>
      <c r="J514" s="54"/>
      <c r="K514" s="54"/>
      <c r="L514" s="35"/>
      <c r="M514" s="35"/>
      <c r="N514" s="35"/>
      <c r="O514" s="7"/>
      <c r="P514" s="7"/>
    </row>
    <row r="515" spans="1:16" s="5" customFormat="1" ht="47">
      <c r="A515" s="54" t="s">
        <v>637</v>
      </c>
      <c r="B515" s="54" t="s">
        <v>65</v>
      </c>
      <c r="C515" s="54" t="s">
        <v>636</v>
      </c>
      <c r="D515" s="57" t="s">
        <v>74</v>
      </c>
      <c r="E515" s="54" t="s">
        <v>84</v>
      </c>
      <c r="F515" s="54" t="s">
        <v>76</v>
      </c>
      <c r="G515" s="75" t="s">
        <v>77</v>
      </c>
      <c r="H515" s="54"/>
      <c r="I515" s="54"/>
      <c r="J515" s="54"/>
      <c r="K515" s="54"/>
      <c r="L515" s="35"/>
      <c r="M515" s="35"/>
      <c r="N515" s="35"/>
      <c r="O515" s="7"/>
      <c r="P515" s="7"/>
    </row>
    <row r="516" spans="1:16" s="5" customFormat="1" ht="47">
      <c r="A516" s="54" t="s">
        <v>638</v>
      </c>
      <c r="B516" s="54" t="s">
        <v>65</v>
      </c>
      <c r="C516" s="54" t="s">
        <v>636</v>
      </c>
      <c r="D516" s="59" t="s">
        <v>67</v>
      </c>
      <c r="E516" s="54" t="s">
        <v>68</v>
      </c>
      <c r="F516" s="54" t="s">
        <v>76</v>
      </c>
      <c r="G516" s="75" t="s">
        <v>77</v>
      </c>
      <c r="H516" s="54"/>
      <c r="I516" s="54"/>
      <c r="J516" s="54"/>
      <c r="K516" s="54"/>
      <c r="L516" s="35"/>
      <c r="M516" s="35"/>
      <c r="N516" s="35"/>
      <c r="O516" s="7"/>
      <c r="P516" s="7"/>
    </row>
    <row r="517" spans="1:16" s="5" customFormat="1" ht="47">
      <c r="A517" s="54" t="s">
        <v>639</v>
      </c>
      <c r="B517" s="54" t="s">
        <v>65</v>
      </c>
      <c r="C517" s="54" t="s">
        <v>636</v>
      </c>
      <c r="D517" s="56" t="s">
        <v>67</v>
      </c>
      <c r="E517" s="54" t="s">
        <v>68</v>
      </c>
      <c r="F517" s="54" t="s">
        <v>76</v>
      </c>
      <c r="G517" s="75" t="s">
        <v>77</v>
      </c>
      <c r="H517" s="54"/>
      <c r="I517" s="54"/>
      <c r="J517" s="54"/>
      <c r="K517" s="54"/>
      <c r="L517" s="35"/>
      <c r="M517" s="35"/>
      <c r="N517" s="35"/>
      <c r="O517" s="7"/>
      <c r="P517" s="7"/>
    </row>
    <row r="518" spans="1:16" s="5" customFormat="1" ht="23.5">
      <c r="A518" s="54" t="s">
        <v>640</v>
      </c>
      <c r="B518" s="54" t="s">
        <v>65</v>
      </c>
      <c r="C518" s="54" t="s">
        <v>636</v>
      </c>
      <c r="D518" s="67" t="s">
        <v>74</v>
      </c>
      <c r="E518" s="54" t="s">
        <v>68</v>
      </c>
      <c r="F518" s="54" t="s">
        <v>76</v>
      </c>
      <c r="G518" s="75" t="s">
        <v>77</v>
      </c>
      <c r="H518" s="54"/>
      <c r="I518" s="54"/>
      <c r="J518" s="54"/>
      <c r="K518" s="54"/>
      <c r="L518" s="35"/>
      <c r="M518" s="35"/>
      <c r="N518" s="35"/>
      <c r="O518" s="7"/>
      <c r="P518" s="7"/>
    </row>
    <row r="519" spans="1:16" s="5" customFormat="1" ht="47">
      <c r="A519" s="54" t="s">
        <v>641</v>
      </c>
      <c r="B519" s="54" t="s">
        <v>65</v>
      </c>
      <c r="C519" s="54" t="s">
        <v>636</v>
      </c>
      <c r="D519" s="67" t="s">
        <v>74</v>
      </c>
      <c r="E519" s="54" t="s">
        <v>68</v>
      </c>
      <c r="F519" s="54" t="s">
        <v>76</v>
      </c>
      <c r="G519" s="74" t="s">
        <v>70</v>
      </c>
      <c r="H519" s="54"/>
      <c r="I519" s="54"/>
      <c r="J519" s="54"/>
      <c r="K519" s="54"/>
      <c r="L519" s="35"/>
      <c r="M519" s="35"/>
      <c r="N519" s="35"/>
      <c r="O519" s="7"/>
      <c r="P519" s="7"/>
    </row>
    <row r="520" spans="1:16" s="5" customFormat="1" ht="23.5">
      <c r="A520" s="54" t="s">
        <v>642</v>
      </c>
      <c r="B520" s="54" t="s">
        <v>65</v>
      </c>
      <c r="C520" s="54" t="s">
        <v>636</v>
      </c>
      <c r="D520" s="57" t="s">
        <v>74</v>
      </c>
      <c r="E520" s="54" t="s">
        <v>68</v>
      </c>
      <c r="F520" s="54" t="s">
        <v>76</v>
      </c>
      <c r="G520" s="75" t="s">
        <v>77</v>
      </c>
      <c r="H520" s="54"/>
      <c r="I520" s="54"/>
      <c r="J520" s="54"/>
      <c r="K520" s="54"/>
      <c r="L520" s="35"/>
      <c r="M520" s="35"/>
      <c r="N520" s="35"/>
      <c r="O520" s="7"/>
      <c r="P520" s="7"/>
    </row>
    <row r="521" spans="1:16" s="5" customFormat="1" ht="70.5">
      <c r="A521" s="54" t="s">
        <v>643</v>
      </c>
      <c r="B521" s="54" t="s">
        <v>65</v>
      </c>
      <c r="C521" s="54" t="s">
        <v>636</v>
      </c>
      <c r="D521" s="69" t="s">
        <v>644</v>
      </c>
      <c r="E521" s="54" t="s">
        <v>68</v>
      </c>
      <c r="F521" s="54" t="s">
        <v>76</v>
      </c>
      <c r="G521" s="75" t="s">
        <v>77</v>
      </c>
      <c r="H521" s="54"/>
      <c r="I521" s="54"/>
      <c r="J521" s="54"/>
      <c r="K521" s="54"/>
      <c r="L521" s="35"/>
      <c r="M521" s="35"/>
      <c r="N521" s="35"/>
      <c r="O521" s="7"/>
      <c r="P521" s="7"/>
    </row>
    <row r="522" spans="1:16" s="5" customFormat="1" ht="47">
      <c r="A522" s="54" t="s">
        <v>645</v>
      </c>
      <c r="B522" s="54" t="s">
        <v>65</v>
      </c>
      <c r="C522" s="54" t="s">
        <v>636</v>
      </c>
      <c r="D522" s="67" t="s">
        <v>74</v>
      </c>
      <c r="E522" s="54" t="s">
        <v>68</v>
      </c>
      <c r="F522" s="54" t="s">
        <v>76</v>
      </c>
      <c r="G522" s="75" t="s">
        <v>77</v>
      </c>
      <c r="H522" s="54"/>
      <c r="I522" s="54"/>
      <c r="J522" s="54"/>
      <c r="K522" s="54"/>
      <c r="L522" s="35"/>
      <c r="M522" s="35"/>
      <c r="N522" s="35"/>
      <c r="O522" s="7"/>
      <c r="P522" s="7"/>
    </row>
    <row r="523" spans="1:16" s="5" customFormat="1" ht="70.5">
      <c r="A523" s="54" t="s">
        <v>646</v>
      </c>
      <c r="B523" s="54" t="s">
        <v>65</v>
      </c>
      <c r="C523" s="54" t="s">
        <v>636</v>
      </c>
      <c r="D523" s="70" t="s">
        <v>644</v>
      </c>
      <c r="E523" s="54" t="s">
        <v>75</v>
      </c>
      <c r="F523" s="54" t="s">
        <v>76</v>
      </c>
      <c r="G523" s="75" t="s">
        <v>77</v>
      </c>
      <c r="H523" s="54"/>
      <c r="I523" s="54"/>
      <c r="J523" s="54"/>
      <c r="K523" s="54"/>
      <c r="L523" s="35"/>
      <c r="M523" s="35"/>
      <c r="N523" s="35"/>
      <c r="O523" s="7"/>
      <c r="P523" s="7"/>
    </row>
    <row r="524" spans="1:16" s="5" customFormat="1" ht="70.5">
      <c r="A524" s="54" t="s">
        <v>647</v>
      </c>
      <c r="B524" s="54" t="s">
        <v>65</v>
      </c>
      <c r="C524" s="54" t="s">
        <v>636</v>
      </c>
      <c r="D524" s="60" t="s">
        <v>644</v>
      </c>
      <c r="E524" s="54" t="s">
        <v>68</v>
      </c>
      <c r="F524" s="54" t="s">
        <v>76</v>
      </c>
      <c r="G524" s="75" t="s">
        <v>77</v>
      </c>
      <c r="H524" s="54"/>
      <c r="I524" s="54"/>
      <c r="J524" s="54"/>
      <c r="K524" s="54"/>
      <c r="L524" s="35"/>
      <c r="M524" s="35"/>
      <c r="N524" s="35"/>
      <c r="O524" s="7"/>
      <c r="P524" s="7"/>
    </row>
    <row r="525" spans="1:16" s="5" customFormat="1" ht="47">
      <c r="A525" s="54" t="s">
        <v>648</v>
      </c>
      <c r="B525" s="54" t="s">
        <v>65</v>
      </c>
      <c r="C525" s="54" t="s">
        <v>636</v>
      </c>
      <c r="D525" s="59" t="s">
        <v>67</v>
      </c>
      <c r="E525" s="54" t="s">
        <v>68</v>
      </c>
      <c r="F525" s="54" t="s">
        <v>76</v>
      </c>
      <c r="G525" s="75" t="s">
        <v>77</v>
      </c>
      <c r="H525" s="54"/>
      <c r="I525" s="54"/>
      <c r="J525" s="54"/>
      <c r="K525" s="54"/>
      <c r="L525" s="35"/>
      <c r="M525" s="35"/>
      <c r="N525" s="35"/>
      <c r="O525" s="7"/>
      <c r="P525" s="7"/>
    </row>
    <row r="526" spans="1:16" s="5" customFormat="1" ht="47">
      <c r="A526" s="54" t="s">
        <v>649</v>
      </c>
      <c r="B526" s="54" t="s">
        <v>65</v>
      </c>
      <c r="C526" s="54" t="s">
        <v>636</v>
      </c>
      <c r="D526" s="57" t="s">
        <v>74</v>
      </c>
      <c r="E526" s="54" t="s">
        <v>75</v>
      </c>
      <c r="F526" s="54" t="s">
        <v>76</v>
      </c>
      <c r="G526" s="75" t="s">
        <v>77</v>
      </c>
      <c r="H526" s="54"/>
      <c r="I526" s="54"/>
      <c r="J526" s="54"/>
      <c r="K526" s="54"/>
      <c r="L526" s="35"/>
      <c r="M526" s="35"/>
      <c r="N526" s="35"/>
      <c r="O526" s="7"/>
      <c r="P526" s="7"/>
    </row>
    <row r="527" spans="1:16" s="5" customFormat="1" ht="47">
      <c r="A527" s="54" t="s">
        <v>650</v>
      </c>
      <c r="B527" s="54" t="s">
        <v>65</v>
      </c>
      <c r="C527" s="54" t="s">
        <v>636</v>
      </c>
      <c r="D527" s="61" t="s">
        <v>74</v>
      </c>
      <c r="E527" s="54" t="s">
        <v>75</v>
      </c>
      <c r="F527" s="54" t="s">
        <v>76</v>
      </c>
      <c r="G527" s="75" t="s">
        <v>77</v>
      </c>
      <c r="H527" s="54"/>
      <c r="I527" s="54"/>
      <c r="J527" s="54"/>
      <c r="K527" s="54"/>
      <c r="L527" s="35"/>
      <c r="M527" s="35"/>
      <c r="N527" s="35"/>
      <c r="O527" s="7"/>
      <c r="P527" s="7"/>
    </row>
    <row r="528" spans="1:16" s="5" customFormat="1" ht="47">
      <c r="A528" s="54" t="s">
        <v>651</v>
      </c>
      <c r="B528" s="54" t="s">
        <v>65</v>
      </c>
      <c r="C528" s="54" t="s">
        <v>636</v>
      </c>
      <c r="D528" s="61" t="s">
        <v>74</v>
      </c>
      <c r="E528" s="54" t="s">
        <v>68</v>
      </c>
      <c r="F528" s="54" t="s">
        <v>76</v>
      </c>
      <c r="G528" s="75" t="s">
        <v>77</v>
      </c>
      <c r="H528" s="54"/>
      <c r="I528" s="54"/>
      <c r="J528" s="54"/>
      <c r="K528" s="54"/>
      <c r="L528" s="35"/>
      <c r="M528" s="35"/>
      <c r="N528" s="35"/>
      <c r="O528" s="7"/>
      <c r="P528" s="7"/>
    </row>
    <row r="529" spans="1:16" s="5" customFormat="1" ht="70.5">
      <c r="A529" s="54" t="s">
        <v>652</v>
      </c>
      <c r="B529" s="54" t="s">
        <v>65</v>
      </c>
      <c r="C529" s="54" t="s">
        <v>636</v>
      </c>
      <c r="D529" s="70" t="s">
        <v>644</v>
      </c>
      <c r="E529" s="54" t="s">
        <v>75</v>
      </c>
      <c r="F529" s="54" t="s">
        <v>76</v>
      </c>
      <c r="G529" s="75" t="s">
        <v>77</v>
      </c>
      <c r="H529" s="54"/>
      <c r="I529" s="54"/>
      <c r="J529" s="54"/>
      <c r="K529" s="54"/>
      <c r="L529" s="35"/>
      <c r="M529" s="35"/>
      <c r="N529" s="35"/>
      <c r="O529" s="7"/>
      <c r="P529" s="7"/>
    </row>
    <row r="530" spans="1:16" s="5" customFormat="1" ht="47">
      <c r="A530" s="54" t="s">
        <v>653</v>
      </c>
      <c r="B530" s="54" t="s">
        <v>65</v>
      </c>
      <c r="C530" s="54" t="s">
        <v>636</v>
      </c>
      <c r="D530" s="71" t="s">
        <v>67</v>
      </c>
      <c r="E530" s="54" t="s">
        <v>68</v>
      </c>
      <c r="F530" s="54" t="s">
        <v>76</v>
      </c>
      <c r="G530" s="74" t="s">
        <v>70</v>
      </c>
      <c r="H530" s="54"/>
      <c r="I530" s="54"/>
      <c r="J530" s="54"/>
      <c r="K530" s="54"/>
      <c r="L530" s="35"/>
      <c r="M530" s="35"/>
      <c r="N530" s="35"/>
      <c r="O530" s="7"/>
      <c r="P530" s="7"/>
    </row>
    <row r="531" spans="1:16" s="5" customFormat="1" ht="70.5">
      <c r="A531" s="54" t="s">
        <v>654</v>
      </c>
      <c r="B531" s="54" t="s">
        <v>65</v>
      </c>
      <c r="C531" s="54" t="s">
        <v>636</v>
      </c>
      <c r="D531" s="57" t="s">
        <v>74</v>
      </c>
      <c r="E531" s="54" t="s">
        <v>84</v>
      </c>
      <c r="F531" s="54" t="s">
        <v>76</v>
      </c>
      <c r="G531" s="75" t="s">
        <v>77</v>
      </c>
      <c r="H531" s="54"/>
      <c r="I531" s="54"/>
      <c r="J531" s="54"/>
      <c r="K531" s="54"/>
      <c r="L531" s="35"/>
      <c r="M531" s="35"/>
      <c r="N531" s="35"/>
      <c r="O531" s="7"/>
      <c r="P531" s="7"/>
    </row>
    <row r="532" spans="1:16" s="5" customFormat="1" ht="70.5">
      <c r="A532" s="54" t="s">
        <v>655</v>
      </c>
      <c r="B532" s="54" t="s">
        <v>65</v>
      </c>
      <c r="C532" s="54" t="s">
        <v>636</v>
      </c>
      <c r="D532" s="59" t="s">
        <v>67</v>
      </c>
      <c r="E532" s="54" t="s">
        <v>84</v>
      </c>
      <c r="F532" s="54" t="s">
        <v>76</v>
      </c>
      <c r="G532" s="75" t="s">
        <v>77</v>
      </c>
      <c r="H532" s="54"/>
      <c r="I532" s="54"/>
      <c r="J532" s="54"/>
      <c r="K532" s="54"/>
      <c r="L532" s="35"/>
      <c r="M532" s="35"/>
      <c r="N532" s="35"/>
      <c r="O532" s="7"/>
      <c r="P532" s="7"/>
    </row>
    <row r="533" spans="1:16" s="5" customFormat="1" ht="70.5">
      <c r="A533" s="54" t="s">
        <v>656</v>
      </c>
      <c r="B533" s="54" t="s">
        <v>65</v>
      </c>
      <c r="C533" s="54" t="s">
        <v>636</v>
      </c>
      <c r="D533" s="57" t="s">
        <v>74</v>
      </c>
      <c r="E533" s="54" t="s">
        <v>75</v>
      </c>
      <c r="F533" s="54" t="s">
        <v>76</v>
      </c>
      <c r="G533" s="75" t="s">
        <v>77</v>
      </c>
      <c r="H533" s="54"/>
      <c r="I533" s="54"/>
      <c r="J533" s="54"/>
      <c r="K533" s="54"/>
      <c r="L533" s="35"/>
      <c r="M533" s="35"/>
      <c r="N533" s="35"/>
      <c r="O533" s="7"/>
      <c r="P533" s="7"/>
    </row>
    <row r="534" spans="1:16" s="5" customFormat="1" ht="70.5">
      <c r="A534" s="54" t="s">
        <v>657</v>
      </c>
      <c r="B534" s="54" t="s">
        <v>65</v>
      </c>
      <c r="C534" s="54" t="s">
        <v>636</v>
      </c>
      <c r="D534" s="59" t="s">
        <v>67</v>
      </c>
      <c r="E534" s="54" t="s">
        <v>68</v>
      </c>
      <c r="F534" s="54" t="s">
        <v>76</v>
      </c>
      <c r="G534" s="75" t="s">
        <v>77</v>
      </c>
      <c r="H534" s="54"/>
      <c r="I534" s="54"/>
      <c r="J534" s="54"/>
      <c r="K534" s="54"/>
      <c r="L534" s="35"/>
      <c r="M534" s="35"/>
      <c r="N534" s="35"/>
      <c r="O534" s="7"/>
      <c r="P534" s="7"/>
    </row>
    <row r="535" spans="1:16" s="5" customFormat="1" ht="23.5">
      <c r="A535" s="54" t="s">
        <v>658</v>
      </c>
      <c r="B535" s="54" t="s">
        <v>65</v>
      </c>
      <c r="C535" s="54" t="s">
        <v>636</v>
      </c>
      <c r="D535" s="59" t="s">
        <v>67</v>
      </c>
      <c r="E535" s="54" t="s">
        <v>75</v>
      </c>
      <c r="F535" s="54" t="s">
        <v>69</v>
      </c>
      <c r="G535" s="75" t="s">
        <v>77</v>
      </c>
      <c r="H535" s="54"/>
      <c r="I535" s="54"/>
      <c r="J535" s="54"/>
      <c r="K535" s="54"/>
      <c r="L535" s="35"/>
      <c r="M535" s="35"/>
      <c r="N535" s="35"/>
      <c r="O535" s="7"/>
      <c r="P535" s="7"/>
    </row>
    <row r="536" spans="1:16" s="5" customFormat="1" ht="23.5">
      <c r="A536" s="54" t="s">
        <v>659</v>
      </c>
      <c r="B536" s="54" t="s">
        <v>65</v>
      </c>
      <c r="C536" s="54" t="s">
        <v>636</v>
      </c>
      <c r="D536" s="56" t="s">
        <v>67</v>
      </c>
      <c r="E536" s="54" t="s">
        <v>68</v>
      </c>
      <c r="F536" s="54" t="s">
        <v>76</v>
      </c>
      <c r="G536" s="75" t="s">
        <v>77</v>
      </c>
      <c r="H536" s="54"/>
      <c r="I536" s="54"/>
      <c r="J536" s="54"/>
      <c r="K536" s="54"/>
      <c r="L536" s="35"/>
      <c r="M536" s="35"/>
      <c r="N536" s="35"/>
      <c r="O536" s="7"/>
      <c r="P536" s="7"/>
    </row>
    <row r="537" spans="1:16" s="5" customFormat="1" ht="47">
      <c r="A537" s="54" t="s">
        <v>660</v>
      </c>
      <c r="B537" s="54" t="s">
        <v>65</v>
      </c>
      <c r="C537" s="54" t="s">
        <v>636</v>
      </c>
      <c r="D537" s="56" t="s">
        <v>67</v>
      </c>
      <c r="E537" s="54" t="s">
        <v>68</v>
      </c>
      <c r="F537" s="54" t="s">
        <v>69</v>
      </c>
      <c r="G537" s="75" t="s">
        <v>77</v>
      </c>
      <c r="H537" s="54"/>
      <c r="I537" s="54"/>
      <c r="J537" s="54" t="s">
        <v>661</v>
      </c>
      <c r="K537" s="54"/>
      <c r="L537" s="35"/>
      <c r="M537" s="35"/>
      <c r="N537" s="35"/>
      <c r="O537" s="7"/>
      <c r="P537" s="7"/>
    </row>
    <row r="538" spans="1:16" s="5" customFormat="1" ht="47">
      <c r="A538" s="54" t="s">
        <v>662</v>
      </c>
      <c r="B538" s="54" t="s">
        <v>65</v>
      </c>
      <c r="C538" s="54" t="s">
        <v>636</v>
      </c>
      <c r="D538" s="56" t="s">
        <v>67</v>
      </c>
      <c r="E538" s="54" t="s">
        <v>68</v>
      </c>
      <c r="F538" s="54" t="s">
        <v>76</v>
      </c>
      <c r="G538" s="74" t="s">
        <v>70</v>
      </c>
      <c r="H538" s="54"/>
      <c r="I538" s="54"/>
      <c r="J538" s="54" t="s">
        <v>663</v>
      </c>
      <c r="K538" s="54"/>
      <c r="L538" s="35"/>
      <c r="M538" s="35"/>
      <c r="N538" s="35"/>
      <c r="O538" s="7"/>
      <c r="P538" s="7"/>
    </row>
    <row r="539" spans="1:16" s="5" customFormat="1" ht="47">
      <c r="A539" s="54" t="s">
        <v>664</v>
      </c>
      <c r="B539" s="54" t="s">
        <v>65</v>
      </c>
      <c r="C539" s="54" t="s">
        <v>636</v>
      </c>
      <c r="D539" s="56" t="s">
        <v>67</v>
      </c>
      <c r="E539" s="54" t="s">
        <v>68</v>
      </c>
      <c r="F539" s="54" t="s">
        <v>76</v>
      </c>
      <c r="G539" s="74" t="s">
        <v>70</v>
      </c>
      <c r="H539" s="54"/>
      <c r="I539" s="54"/>
      <c r="J539" s="54" t="s">
        <v>663</v>
      </c>
      <c r="K539" s="54"/>
      <c r="L539" s="35"/>
      <c r="M539" s="35"/>
      <c r="N539" s="35"/>
      <c r="O539" s="7"/>
      <c r="P539" s="7"/>
    </row>
    <row r="540" spans="1:16" s="5" customFormat="1" ht="47">
      <c r="A540" s="54" t="s">
        <v>665</v>
      </c>
      <c r="B540" s="54" t="s">
        <v>65</v>
      </c>
      <c r="C540" s="54" t="s">
        <v>636</v>
      </c>
      <c r="D540" s="56" t="s">
        <v>67</v>
      </c>
      <c r="E540" s="54" t="s">
        <v>68</v>
      </c>
      <c r="F540" s="54" t="s">
        <v>76</v>
      </c>
      <c r="G540" s="74" t="s">
        <v>70</v>
      </c>
      <c r="H540" s="54"/>
      <c r="I540" s="54"/>
      <c r="J540" s="54"/>
      <c r="K540" s="54"/>
      <c r="L540" s="35"/>
      <c r="M540" s="35"/>
      <c r="N540" s="35"/>
      <c r="O540" s="7"/>
      <c r="P540" s="7"/>
    </row>
    <row r="541" spans="1:16" s="5" customFormat="1" ht="47">
      <c r="A541" s="54" t="s">
        <v>666</v>
      </c>
      <c r="B541" s="54" t="s">
        <v>65</v>
      </c>
      <c r="C541" s="54" t="s">
        <v>636</v>
      </c>
      <c r="D541" s="56" t="s">
        <v>67</v>
      </c>
      <c r="E541" s="54" t="s">
        <v>68</v>
      </c>
      <c r="F541" s="54" t="s">
        <v>76</v>
      </c>
      <c r="G541" s="74" t="s">
        <v>70</v>
      </c>
      <c r="H541" s="54"/>
      <c r="I541" s="54"/>
      <c r="J541" s="54" t="s">
        <v>663</v>
      </c>
      <c r="K541" s="54"/>
      <c r="L541" s="35"/>
      <c r="M541" s="35"/>
      <c r="N541" s="35"/>
      <c r="O541" s="7"/>
      <c r="P541" s="7"/>
    </row>
    <row r="542" spans="1:16" s="5" customFormat="1" ht="47">
      <c r="A542" s="54" t="s">
        <v>667</v>
      </c>
      <c r="B542" s="54" t="s">
        <v>65</v>
      </c>
      <c r="C542" s="54" t="s">
        <v>636</v>
      </c>
      <c r="D542" s="56" t="s">
        <v>67</v>
      </c>
      <c r="E542" s="54" t="s">
        <v>668</v>
      </c>
      <c r="F542" s="54" t="s">
        <v>76</v>
      </c>
      <c r="G542" s="75" t="s">
        <v>77</v>
      </c>
      <c r="H542" s="54"/>
      <c r="I542" s="54"/>
      <c r="J542" s="54"/>
      <c r="K542" s="54"/>
      <c r="L542" s="35"/>
      <c r="M542" s="35"/>
      <c r="N542" s="35"/>
      <c r="O542" s="7"/>
      <c r="P542" s="7"/>
    </row>
    <row r="543" spans="1:16" s="5" customFormat="1" ht="70.5">
      <c r="A543" s="54" t="s">
        <v>669</v>
      </c>
      <c r="B543" s="54" t="s">
        <v>65</v>
      </c>
      <c r="C543" s="54" t="s">
        <v>636</v>
      </c>
      <c r="D543" s="56" t="s">
        <v>67</v>
      </c>
      <c r="E543" s="54" t="s">
        <v>668</v>
      </c>
      <c r="F543" s="54" t="s">
        <v>76</v>
      </c>
      <c r="G543" s="75" t="s">
        <v>77</v>
      </c>
      <c r="H543" s="54"/>
      <c r="I543" s="54"/>
      <c r="J543" s="54" t="s">
        <v>670</v>
      </c>
      <c r="K543" s="54"/>
      <c r="L543" s="35"/>
      <c r="M543" s="35"/>
      <c r="N543" s="35"/>
      <c r="O543" s="7"/>
      <c r="P543" s="7"/>
    </row>
    <row r="544" spans="1:16" s="5" customFormat="1" ht="47">
      <c r="A544" s="54" t="s">
        <v>671</v>
      </c>
      <c r="B544" s="54" t="s">
        <v>139</v>
      </c>
      <c r="C544" s="54" t="s">
        <v>636</v>
      </c>
      <c r="D544" s="56" t="s">
        <v>67</v>
      </c>
      <c r="E544" s="54" t="s">
        <v>668</v>
      </c>
      <c r="F544" s="54" t="s">
        <v>76</v>
      </c>
      <c r="G544" s="75" t="s">
        <v>77</v>
      </c>
      <c r="H544" s="54"/>
      <c r="I544" s="54"/>
      <c r="J544" s="54"/>
      <c r="K544" s="54"/>
      <c r="L544" s="35"/>
      <c r="M544" s="35"/>
      <c r="N544" s="35"/>
      <c r="O544" s="7"/>
      <c r="P544" s="7"/>
    </row>
    <row r="545" spans="1:16" s="5" customFormat="1" ht="23.5">
      <c r="A545" s="54" t="s">
        <v>967</v>
      </c>
      <c r="B545" s="54" t="s">
        <v>65</v>
      </c>
      <c r="C545" s="54" t="s">
        <v>636</v>
      </c>
      <c r="D545" s="56" t="s">
        <v>67</v>
      </c>
      <c r="E545" s="54" t="s">
        <v>68</v>
      </c>
      <c r="F545" s="54" t="s">
        <v>76</v>
      </c>
      <c r="G545" s="75" t="s">
        <v>77</v>
      </c>
      <c r="H545" s="54"/>
      <c r="I545" s="54"/>
      <c r="J545" s="54"/>
      <c r="K545" s="54"/>
      <c r="L545" s="35"/>
      <c r="M545" s="35"/>
      <c r="N545" s="35"/>
      <c r="O545" s="7"/>
      <c r="P545" s="7"/>
    </row>
    <row r="546" spans="1:16" s="5" customFormat="1" ht="70.5">
      <c r="A546" s="54" t="s">
        <v>1781</v>
      </c>
      <c r="B546" s="54" t="s">
        <v>65</v>
      </c>
      <c r="C546" s="54" t="s">
        <v>636</v>
      </c>
      <c r="D546" s="56" t="s">
        <v>67</v>
      </c>
      <c r="E546" s="54" t="s">
        <v>68</v>
      </c>
      <c r="F546" s="54" t="s">
        <v>69</v>
      </c>
      <c r="G546" s="75" t="s">
        <v>77</v>
      </c>
      <c r="H546" s="54"/>
      <c r="I546" s="54"/>
      <c r="J546" s="54"/>
      <c r="K546" s="54"/>
      <c r="L546" s="35"/>
      <c r="M546" s="35"/>
      <c r="N546" s="35"/>
      <c r="O546" s="7"/>
      <c r="P546" s="7"/>
    </row>
    <row r="547" spans="1:16" s="5" customFormat="1" ht="70.5">
      <c r="A547" s="54" t="s">
        <v>672</v>
      </c>
      <c r="B547" s="54" t="s">
        <v>65</v>
      </c>
      <c r="C547" s="54" t="s">
        <v>673</v>
      </c>
      <c r="D547" s="57" t="s">
        <v>74</v>
      </c>
      <c r="E547" s="54" t="s">
        <v>75</v>
      </c>
      <c r="F547" s="54" t="s">
        <v>76</v>
      </c>
      <c r="G547" s="75" t="s">
        <v>77</v>
      </c>
      <c r="H547" s="54"/>
      <c r="I547" s="54"/>
      <c r="J547" s="54"/>
      <c r="K547" s="54"/>
      <c r="L547" s="35"/>
      <c r="M547" s="35"/>
      <c r="N547" s="35"/>
      <c r="O547" s="7"/>
      <c r="P547" s="7"/>
    </row>
    <row r="548" spans="1:16" s="5" customFormat="1" ht="70.5">
      <c r="A548" s="54" t="s">
        <v>674</v>
      </c>
      <c r="B548" s="54" t="s">
        <v>65</v>
      </c>
      <c r="C548" s="54" t="s">
        <v>675</v>
      </c>
      <c r="D548" s="57" t="s">
        <v>74</v>
      </c>
      <c r="E548" s="54" t="s">
        <v>68</v>
      </c>
      <c r="F548" s="54" t="s">
        <v>69</v>
      </c>
      <c r="G548" s="75" t="s">
        <v>77</v>
      </c>
      <c r="H548" s="54"/>
      <c r="I548" s="54"/>
      <c r="J548" s="54"/>
      <c r="K548" s="54"/>
      <c r="L548" s="35"/>
      <c r="M548" s="35"/>
      <c r="N548" s="35"/>
      <c r="O548" s="7"/>
      <c r="P548" s="7"/>
    </row>
    <row r="549" spans="1:16" s="5" customFormat="1" ht="70.5">
      <c r="A549" s="54" t="s">
        <v>676</v>
      </c>
      <c r="B549" s="54" t="s">
        <v>65</v>
      </c>
      <c r="C549" s="54" t="s">
        <v>677</v>
      </c>
      <c r="D549" s="59" t="s">
        <v>67</v>
      </c>
      <c r="E549" s="54" t="s">
        <v>84</v>
      </c>
      <c r="F549" s="54" t="s">
        <v>76</v>
      </c>
      <c r="G549" s="75" t="s">
        <v>77</v>
      </c>
      <c r="H549" s="54"/>
      <c r="I549" s="54"/>
      <c r="J549" s="54"/>
      <c r="K549" s="54"/>
      <c r="L549" s="35"/>
      <c r="M549" s="35"/>
      <c r="N549" s="35"/>
      <c r="O549" s="7"/>
      <c r="P549" s="7"/>
    </row>
    <row r="550" spans="1:16" s="5" customFormat="1" ht="70.5">
      <c r="A550" s="54" t="s">
        <v>678</v>
      </c>
      <c r="B550" s="54" t="s">
        <v>65</v>
      </c>
      <c r="C550" s="54" t="s">
        <v>677</v>
      </c>
      <c r="D550" s="59" t="s">
        <v>67</v>
      </c>
      <c r="E550" s="54" t="s">
        <v>84</v>
      </c>
      <c r="F550" s="54" t="s">
        <v>76</v>
      </c>
      <c r="G550" s="75" t="s">
        <v>77</v>
      </c>
      <c r="H550" s="54"/>
      <c r="I550" s="54"/>
      <c r="J550" s="54"/>
      <c r="K550" s="54"/>
      <c r="L550" s="35"/>
      <c r="M550" s="35"/>
      <c r="N550" s="35"/>
      <c r="O550" s="7"/>
      <c r="P550" s="7"/>
    </row>
    <row r="551" spans="1:16" s="5" customFormat="1" ht="70.5">
      <c r="A551" s="54" t="s">
        <v>679</v>
      </c>
      <c r="B551" s="54" t="s">
        <v>65</v>
      </c>
      <c r="C551" s="54" t="s">
        <v>677</v>
      </c>
      <c r="D551" s="59" t="s">
        <v>67</v>
      </c>
      <c r="E551" s="54" t="s">
        <v>84</v>
      </c>
      <c r="F551" s="54" t="s">
        <v>76</v>
      </c>
      <c r="G551" s="75" t="s">
        <v>77</v>
      </c>
      <c r="H551" s="54"/>
      <c r="I551" s="54"/>
      <c r="J551" s="54"/>
      <c r="K551" s="54"/>
      <c r="L551" s="35"/>
      <c r="M551" s="35"/>
      <c r="N551" s="35"/>
      <c r="O551" s="7"/>
      <c r="P551" s="7"/>
    </row>
    <row r="552" spans="1:16" s="5" customFormat="1" ht="70.5">
      <c r="A552" s="54" t="s">
        <v>680</v>
      </c>
      <c r="B552" s="54" t="s">
        <v>65</v>
      </c>
      <c r="C552" s="54" t="s">
        <v>681</v>
      </c>
      <c r="D552" s="57" t="s">
        <v>74</v>
      </c>
      <c r="E552" s="54" t="s">
        <v>68</v>
      </c>
      <c r="F552" s="54" t="s">
        <v>69</v>
      </c>
      <c r="G552" s="74" t="s">
        <v>70</v>
      </c>
      <c r="H552" s="54"/>
      <c r="I552" s="54"/>
      <c r="J552" s="54"/>
      <c r="K552" s="54"/>
      <c r="L552" s="35"/>
      <c r="M552" s="35"/>
      <c r="N552" s="35"/>
      <c r="O552" s="7"/>
      <c r="P552" s="7"/>
    </row>
    <row r="553" spans="1:16" s="5" customFormat="1" ht="70.5">
      <c r="A553" s="54" t="s">
        <v>682</v>
      </c>
      <c r="B553" s="54" t="s">
        <v>65</v>
      </c>
      <c r="C553" s="54" t="s">
        <v>681</v>
      </c>
      <c r="D553" s="57" t="s">
        <v>74</v>
      </c>
      <c r="E553" s="54" t="s">
        <v>68</v>
      </c>
      <c r="F553" s="54" t="s">
        <v>69</v>
      </c>
      <c r="G553" s="74" t="s">
        <v>70</v>
      </c>
      <c r="H553" s="54"/>
      <c r="I553" s="54"/>
      <c r="J553" s="54"/>
      <c r="K553" s="54"/>
      <c r="L553" s="35"/>
      <c r="M553" s="35"/>
      <c r="N553" s="35"/>
      <c r="O553" s="7"/>
      <c r="P553" s="7"/>
    </row>
    <row r="554" spans="1:16" s="5" customFormat="1" ht="70.5">
      <c r="A554" s="54" t="s">
        <v>683</v>
      </c>
      <c r="B554" s="54" t="s">
        <v>65</v>
      </c>
      <c r="C554" s="54" t="s">
        <v>681</v>
      </c>
      <c r="D554" s="57" t="s">
        <v>74</v>
      </c>
      <c r="E554" s="54" t="s">
        <v>68</v>
      </c>
      <c r="F554" s="54" t="s">
        <v>69</v>
      </c>
      <c r="G554" s="74" t="s">
        <v>70</v>
      </c>
      <c r="H554" s="54"/>
      <c r="I554" s="54"/>
      <c r="J554" s="54"/>
      <c r="K554" s="54"/>
      <c r="L554" s="35"/>
      <c r="M554" s="35"/>
      <c r="N554" s="35"/>
      <c r="O554" s="7"/>
      <c r="P554" s="7"/>
    </row>
    <row r="555" spans="1:16" s="5" customFormat="1" ht="94">
      <c r="A555" s="54" t="s">
        <v>684</v>
      </c>
      <c r="B555" s="54" t="s">
        <v>65</v>
      </c>
      <c r="C555" s="54" t="s">
        <v>681</v>
      </c>
      <c r="D555" s="57" t="s">
        <v>74</v>
      </c>
      <c r="E555" s="54" t="s">
        <v>68</v>
      </c>
      <c r="F555" s="54" t="s">
        <v>69</v>
      </c>
      <c r="G555" s="74" t="s">
        <v>70</v>
      </c>
      <c r="H555" s="54"/>
      <c r="I555" s="54"/>
      <c r="J555" s="54"/>
      <c r="K555" s="54"/>
      <c r="L555" s="35"/>
      <c r="M555" s="35"/>
      <c r="N555" s="35"/>
      <c r="O555" s="7"/>
      <c r="P555" s="7"/>
    </row>
    <row r="556" spans="1:16" s="5" customFormat="1" ht="70.5">
      <c r="A556" s="54" t="s">
        <v>685</v>
      </c>
      <c r="B556" s="54" t="s">
        <v>65</v>
      </c>
      <c r="C556" s="54" t="s">
        <v>681</v>
      </c>
      <c r="D556" s="57" t="s">
        <v>74</v>
      </c>
      <c r="E556" s="54" t="s">
        <v>68</v>
      </c>
      <c r="F556" s="54" t="s">
        <v>69</v>
      </c>
      <c r="G556" s="74" t="s">
        <v>70</v>
      </c>
      <c r="H556" s="54"/>
      <c r="I556" s="54"/>
      <c r="J556" s="54"/>
      <c r="K556" s="54"/>
      <c r="L556" s="35"/>
      <c r="M556" s="35"/>
      <c r="N556" s="35"/>
      <c r="O556" s="7"/>
      <c r="P556" s="7"/>
    </row>
    <row r="557" spans="1:16" s="5" customFormat="1" ht="70.5">
      <c r="A557" s="54" t="s">
        <v>686</v>
      </c>
      <c r="B557" s="54" t="s">
        <v>65</v>
      </c>
      <c r="C557" s="54" t="s">
        <v>681</v>
      </c>
      <c r="D557" s="57" t="s">
        <v>74</v>
      </c>
      <c r="E557" s="54" t="s">
        <v>68</v>
      </c>
      <c r="F557" s="54" t="s">
        <v>69</v>
      </c>
      <c r="G557" s="74" t="s">
        <v>70</v>
      </c>
      <c r="H557" s="54"/>
      <c r="I557" s="54"/>
      <c r="J557" s="54"/>
      <c r="K557" s="54"/>
      <c r="L557" s="35"/>
      <c r="M557" s="35"/>
      <c r="N557" s="35"/>
      <c r="O557" s="7"/>
      <c r="P557" s="7"/>
    </row>
    <row r="558" spans="1:16" s="5" customFormat="1" ht="70.5">
      <c r="A558" s="54" t="s">
        <v>687</v>
      </c>
      <c r="B558" s="54" t="s">
        <v>65</v>
      </c>
      <c r="C558" s="54" t="s">
        <v>681</v>
      </c>
      <c r="D558" s="57" t="s">
        <v>74</v>
      </c>
      <c r="E558" s="54" t="s">
        <v>68</v>
      </c>
      <c r="F558" s="54" t="s">
        <v>69</v>
      </c>
      <c r="G558" s="74" t="s">
        <v>70</v>
      </c>
      <c r="H558" s="54"/>
      <c r="I558" s="54"/>
      <c r="J558" s="54"/>
      <c r="K558" s="54"/>
      <c r="L558" s="35"/>
      <c r="M558" s="35"/>
      <c r="N558" s="35"/>
      <c r="O558" s="7"/>
      <c r="P558" s="7"/>
    </row>
    <row r="559" spans="1:16" s="5" customFormat="1" ht="70.5">
      <c r="A559" s="54" t="s">
        <v>688</v>
      </c>
      <c r="B559" s="54" t="s">
        <v>65</v>
      </c>
      <c r="C559" s="54" t="s">
        <v>681</v>
      </c>
      <c r="D559" s="57" t="s">
        <v>74</v>
      </c>
      <c r="E559" s="54" t="s">
        <v>68</v>
      </c>
      <c r="F559" s="54" t="s">
        <v>69</v>
      </c>
      <c r="G559" s="74" t="s">
        <v>70</v>
      </c>
      <c r="H559" s="54"/>
      <c r="I559" s="54"/>
      <c r="J559" s="54"/>
      <c r="K559" s="54"/>
      <c r="L559" s="35"/>
      <c r="M559" s="35"/>
      <c r="N559" s="35"/>
      <c r="O559" s="7"/>
      <c r="P559" s="7"/>
    </row>
    <row r="560" spans="1:16" s="5" customFormat="1" ht="117.5">
      <c r="A560" s="54" t="s">
        <v>689</v>
      </c>
      <c r="B560" s="54" t="s">
        <v>65</v>
      </c>
      <c r="C560" s="54" t="s">
        <v>681</v>
      </c>
      <c r="D560" s="57" t="s">
        <v>74</v>
      </c>
      <c r="E560" s="54" t="s">
        <v>68</v>
      </c>
      <c r="F560" s="54" t="s">
        <v>69</v>
      </c>
      <c r="G560" s="74" t="s">
        <v>70</v>
      </c>
      <c r="H560" s="54"/>
      <c r="I560" s="54"/>
      <c r="J560" s="54"/>
      <c r="K560" s="54"/>
      <c r="L560" s="35"/>
      <c r="M560" s="35"/>
      <c r="N560" s="35"/>
      <c r="O560" s="7"/>
      <c r="P560" s="7"/>
    </row>
    <row r="561" spans="1:16" s="5" customFormat="1" ht="117.5">
      <c r="A561" s="54" t="s">
        <v>690</v>
      </c>
      <c r="B561" s="54" t="s">
        <v>65</v>
      </c>
      <c r="C561" s="54" t="s">
        <v>681</v>
      </c>
      <c r="D561" s="57" t="s">
        <v>74</v>
      </c>
      <c r="E561" s="54" t="s">
        <v>68</v>
      </c>
      <c r="F561" s="54" t="s">
        <v>69</v>
      </c>
      <c r="G561" s="74" t="s">
        <v>70</v>
      </c>
      <c r="H561" s="54"/>
      <c r="I561" s="54"/>
      <c r="J561" s="54"/>
      <c r="K561" s="54"/>
      <c r="L561" s="35"/>
      <c r="M561" s="35"/>
      <c r="N561" s="35"/>
      <c r="O561" s="7"/>
      <c r="P561" s="7"/>
    </row>
    <row r="562" spans="1:16" s="5" customFormat="1" ht="70.5">
      <c r="A562" s="54" t="s">
        <v>691</v>
      </c>
      <c r="B562" s="54" t="s">
        <v>65</v>
      </c>
      <c r="C562" s="54" t="s">
        <v>681</v>
      </c>
      <c r="D562" s="57" t="s">
        <v>74</v>
      </c>
      <c r="E562" s="54" t="s">
        <v>68</v>
      </c>
      <c r="F562" s="54" t="s">
        <v>69</v>
      </c>
      <c r="G562" s="74" t="s">
        <v>70</v>
      </c>
      <c r="H562" s="54"/>
      <c r="I562" s="54"/>
      <c r="J562" s="54"/>
      <c r="K562" s="54"/>
      <c r="L562" s="35"/>
      <c r="M562" s="35"/>
      <c r="N562" s="35"/>
      <c r="O562" s="7"/>
      <c r="P562" s="7"/>
    </row>
    <row r="563" spans="1:16" s="5" customFormat="1" ht="47">
      <c r="A563" s="54" t="s">
        <v>692</v>
      </c>
      <c r="B563" s="54" t="s">
        <v>65</v>
      </c>
      <c r="C563" s="54" t="s">
        <v>681</v>
      </c>
      <c r="D563" s="57" t="s">
        <v>74</v>
      </c>
      <c r="E563" s="54" t="s">
        <v>68</v>
      </c>
      <c r="F563" s="54" t="s">
        <v>69</v>
      </c>
      <c r="G563" s="74" t="s">
        <v>70</v>
      </c>
      <c r="H563" s="54"/>
      <c r="I563" s="54"/>
      <c r="J563" s="54"/>
      <c r="K563" s="54"/>
      <c r="L563" s="35"/>
      <c r="M563" s="35"/>
      <c r="N563" s="35"/>
      <c r="O563" s="7"/>
      <c r="P563" s="7"/>
    </row>
    <row r="564" spans="1:16" s="5" customFormat="1" ht="70.5">
      <c r="A564" s="54" t="s">
        <v>693</v>
      </c>
      <c r="B564" s="54" t="s">
        <v>65</v>
      </c>
      <c r="C564" s="54" t="s">
        <v>681</v>
      </c>
      <c r="D564" s="57" t="s">
        <v>74</v>
      </c>
      <c r="E564" s="54" t="s">
        <v>68</v>
      </c>
      <c r="F564" s="54" t="s">
        <v>69</v>
      </c>
      <c r="G564" s="74" t="s">
        <v>70</v>
      </c>
      <c r="H564" s="54"/>
      <c r="I564" s="54"/>
      <c r="J564" s="54"/>
      <c r="K564" s="54"/>
      <c r="L564" s="35"/>
      <c r="M564" s="35"/>
      <c r="N564" s="35"/>
      <c r="O564" s="7"/>
      <c r="P564" s="7"/>
    </row>
    <row r="565" spans="1:16" s="5" customFormat="1" ht="47">
      <c r="A565" s="54" t="s">
        <v>694</v>
      </c>
      <c r="B565" s="54" t="s">
        <v>65</v>
      </c>
      <c r="C565" s="54" t="s">
        <v>695</v>
      </c>
      <c r="D565" s="57" t="s">
        <v>74</v>
      </c>
      <c r="E565" s="54" t="s">
        <v>68</v>
      </c>
      <c r="F565" s="54" t="s">
        <v>69</v>
      </c>
      <c r="G565" s="75" t="s">
        <v>77</v>
      </c>
      <c r="H565" s="54"/>
      <c r="I565" s="54"/>
      <c r="J565" s="54"/>
      <c r="K565" s="54"/>
      <c r="L565" s="35"/>
      <c r="M565" s="35"/>
      <c r="N565" s="35"/>
      <c r="O565" s="7"/>
      <c r="P565" s="7"/>
    </row>
    <row r="566" spans="1:16" s="5" customFormat="1" ht="70.5">
      <c r="A566" s="54" t="s">
        <v>696</v>
      </c>
      <c r="B566" s="54" t="s">
        <v>65</v>
      </c>
      <c r="C566" s="54" t="s">
        <v>695</v>
      </c>
      <c r="D566" s="57" t="s">
        <v>74</v>
      </c>
      <c r="E566" s="54" t="s">
        <v>68</v>
      </c>
      <c r="F566" s="54" t="s">
        <v>69</v>
      </c>
      <c r="G566" s="75" t="s">
        <v>77</v>
      </c>
      <c r="H566" s="54"/>
      <c r="I566" s="54"/>
      <c r="J566" s="54"/>
      <c r="K566" s="54"/>
      <c r="L566" s="35"/>
      <c r="M566" s="35"/>
      <c r="N566" s="35"/>
      <c r="O566" s="7"/>
      <c r="P566" s="7"/>
    </row>
    <row r="567" spans="1:16" s="5" customFormat="1" ht="70.5">
      <c r="A567" s="54" t="s">
        <v>697</v>
      </c>
      <c r="B567" s="54" t="s">
        <v>65</v>
      </c>
      <c r="C567" s="54" t="s">
        <v>695</v>
      </c>
      <c r="D567" s="57" t="s">
        <v>74</v>
      </c>
      <c r="E567" s="54" t="s">
        <v>68</v>
      </c>
      <c r="F567" s="54" t="s">
        <v>69</v>
      </c>
      <c r="G567" s="75" t="s">
        <v>77</v>
      </c>
      <c r="H567" s="54"/>
      <c r="I567" s="54"/>
      <c r="J567" s="54"/>
      <c r="K567" s="54"/>
      <c r="L567" s="35"/>
      <c r="M567" s="35"/>
      <c r="N567" s="35"/>
      <c r="O567" s="7"/>
      <c r="P567" s="7"/>
    </row>
    <row r="568" spans="1:16" s="5" customFormat="1" ht="23.5">
      <c r="A568" s="54" t="s">
        <v>698</v>
      </c>
      <c r="B568" s="54" t="s">
        <v>65</v>
      </c>
      <c r="C568" s="54" t="s">
        <v>699</v>
      </c>
      <c r="D568" s="57" t="s">
        <v>74</v>
      </c>
      <c r="E568" s="54" t="s">
        <v>75</v>
      </c>
      <c r="F568" s="54" t="s">
        <v>76</v>
      </c>
      <c r="G568" s="75" t="s">
        <v>77</v>
      </c>
      <c r="H568" s="54"/>
      <c r="I568" s="54"/>
      <c r="J568" s="54"/>
      <c r="K568" s="54"/>
      <c r="L568" s="35"/>
      <c r="M568" s="35"/>
      <c r="N568" s="35"/>
      <c r="O568" s="7"/>
      <c r="P568" s="7"/>
    </row>
    <row r="569" spans="1:16" s="5" customFormat="1" ht="47">
      <c r="A569" s="54" t="s">
        <v>700</v>
      </c>
      <c r="B569" s="54" t="s">
        <v>65</v>
      </c>
      <c r="C569" s="54" t="s">
        <v>699</v>
      </c>
      <c r="D569" s="57" t="s">
        <v>74</v>
      </c>
      <c r="E569" s="54" t="s">
        <v>75</v>
      </c>
      <c r="F569" s="54" t="s">
        <v>76</v>
      </c>
      <c r="G569" s="75" t="s">
        <v>77</v>
      </c>
      <c r="H569" s="54"/>
      <c r="I569" s="54"/>
      <c r="J569" s="54"/>
      <c r="K569" s="54"/>
      <c r="L569" s="35"/>
      <c r="M569" s="35"/>
      <c r="N569" s="35"/>
      <c r="O569" s="7"/>
      <c r="P569" s="7"/>
    </row>
    <row r="570" spans="1:16" s="5" customFormat="1" ht="47">
      <c r="A570" s="54" t="s">
        <v>701</v>
      </c>
      <c r="B570" s="54" t="s">
        <v>65</v>
      </c>
      <c r="C570" s="54" t="s">
        <v>699</v>
      </c>
      <c r="D570" s="57" t="s">
        <v>74</v>
      </c>
      <c r="E570" s="54" t="s">
        <v>75</v>
      </c>
      <c r="F570" s="54" t="s">
        <v>76</v>
      </c>
      <c r="G570" s="75" t="s">
        <v>77</v>
      </c>
      <c r="H570" s="54"/>
      <c r="I570" s="54"/>
      <c r="J570" s="54"/>
      <c r="K570" s="54"/>
      <c r="L570" s="35"/>
      <c r="M570" s="35"/>
      <c r="N570" s="35"/>
      <c r="O570" s="7"/>
      <c r="P570" s="7"/>
    </row>
    <row r="571" spans="1:16" s="5" customFormat="1" ht="47">
      <c r="A571" s="54" t="s">
        <v>702</v>
      </c>
      <c r="B571" s="54" t="s">
        <v>65</v>
      </c>
      <c r="C571" s="54" t="s">
        <v>699</v>
      </c>
      <c r="D571" s="57" t="s">
        <v>74</v>
      </c>
      <c r="E571" s="54" t="s">
        <v>75</v>
      </c>
      <c r="F571" s="54" t="s">
        <v>76</v>
      </c>
      <c r="G571" s="75" t="s">
        <v>77</v>
      </c>
      <c r="H571" s="54"/>
      <c r="I571" s="54"/>
      <c r="J571" s="54"/>
      <c r="K571" s="54"/>
      <c r="L571" s="35"/>
      <c r="M571" s="35"/>
      <c r="N571" s="35"/>
      <c r="O571" s="7"/>
      <c r="P571" s="7"/>
    </row>
    <row r="572" spans="1:16" s="5" customFormat="1" ht="23.5">
      <c r="A572" s="54" t="s">
        <v>703</v>
      </c>
      <c r="B572" s="54" t="s">
        <v>65</v>
      </c>
      <c r="C572" s="54" t="s">
        <v>699</v>
      </c>
      <c r="D572" s="57" t="s">
        <v>74</v>
      </c>
      <c r="E572" s="54" t="s">
        <v>75</v>
      </c>
      <c r="F572" s="54" t="s">
        <v>76</v>
      </c>
      <c r="G572" s="75" t="s">
        <v>77</v>
      </c>
      <c r="H572" s="54"/>
      <c r="I572" s="54"/>
      <c r="J572" s="54"/>
      <c r="K572" s="54"/>
      <c r="L572" s="35"/>
      <c r="M572" s="35"/>
      <c r="N572" s="35"/>
      <c r="O572" s="7"/>
      <c r="P572" s="7"/>
    </row>
    <row r="573" spans="1:16" s="5" customFormat="1" ht="47">
      <c r="A573" s="54" t="s">
        <v>704</v>
      </c>
      <c r="B573" s="54" t="s">
        <v>65</v>
      </c>
      <c r="C573" s="54" t="s">
        <v>699</v>
      </c>
      <c r="D573" s="57" t="s">
        <v>74</v>
      </c>
      <c r="E573" s="54" t="s">
        <v>75</v>
      </c>
      <c r="F573" s="54" t="s">
        <v>76</v>
      </c>
      <c r="G573" s="75" t="s">
        <v>77</v>
      </c>
      <c r="H573" s="54"/>
      <c r="I573" s="54"/>
      <c r="J573" s="54"/>
      <c r="K573" s="54"/>
      <c r="L573" s="35"/>
      <c r="M573" s="35"/>
      <c r="N573" s="35"/>
      <c r="O573" s="7"/>
      <c r="P573" s="7"/>
    </row>
    <row r="574" spans="1:16" s="5" customFormat="1" ht="47">
      <c r="A574" s="54" t="s">
        <v>705</v>
      </c>
      <c r="B574" s="54" t="s">
        <v>65</v>
      </c>
      <c r="C574" s="54" t="s">
        <v>699</v>
      </c>
      <c r="D574" s="57" t="s">
        <v>74</v>
      </c>
      <c r="E574" s="54" t="s">
        <v>75</v>
      </c>
      <c r="F574" s="54" t="s">
        <v>76</v>
      </c>
      <c r="G574" s="75" t="s">
        <v>77</v>
      </c>
      <c r="H574" s="54"/>
      <c r="I574" s="54"/>
      <c r="J574" s="54"/>
      <c r="K574" s="54"/>
      <c r="L574" s="35"/>
      <c r="M574" s="35"/>
      <c r="N574" s="35"/>
      <c r="O574" s="7"/>
      <c r="P574" s="7"/>
    </row>
    <row r="575" spans="1:16" s="5" customFormat="1" ht="23.5">
      <c r="A575" s="54" t="s">
        <v>706</v>
      </c>
      <c r="B575" s="54" t="s">
        <v>65</v>
      </c>
      <c r="C575" s="54" t="s">
        <v>699</v>
      </c>
      <c r="D575" s="57" t="s">
        <v>74</v>
      </c>
      <c r="E575" s="54" t="s">
        <v>75</v>
      </c>
      <c r="F575" s="54" t="s">
        <v>76</v>
      </c>
      <c r="G575" s="75" t="s">
        <v>77</v>
      </c>
      <c r="H575" s="54"/>
      <c r="I575" s="54"/>
      <c r="J575" s="54"/>
      <c r="K575" s="54"/>
      <c r="L575" s="35"/>
      <c r="M575" s="35"/>
      <c r="N575" s="35"/>
      <c r="O575" s="7"/>
      <c r="P575" s="7"/>
    </row>
    <row r="576" spans="1:16" s="5" customFormat="1" ht="23.5">
      <c r="A576" s="54" t="s">
        <v>707</v>
      </c>
      <c r="B576" s="54" t="s">
        <v>65</v>
      </c>
      <c r="C576" s="54" t="s">
        <v>699</v>
      </c>
      <c r="D576" s="57" t="s">
        <v>74</v>
      </c>
      <c r="E576" s="54" t="s">
        <v>75</v>
      </c>
      <c r="F576" s="54" t="s">
        <v>76</v>
      </c>
      <c r="G576" s="75" t="s">
        <v>77</v>
      </c>
      <c r="H576" s="54"/>
      <c r="I576" s="54"/>
      <c r="J576" s="54"/>
      <c r="K576" s="54"/>
      <c r="L576" s="35"/>
      <c r="M576" s="35"/>
      <c r="N576" s="35"/>
      <c r="O576" s="7"/>
      <c r="P576" s="7"/>
    </row>
    <row r="577" spans="1:16" s="5" customFormat="1" ht="23.5">
      <c r="A577" s="54" t="s">
        <v>708</v>
      </c>
      <c r="B577" s="54" t="s">
        <v>65</v>
      </c>
      <c r="C577" s="54" t="s">
        <v>699</v>
      </c>
      <c r="D577" s="57" t="s">
        <v>74</v>
      </c>
      <c r="E577" s="54" t="s">
        <v>75</v>
      </c>
      <c r="F577" s="54" t="s">
        <v>76</v>
      </c>
      <c r="G577" s="75" t="s">
        <v>77</v>
      </c>
      <c r="H577" s="54"/>
      <c r="I577" s="54"/>
      <c r="J577" s="54"/>
      <c r="K577" s="54"/>
      <c r="L577" s="35"/>
      <c r="M577" s="35"/>
      <c r="N577" s="35"/>
      <c r="O577" s="7"/>
      <c r="P577" s="7"/>
    </row>
    <row r="578" spans="1:16" s="5" customFormat="1" ht="47">
      <c r="A578" s="54" t="s">
        <v>709</v>
      </c>
      <c r="B578" s="54" t="s">
        <v>65</v>
      </c>
      <c r="C578" s="54" t="s">
        <v>699</v>
      </c>
      <c r="D578" s="57" t="s">
        <v>74</v>
      </c>
      <c r="E578" s="54" t="s">
        <v>75</v>
      </c>
      <c r="F578" s="54" t="s">
        <v>76</v>
      </c>
      <c r="G578" s="75" t="s">
        <v>77</v>
      </c>
      <c r="H578" s="54"/>
      <c r="I578" s="54"/>
      <c r="J578" s="54"/>
      <c r="K578" s="54"/>
      <c r="L578" s="35"/>
      <c r="M578" s="35"/>
      <c r="N578" s="35"/>
      <c r="O578" s="7"/>
      <c r="P578" s="7"/>
    </row>
    <row r="579" spans="1:16" s="5" customFormat="1" ht="47">
      <c r="A579" s="54" t="s">
        <v>710</v>
      </c>
      <c r="B579" s="54" t="s">
        <v>65</v>
      </c>
      <c r="C579" s="54" t="s">
        <v>699</v>
      </c>
      <c r="D579" s="57" t="s">
        <v>74</v>
      </c>
      <c r="E579" s="54" t="s">
        <v>75</v>
      </c>
      <c r="F579" s="54" t="s">
        <v>76</v>
      </c>
      <c r="G579" s="75" t="s">
        <v>77</v>
      </c>
      <c r="H579" s="54"/>
      <c r="I579" s="54"/>
      <c r="J579" s="54"/>
      <c r="K579" s="54"/>
      <c r="L579" s="35"/>
      <c r="M579" s="35"/>
      <c r="N579" s="35"/>
      <c r="O579" s="7"/>
      <c r="P579" s="7"/>
    </row>
    <row r="580" spans="1:16" s="5" customFormat="1" ht="23.5">
      <c r="A580" s="54" t="s">
        <v>711</v>
      </c>
      <c r="B580" s="54" t="s">
        <v>65</v>
      </c>
      <c r="C580" s="54" t="s">
        <v>699</v>
      </c>
      <c r="D580" s="57" t="s">
        <v>74</v>
      </c>
      <c r="E580" s="54" t="s">
        <v>75</v>
      </c>
      <c r="F580" s="54" t="s">
        <v>76</v>
      </c>
      <c r="G580" s="75" t="s">
        <v>77</v>
      </c>
      <c r="H580" s="54"/>
      <c r="I580" s="54"/>
      <c r="J580" s="54"/>
      <c r="K580" s="54"/>
      <c r="L580" s="35"/>
      <c r="M580" s="35"/>
      <c r="N580" s="35"/>
      <c r="O580" s="7"/>
      <c r="P580" s="7"/>
    </row>
    <row r="581" spans="1:16" s="5" customFormat="1" ht="23.5">
      <c r="A581" s="54" t="s">
        <v>712</v>
      </c>
      <c r="B581" s="54" t="s">
        <v>65</v>
      </c>
      <c r="C581" s="54" t="s">
        <v>699</v>
      </c>
      <c r="D581" s="57" t="s">
        <v>74</v>
      </c>
      <c r="E581" s="54" t="s">
        <v>75</v>
      </c>
      <c r="F581" s="54" t="s">
        <v>76</v>
      </c>
      <c r="G581" s="75" t="s">
        <v>77</v>
      </c>
      <c r="H581" s="54"/>
      <c r="I581" s="54"/>
      <c r="J581" s="54"/>
      <c r="K581" s="54"/>
      <c r="L581" s="35"/>
      <c r="M581" s="35"/>
      <c r="N581" s="35"/>
      <c r="O581" s="7"/>
      <c r="P581" s="7"/>
    </row>
    <row r="582" spans="1:16" s="5" customFormat="1" ht="47">
      <c r="A582" s="54" t="s">
        <v>713</v>
      </c>
      <c r="B582" s="54" t="s">
        <v>65</v>
      </c>
      <c r="C582" s="54" t="s">
        <v>699</v>
      </c>
      <c r="D582" s="57" t="s">
        <v>74</v>
      </c>
      <c r="E582" s="54" t="s">
        <v>75</v>
      </c>
      <c r="F582" s="54" t="s">
        <v>76</v>
      </c>
      <c r="G582" s="75" t="s">
        <v>77</v>
      </c>
      <c r="H582" s="54"/>
      <c r="I582" s="54"/>
      <c r="J582" s="54"/>
      <c r="K582" s="54"/>
      <c r="L582" s="35"/>
      <c r="M582" s="35"/>
      <c r="N582" s="35"/>
      <c r="O582" s="7"/>
      <c r="P582" s="7"/>
    </row>
    <row r="583" spans="1:16" s="5" customFormat="1" ht="23.5">
      <c r="A583" s="54" t="s">
        <v>714</v>
      </c>
      <c r="B583" s="54" t="s">
        <v>65</v>
      </c>
      <c r="C583" s="54" t="s">
        <v>699</v>
      </c>
      <c r="D583" s="57" t="s">
        <v>74</v>
      </c>
      <c r="E583" s="54" t="s">
        <v>75</v>
      </c>
      <c r="F583" s="54" t="s">
        <v>76</v>
      </c>
      <c r="G583" s="75" t="s">
        <v>77</v>
      </c>
      <c r="H583" s="54"/>
      <c r="I583" s="54"/>
      <c r="J583" s="54"/>
      <c r="K583" s="54"/>
      <c r="L583" s="35"/>
      <c r="M583" s="35"/>
      <c r="N583" s="35"/>
      <c r="O583" s="7"/>
      <c r="P583" s="7"/>
    </row>
    <row r="584" spans="1:16" s="5" customFormat="1" ht="23.5">
      <c r="A584" s="54" t="s">
        <v>715</v>
      </c>
      <c r="B584" s="54" t="s">
        <v>65</v>
      </c>
      <c r="C584" s="54" t="s">
        <v>699</v>
      </c>
      <c r="D584" s="57" t="s">
        <v>74</v>
      </c>
      <c r="E584" s="54" t="s">
        <v>75</v>
      </c>
      <c r="F584" s="54" t="s">
        <v>76</v>
      </c>
      <c r="G584" s="75" t="s">
        <v>77</v>
      </c>
      <c r="H584" s="54"/>
      <c r="I584" s="54"/>
      <c r="J584" s="54"/>
      <c r="K584" s="54"/>
      <c r="L584" s="35"/>
      <c r="M584" s="35"/>
      <c r="N584" s="35"/>
      <c r="O584" s="7"/>
      <c r="P584" s="7"/>
    </row>
    <row r="585" spans="1:16" s="5" customFormat="1" ht="23.5">
      <c r="A585" s="54" t="s">
        <v>716</v>
      </c>
      <c r="B585" s="54" t="s">
        <v>65</v>
      </c>
      <c r="C585" s="54" t="s">
        <v>699</v>
      </c>
      <c r="D585" s="57" t="s">
        <v>74</v>
      </c>
      <c r="E585" s="54" t="s">
        <v>75</v>
      </c>
      <c r="F585" s="54" t="s">
        <v>76</v>
      </c>
      <c r="G585" s="75" t="s">
        <v>77</v>
      </c>
      <c r="H585" s="54"/>
      <c r="I585" s="54"/>
      <c r="J585" s="54"/>
      <c r="K585" s="54"/>
      <c r="L585" s="35"/>
      <c r="M585" s="35"/>
      <c r="N585" s="35"/>
      <c r="O585" s="7"/>
      <c r="P585" s="7"/>
    </row>
    <row r="586" spans="1:16" s="5" customFormat="1" ht="47">
      <c r="A586" s="54" t="s">
        <v>717</v>
      </c>
      <c r="B586" s="54" t="s">
        <v>65</v>
      </c>
      <c r="C586" s="54" t="s">
        <v>699</v>
      </c>
      <c r="D586" s="57" t="s">
        <v>74</v>
      </c>
      <c r="E586" s="54" t="s">
        <v>75</v>
      </c>
      <c r="F586" s="54" t="s">
        <v>76</v>
      </c>
      <c r="G586" s="75" t="s">
        <v>77</v>
      </c>
      <c r="H586" s="54"/>
      <c r="I586" s="54"/>
      <c r="J586" s="54"/>
      <c r="K586" s="54"/>
      <c r="L586" s="35"/>
      <c r="M586" s="35"/>
      <c r="N586" s="35"/>
      <c r="O586" s="7"/>
      <c r="P586" s="7"/>
    </row>
    <row r="587" spans="1:16" s="5" customFormat="1" ht="23.5">
      <c r="A587" s="54" t="s">
        <v>718</v>
      </c>
      <c r="B587" s="54" t="s">
        <v>65</v>
      </c>
      <c r="C587" s="54" t="s">
        <v>699</v>
      </c>
      <c r="D587" s="57" t="s">
        <v>74</v>
      </c>
      <c r="E587" s="54" t="s">
        <v>75</v>
      </c>
      <c r="F587" s="54" t="s">
        <v>76</v>
      </c>
      <c r="G587" s="75" t="s">
        <v>77</v>
      </c>
      <c r="H587" s="54"/>
      <c r="I587" s="54"/>
      <c r="J587" s="54"/>
      <c r="K587" s="54"/>
      <c r="L587" s="35"/>
      <c r="M587" s="35"/>
      <c r="N587" s="35"/>
      <c r="O587" s="7"/>
      <c r="P587" s="7"/>
    </row>
    <row r="588" spans="1:16" s="5" customFormat="1" ht="23.5">
      <c r="A588" s="54" t="s">
        <v>719</v>
      </c>
      <c r="B588" s="54" t="s">
        <v>65</v>
      </c>
      <c r="C588" s="54" t="s">
        <v>699</v>
      </c>
      <c r="D588" s="57" t="s">
        <v>74</v>
      </c>
      <c r="E588" s="54" t="s">
        <v>75</v>
      </c>
      <c r="F588" s="54" t="s">
        <v>76</v>
      </c>
      <c r="G588" s="75" t="s">
        <v>77</v>
      </c>
      <c r="H588" s="54"/>
      <c r="I588" s="54"/>
      <c r="J588" s="54"/>
      <c r="K588" s="54"/>
      <c r="L588" s="35"/>
      <c r="M588" s="35"/>
      <c r="N588" s="35"/>
      <c r="O588" s="7"/>
      <c r="P588" s="7"/>
    </row>
    <row r="589" spans="1:16" s="5" customFormat="1" ht="23.5">
      <c r="A589" s="54" t="s">
        <v>720</v>
      </c>
      <c r="B589" s="54" t="s">
        <v>65</v>
      </c>
      <c r="C589" s="54" t="s">
        <v>699</v>
      </c>
      <c r="D589" s="57" t="s">
        <v>74</v>
      </c>
      <c r="E589" s="54" t="s">
        <v>75</v>
      </c>
      <c r="F589" s="54" t="s">
        <v>76</v>
      </c>
      <c r="G589" s="75" t="s">
        <v>77</v>
      </c>
      <c r="H589" s="54"/>
      <c r="I589" s="54"/>
      <c r="J589" s="54"/>
      <c r="K589" s="54"/>
      <c r="L589" s="35"/>
      <c r="M589" s="35"/>
      <c r="N589" s="35"/>
      <c r="O589" s="7"/>
      <c r="P589" s="7"/>
    </row>
    <row r="590" spans="1:16" s="5" customFormat="1" ht="47">
      <c r="A590" s="54" t="s">
        <v>721</v>
      </c>
      <c r="B590" s="54" t="s">
        <v>65</v>
      </c>
      <c r="C590" s="54" t="s">
        <v>699</v>
      </c>
      <c r="D590" s="57" t="s">
        <v>74</v>
      </c>
      <c r="E590" s="54" t="s">
        <v>75</v>
      </c>
      <c r="F590" s="54" t="s">
        <v>76</v>
      </c>
      <c r="G590" s="75" t="s">
        <v>77</v>
      </c>
      <c r="H590" s="54"/>
      <c r="I590" s="54"/>
      <c r="J590" s="54"/>
      <c r="K590" s="54"/>
      <c r="L590" s="35"/>
      <c r="M590" s="35"/>
      <c r="N590" s="35"/>
      <c r="O590" s="7"/>
      <c r="P590" s="7"/>
    </row>
    <row r="591" spans="1:16" s="5" customFormat="1" ht="23.5">
      <c r="A591" s="54" t="s">
        <v>722</v>
      </c>
      <c r="B591" s="54" t="s">
        <v>65</v>
      </c>
      <c r="C591" s="54" t="s">
        <v>699</v>
      </c>
      <c r="D591" s="57" t="s">
        <v>74</v>
      </c>
      <c r="E591" s="54" t="s">
        <v>75</v>
      </c>
      <c r="F591" s="54" t="s">
        <v>76</v>
      </c>
      <c r="G591" s="75" t="s">
        <v>77</v>
      </c>
      <c r="H591" s="54"/>
      <c r="I591" s="54"/>
      <c r="J591" s="54"/>
      <c r="K591" s="54"/>
      <c r="L591" s="35"/>
      <c r="M591" s="35"/>
      <c r="N591" s="35"/>
      <c r="O591" s="7"/>
      <c r="P591" s="7"/>
    </row>
    <row r="592" spans="1:16" s="5" customFormat="1" ht="23.5">
      <c r="A592" s="54" t="s">
        <v>723</v>
      </c>
      <c r="B592" s="54" t="s">
        <v>65</v>
      </c>
      <c r="C592" s="54" t="s">
        <v>699</v>
      </c>
      <c r="D592" s="57" t="s">
        <v>74</v>
      </c>
      <c r="E592" s="54" t="s">
        <v>75</v>
      </c>
      <c r="F592" s="54" t="s">
        <v>76</v>
      </c>
      <c r="G592" s="75" t="s">
        <v>77</v>
      </c>
      <c r="H592" s="54"/>
      <c r="I592" s="54"/>
      <c r="J592" s="54"/>
      <c r="K592" s="54"/>
      <c r="L592" s="35"/>
      <c r="M592" s="35"/>
      <c r="N592" s="35"/>
      <c r="O592" s="7"/>
      <c r="P592" s="7"/>
    </row>
    <row r="593" spans="1:16" s="5" customFormat="1" ht="23.5">
      <c r="A593" s="54" t="s">
        <v>724</v>
      </c>
      <c r="B593" s="54" t="s">
        <v>65</v>
      </c>
      <c r="C593" s="54" t="s">
        <v>699</v>
      </c>
      <c r="D593" s="57" t="s">
        <v>74</v>
      </c>
      <c r="E593" s="54" t="s">
        <v>75</v>
      </c>
      <c r="F593" s="54" t="s">
        <v>76</v>
      </c>
      <c r="G593" s="75" t="s">
        <v>77</v>
      </c>
      <c r="H593" s="54"/>
      <c r="I593" s="54"/>
      <c r="J593" s="54"/>
      <c r="K593" s="54"/>
      <c r="L593" s="35"/>
      <c r="M593" s="35"/>
      <c r="N593" s="35"/>
      <c r="O593" s="7"/>
      <c r="P593" s="7"/>
    </row>
    <row r="594" spans="1:16" s="5" customFormat="1" ht="23.5">
      <c r="A594" s="54" t="s">
        <v>725</v>
      </c>
      <c r="B594" s="54" t="s">
        <v>65</v>
      </c>
      <c r="C594" s="54" t="s">
        <v>699</v>
      </c>
      <c r="D594" s="57" t="s">
        <v>74</v>
      </c>
      <c r="E594" s="54" t="s">
        <v>75</v>
      </c>
      <c r="F594" s="54" t="s">
        <v>76</v>
      </c>
      <c r="G594" s="75" t="s">
        <v>77</v>
      </c>
      <c r="H594" s="54"/>
      <c r="I594" s="54"/>
      <c r="J594" s="54"/>
      <c r="K594" s="54"/>
      <c r="L594" s="35"/>
      <c r="M594" s="35"/>
      <c r="N594" s="35"/>
      <c r="O594" s="7"/>
      <c r="P594" s="7"/>
    </row>
    <row r="595" spans="1:16" s="5" customFormat="1" ht="47">
      <c r="A595" s="54" t="s">
        <v>726</v>
      </c>
      <c r="B595" s="54" t="s">
        <v>65</v>
      </c>
      <c r="C595" s="54" t="s">
        <v>699</v>
      </c>
      <c r="D595" s="57" t="s">
        <v>74</v>
      </c>
      <c r="E595" s="54" t="s">
        <v>75</v>
      </c>
      <c r="F595" s="54" t="s">
        <v>76</v>
      </c>
      <c r="G595" s="75" t="s">
        <v>77</v>
      </c>
      <c r="H595" s="54"/>
      <c r="I595" s="54"/>
      <c r="J595" s="54"/>
      <c r="K595" s="54"/>
      <c r="L595" s="35"/>
      <c r="M595" s="35"/>
      <c r="N595" s="35"/>
      <c r="O595" s="7"/>
      <c r="P595" s="7"/>
    </row>
    <row r="596" spans="1:16" s="5" customFormat="1" ht="70.5">
      <c r="A596" s="54" t="s">
        <v>727</v>
      </c>
      <c r="B596" s="54" t="s">
        <v>65</v>
      </c>
      <c r="C596" s="54" t="s">
        <v>699</v>
      </c>
      <c r="D596" s="57" t="s">
        <v>74</v>
      </c>
      <c r="E596" s="54" t="s">
        <v>75</v>
      </c>
      <c r="F596" s="54" t="s">
        <v>76</v>
      </c>
      <c r="G596" s="75" t="s">
        <v>77</v>
      </c>
      <c r="H596" s="54"/>
      <c r="I596" s="54"/>
      <c r="J596" s="54"/>
      <c r="K596" s="54"/>
      <c r="L596" s="35"/>
      <c r="M596" s="35"/>
      <c r="N596" s="35"/>
      <c r="O596" s="7"/>
      <c r="P596" s="7"/>
    </row>
    <row r="597" spans="1:16" s="5" customFormat="1" ht="47">
      <c r="A597" s="54" t="s">
        <v>728</v>
      </c>
      <c r="B597" s="54" t="s">
        <v>65</v>
      </c>
      <c r="C597" s="54" t="s">
        <v>699</v>
      </c>
      <c r="D597" s="57" t="s">
        <v>74</v>
      </c>
      <c r="E597" s="54" t="s">
        <v>75</v>
      </c>
      <c r="F597" s="54" t="s">
        <v>76</v>
      </c>
      <c r="G597" s="75" t="s">
        <v>77</v>
      </c>
      <c r="H597" s="54"/>
      <c r="I597" s="54"/>
      <c r="J597" s="54"/>
      <c r="K597" s="54"/>
      <c r="L597" s="35"/>
      <c r="M597" s="35"/>
      <c r="N597" s="35"/>
      <c r="O597" s="7"/>
      <c r="P597" s="7"/>
    </row>
    <row r="598" spans="1:16" s="5" customFormat="1" ht="47">
      <c r="A598" s="54" t="s">
        <v>729</v>
      </c>
      <c r="B598" s="54" t="s">
        <v>65</v>
      </c>
      <c r="C598" s="54" t="s">
        <v>699</v>
      </c>
      <c r="D598" s="57" t="s">
        <v>74</v>
      </c>
      <c r="E598" s="54" t="s">
        <v>84</v>
      </c>
      <c r="F598" s="54" t="s">
        <v>76</v>
      </c>
      <c r="G598" s="75" t="s">
        <v>77</v>
      </c>
      <c r="H598" s="54"/>
      <c r="I598" s="54"/>
      <c r="J598" s="54"/>
      <c r="K598" s="54"/>
      <c r="L598" s="35"/>
      <c r="M598" s="35"/>
      <c r="N598" s="35"/>
      <c r="O598" s="7"/>
      <c r="P598" s="7"/>
    </row>
    <row r="599" spans="1:16" s="5" customFormat="1" ht="70.5">
      <c r="A599" s="54" t="s">
        <v>730</v>
      </c>
      <c r="B599" s="54" t="s">
        <v>65</v>
      </c>
      <c r="C599" s="54" t="s">
        <v>699</v>
      </c>
      <c r="D599" s="67" t="s">
        <v>74</v>
      </c>
      <c r="E599" s="54" t="s">
        <v>75</v>
      </c>
      <c r="F599" s="54" t="s">
        <v>76</v>
      </c>
      <c r="G599" s="75" t="s">
        <v>77</v>
      </c>
      <c r="H599" s="54"/>
      <c r="I599" s="54"/>
      <c r="J599" s="54"/>
      <c r="K599" s="54"/>
      <c r="L599" s="35"/>
      <c r="M599" s="35"/>
      <c r="N599" s="35"/>
      <c r="O599" s="7"/>
      <c r="P599" s="7"/>
    </row>
    <row r="600" spans="1:16" s="5" customFormat="1" ht="47">
      <c r="A600" s="54" t="s">
        <v>731</v>
      </c>
      <c r="B600" s="54" t="s">
        <v>65</v>
      </c>
      <c r="C600" s="54" t="s">
        <v>732</v>
      </c>
      <c r="D600" s="56" t="s">
        <v>67</v>
      </c>
      <c r="E600" s="54" t="s">
        <v>68</v>
      </c>
      <c r="F600" s="54" t="s">
        <v>76</v>
      </c>
      <c r="G600" s="74" t="s">
        <v>70</v>
      </c>
      <c r="H600" s="54"/>
      <c r="I600" s="54"/>
      <c r="J600" s="54"/>
      <c r="K600" s="54"/>
      <c r="L600" s="35"/>
      <c r="M600" s="35"/>
      <c r="N600" s="35"/>
      <c r="O600" s="7"/>
      <c r="P600" s="7"/>
    </row>
    <row r="601" spans="1:16" s="5" customFormat="1" ht="47">
      <c r="A601" s="54" t="s">
        <v>733</v>
      </c>
      <c r="B601" s="54" t="s">
        <v>65</v>
      </c>
      <c r="C601" s="54" t="s">
        <v>732</v>
      </c>
      <c r="D601" s="56" t="s">
        <v>67</v>
      </c>
      <c r="E601" s="54" t="s">
        <v>68</v>
      </c>
      <c r="F601" s="54" t="s">
        <v>76</v>
      </c>
      <c r="G601" s="75" t="s">
        <v>77</v>
      </c>
      <c r="H601" s="54"/>
      <c r="I601" s="54"/>
      <c r="J601" s="54"/>
      <c r="K601" s="54"/>
      <c r="L601" s="35"/>
      <c r="M601" s="35"/>
      <c r="N601" s="35"/>
      <c r="O601" s="7"/>
      <c r="P601" s="7"/>
    </row>
    <row r="602" spans="1:16" s="5" customFormat="1" ht="47">
      <c r="A602" s="54" t="s">
        <v>734</v>
      </c>
      <c r="B602" s="54" t="s">
        <v>65</v>
      </c>
      <c r="C602" s="54" t="s">
        <v>732</v>
      </c>
      <c r="D602" s="56" t="s">
        <v>67</v>
      </c>
      <c r="E602" s="54" t="s">
        <v>68</v>
      </c>
      <c r="F602" s="54" t="s">
        <v>76</v>
      </c>
      <c r="G602" s="75" t="s">
        <v>77</v>
      </c>
      <c r="H602" s="54"/>
      <c r="I602" s="54"/>
      <c r="J602" s="54"/>
      <c r="K602" s="54"/>
      <c r="L602" s="35"/>
      <c r="M602" s="35"/>
      <c r="N602" s="35"/>
      <c r="O602" s="7"/>
      <c r="P602" s="7"/>
    </row>
    <row r="603" spans="1:16" s="5" customFormat="1" ht="70.5">
      <c r="A603" s="54" t="s">
        <v>735</v>
      </c>
      <c r="B603" s="54" t="s">
        <v>65</v>
      </c>
      <c r="C603" s="54" t="s">
        <v>732</v>
      </c>
      <c r="D603" s="56" t="s">
        <v>67</v>
      </c>
      <c r="E603" s="54" t="s">
        <v>68</v>
      </c>
      <c r="F603" s="54" t="s">
        <v>69</v>
      </c>
      <c r="G603" s="75" t="s">
        <v>77</v>
      </c>
      <c r="H603" s="54"/>
      <c r="I603" s="54"/>
      <c r="J603" s="54"/>
      <c r="K603" s="54"/>
      <c r="L603" s="35"/>
      <c r="M603" s="35"/>
      <c r="N603" s="35"/>
      <c r="O603" s="7"/>
      <c r="P603" s="7"/>
    </row>
    <row r="604" spans="1:16" s="5" customFormat="1" ht="47">
      <c r="A604" s="54" t="s">
        <v>736</v>
      </c>
      <c r="B604" s="54" t="s">
        <v>65</v>
      </c>
      <c r="C604" s="54" t="s">
        <v>732</v>
      </c>
      <c r="D604" s="56" t="s">
        <v>67</v>
      </c>
      <c r="E604" s="54" t="s">
        <v>68</v>
      </c>
      <c r="F604" s="54" t="s">
        <v>69</v>
      </c>
      <c r="G604" s="74" t="s">
        <v>70</v>
      </c>
      <c r="H604" s="54"/>
      <c r="I604" s="54"/>
      <c r="J604" s="54"/>
      <c r="K604" s="54"/>
      <c r="L604" s="35"/>
      <c r="M604" s="35"/>
      <c r="N604" s="35"/>
      <c r="O604" s="7"/>
      <c r="P604" s="7"/>
    </row>
    <row r="605" spans="1:16" s="5" customFormat="1" ht="70.5">
      <c r="A605" s="54" t="s">
        <v>737</v>
      </c>
      <c r="B605" s="54" t="s">
        <v>65</v>
      </c>
      <c r="C605" s="54" t="s">
        <v>732</v>
      </c>
      <c r="D605" s="56" t="s">
        <v>67</v>
      </c>
      <c r="E605" s="54" t="s">
        <v>68</v>
      </c>
      <c r="F605" s="54" t="s">
        <v>69</v>
      </c>
      <c r="G605" s="75" t="s">
        <v>77</v>
      </c>
      <c r="H605" s="72"/>
      <c r="I605" s="54"/>
      <c r="J605" s="54"/>
      <c r="K605" s="54"/>
      <c r="L605" s="35"/>
      <c r="M605" s="35"/>
      <c r="N605" s="35"/>
      <c r="O605" s="7"/>
      <c r="P605" s="7"/>
    </row>
    <row r="606" spans="1:16" s="5" customFormat="1" ht="70.5">
      <c r="A606" s="54" t="s">
        <v>738</v>
      </c>
      <c r="B606" s="54" t="s">
        <v>65</v>
      </c>
      <c r="C606" s="54" t="s">
        <v>732</v>
      </c>
      <c r="D606" s="56" t="s">
        <v>67</v>
      </c>
      <c r="E606" s="54" t="s">
        <v>68</v>
      </c>
      <c r="F606" s="54" t="s">
        <v>76</v>
      </c>
      <c r="G606" s="74" t="s">
        <v>70</v>
      </c>
      <c r="H606" s="54"/>
      <c r="I606" s="54"/>
      <c r="J606" s="54"/>
      <c r="K606" s="54"/>
      <c r="L606" s="35"/>
      <c r="M606" s="35"/>
      <c r="N606" s="35"/>
      <c r="O606" s="7"/>
      <c r="P606" s="7"/>
    </row>
    <row r="607" spans="1:16" s="5" customFormat="1" ht="47">
      <c r="A607" s="54" t="s">
        <v>739</v>
      </c>
      <c r="B607" s="54" t="s">
        <v>65</v>
      </c>
      <c r="C607" s="54" t="s">
        <v>732</v>
      </c>
      <c r="D607" s="56" t="s">
        <v>67</v>
      </c>
      <c r="E607" s="54" t="s">
        <v>68</v>
      </c>
      <c r="F607" s="54" t="s">
        <v>69</v>
      </c>
      <c r="G607" s="75" t="s">
        <v>77</v>
      </c>
      <c r="H607" s="54"/>
      <c r="I607" s="54"/>
      <c r="J607" s="54"/>
      <c r="K607" s="54"/>
      <c r="L607" s="35"/>
      <c r="M607" s="35"/>
      <c r="N607" s="35"/>
      <c r="O607" s="7"/>
      <c r="P607" s="7"/>
    </row>
    <row r="608" spans="1:16" s="5" customFormat="1" ht="47">
      <c r="A608" s="54" t="s">
        <v>740</v>
      </c>
      <c r="B608" s="54" t="s">
        <v>65</v>
      </c>
      <c r="C608" s="54" t="s">
        <v>732</v>
      </c>
      <c r="D608" s="56" t="s">
        <v>67</v>
      </c>
      <c r="E608" s="54" t="s">
        <v>68</v>
      </c>
      <c r="F608" s="54" t="s">
        <v>69</v>
      </c>
      <c r="G608" s="74" t="s">
        <v>70</v>
      </c>
      <c r="H608" s="54"/>
      <c r="I608" s="54"/>
      <c r="J608" s="54"/>
      <c r="K608" s="54"/>
      <c r="L608" s="35"/>
      <c r="M608" s="35"/>
      <c r="N608" s="35"/>
      <c r="O608" s="7"/>
      <c r="P608" s="7"/>
    </row>
    <row r="609" spans="1:16" s="5" customFormat="1" ht="70.5">
      <c r="A609" s="54" t="s">
        <v>741</v>
      </c>
      <c r="B609" s="54" t="s">
        <v>65</v>
      </c>
      <c r="C609" s="54" t="s">
        <v>732</v>
      </c>
      <c r="D609" s="56" t="s">
        <v>67</v>
      </c>
      <c r="E609" s="54" t="s">
        <v>68</v>
      </c>
      <c r="F609" s="54" t="s">
        <v>69</v>
      </c>
      <c r="G609" s="75" t="s">
        <v>77</v>
      </c>
      <c r="H609" s="54"/>
      <c r="I609" s="54"/>
      <c r="J609" s="54"/>
      <c r="K609" s="54"/>
      <c r="L609" s="35"/>
      <c r="M609" s="35"/>
      <c r="N609" s="35"/>
      <c r="O609" s="7"/>
      <c r="P609" s="7"/>
    </row>
    <row r="610" spans="1:16" s="5" customFormat="1" ht="70.5">
      <c r="A610" s="54" t="s">
        <v>742</v>
      </c>
      <c r="B610" s="54" t="s">
        <v>65</v>
      </c>
      <c r="C610" s="54" t="s">
        <v>732</v>
      </c>
      <c r="D610" s="56" t="s">
        <v>67</v>
      </c>
      <c r="E610" s="54" t="s">
        <v>68</v>
      </c>
      <c r="F610" s="54" t="s">
        <v>69</v>
      </c>
      <c r="G610" s="74" t="s">
        <v>70</v>
      </c>
      <c r="H610" s="54"/>
      <c r="I610" s="54"/>
      <c r="J610" s="54"/>
      <c r="K610" s="54"/>
      <c r="L610" s="35"/>
      <c r="M610" s="35"/>
      <c r="N610" s="35"/>
      <c r="O610" s="7"/>
      <c r="P610" s="7"/>
    </row>
    <row r="611" spans="1:16" s="5" customFormat="1" ht="70.5">
      <c r="A611" s="54" t="s">
        <v>743</v>
      </c>
      <c r="B611" s="54" t="s">
        <v>65</v>
      </c>
      <c r="C611" s="54" t="s">
        <v>744</v>
      </c>
      <c r="D611" s="56" t="s">
        <v>67</v>
      </c>
      <c r="E611" s="54" t="s">
        <v>68</v>
      </c>
      <c r="F611" s="54" t="s">
        <v>69</v>
      </c>
      <c r="G611" s="75" t="s">
        <v>77</v>
      </c>
      <c r="H611" s="54"/>
      <c r="I611" s="54"/>
      <c r="J611" s="54"/>
      <c r="K611" s="54" t="s">
        <v>745</v>
      </c>
      <c r="L611" s="35"/>
      <c r="M611" s="35"/>
      <c r="N611" s="35"/>
      <c r="O611" s="7"/>
      <c r="P611" s="7"/>
    </row>
    <row r="612" spans="1:16" s="5" customFormat="1" ht="47">
      <c r="A612" s="54" t="s">
        <v>746</v>
      </c>
      <c r="B612" s="54" t="s">
        <v>65</v>
      </c>
      <c r="C612" s="54" t="s">
        <v>732</v>
      </c>
      <c r="D612" s="56" t="s">
        <v>67</v>
      </c>
      <c r="E612" s="54" t="s">
        <v>68</v>
      </c>
      <c r="F612" s="54" t="s">
        <v>69</v>
      </c>
      <c r="G612" s="74" t="s">
        <v>70</v>
      </c>
      <c r="H612" s="54"/>
      <c r="I612" s="54"/>
      <c r="J612" s="54"/>
      <c r="K612" s="54"/>
      <c r="L612" s="35"/>
      <c r="M612" s="35"/>
      <c r="N612" s="35"/>
      <c r="O612" s="7"/>
      <c r="P612" s="7"/>
    </row>
    <row r="613" spans="1:16" s="5" customFormat="1" ht="70.5">
      <c r="A613" s="54" t="s">
        <v>747</v>
      </c>
      <c r="B613" s="54" t="s">
        <v>65</v>
      </c>
      <c r="C613" s="54" t="s">
        <v>732</v>
      </c>
      <c r="D613" s="56" t="s">
        <v>67</v>
      </c>
      <c r="E613" s="54" t="s">
        <v>68</v>
      </c>
      <c r="F613" s="54" t="s">
        <v>69</v>
      </c>
      <c r="G613" s="75" t="s">
        <v>77</v>
      </c>
      <c r="H613" s="54"/>
      <c r="I613" s="54"/>
      <c r="J613" s="54"/>
      <c r="K613" s="54"/>
      <c r="L613" s="35"/>
      <c r="M613" s="35"/>
      <c r="N613" s="35"/>
      <c r="O613" s="7"/>
      <c r="P613" s="7"/>
    </row>
    <row r="614" spans="1:16" s="5" customFormat="1" ht="70.5">
      <c r="A614" s="54" t="s">
        <v>748</v>
      </c>
      <c r="B614" s="54" t="s">
        <v>65</v>
      </c>
      <c r="C614" s="54" t="s">
        <v>732</v>
      </c>
      <c r="D614" s="56" t="s">
        <v>67</v>
      </c>
      <c r="E614" s="54" t="s">
        <v>68</v>
      </c>
      <c r="F614" s="54" t="s">
        <v>69</v>
      </c>
      <c r="G614" s="75" t="s">
        <v>77</v>
      </c>
      <c r="H614" s="54"/>
      <c r="I614" s="54"/>
      <c r="J614" s="54"/>
      <c r="K614" s="54"/>
      <c r="L614" s="35"/>
      <c r="M614" s="35"/>
      <c r="N614" s="35"/>
      <c r="O614" s="7"/>
      <c r="P614" s="7"/>
    </row>
    <row r="615" spans="1:16" s="5" customFormat="1" ht="70.5">
      <c r="A615" s="54" t="s">
        <v>749</v>
      </c>
      <c r="B615" s="54" t="s">
        <v>65</v>
      </c>
      <c r="C615" s="54" t="s">
        <v>732</v>
      </c>
      <c r="D615" s="56" t="s">
        <v>67</v>
      </c>
      <c r="E615" s="54" t="s">
        <v>68</v>
      </c>
      <c r="F615" s="54" t="s">
        <v>69</v>
      </c>
      <c r="G615" s="75" t="s">
        <v>77</v>
      </c>
      <c r="H615" s="54"/>
      <c r="I615" s="54"/>
      <c r="J615" s="54"/>
      <c r="K615" s="54"/>
      <c r="L615" s="35"/>
      <c r="M615" s="35"/>
      <c r="N615" s="35"/>
      <c r="O615" s="7"/>
      <c r="P615" s="7"/>
    </row>
    <row r="616" spans="1:16" s="5" customFormat="1" ht="47">
      <c r="A616" s="54" t="s">
        <v>750</v>
      </c>
      <c r="B616" s="54" t="s">
        <v>65</v>
      </c>
      <c r="C616" s="54" t="s">
        <v>732</v>
      </c>
      <c r="D616" s="56" t="s">
        <v>67</v>
      </c>
      <c r="E616" s="54" t="s">
        <v>68</v>
      </c>
      <c r="F616" s="54" t="s">
        <v>76</v>
      </c>
      <c r="G616" s="75" t="s">
        <v>77</v>
      </c>
      <c r="H616" s="54"/>
      <c r="I616" s="54"/>
      <c r="J616" s="54"/>
      <c r="K616" s="54"/>
      <c r="L616" s="35"/>
      <c r="M616" s="35"/>
      <c r="N616" s="35"/>
      <c r="O616" s="7"/>
      <c r="P616" s="7"/>
    </row>
    <row r="617" spans="1:16" s="5" customFormat="1" ht="70.5">
      <c r="A617" s="54" t="s">
        <v>751</v>
      </c>
      <c r="B617" s="54" t="s">
        <v>65</v>
      </c>
      <c r="C617" s="54" t="s">
        <v>732</v>
      </c>
      <c r="D617" s="56" t="s">
        <v>67</v>
      </c>
      <c r="E617" s="54" t="s">
        <v>68</v>
      </c>
      <c r="F617" s="54" t="s">
        <v>69</v>
      </c>
      <c r="G617" s="75" t="s">
        <v>77</v>
      </c>
      <c r="H617" s="54"/>
      <c r="I617" s="54"/>
      <c r="J617" s="54"/>
      <c r="K617" s="54"/>
      <c r="L617" s="35"/>
      <c r="M617" s="35"/>
      <c r="N617" s="35"/>
      <c r="O617" s="7"/>
      <c r="P617" s="7"/>
    </row>
    <row r="618" spans="1:16" s="5" customFormat="1" ht="70.5">
      <c r="A618" s="54" t="s">
        <v>752</v>
      </c>
      <c r="B618" s="54" t="s">
        <v>65</v>
      </c>
      <c r="C618" s="54" t="s">
        <v>732</v>
      </c>
      <c r="D618" s="56" t="s">
        <v>67</v>
      </c>
      <c r="E618" s="54" t="s">
        <v>68</v>
      </c>
      <c r="F618" s="54" t="s">
        <v>69</v>
      </c>
      <c r="G618" s="75" t="s">
        <v>77</v>
      </c>
      <c r="H618" s="54"/>
      <c r="I618" s="54"/>
      <c r="J618" s="54"/>
      <c r="K618" s="54"/>
      <c r="L618" s="35"/>
      <c r="M618" s="35"/>
      <c r="N618" s="35"/>
      <c r="O618" s="7"/>
      <c r="P618" s="7"/>
    </row>
    <row r="619" spans="1:16" s="5" customFormat="1" ht="47">
      <c r="A619" s="54" t="s">
        <v>753</v>
      </c>
      <c r="B619" s="54" t="s">
        <v>65</v>
      </c>
      <c r="C619" s="54" t="s">
        <v>732</v>
      </c>
      <c r="D619" s="56" t="s">
        <v>67</v>
      </c>
      <c r="E619" s="54" t="s">
        <v>68</v>
      </c>
      <c r="F619" s="54" t="s">
        <v>69</v>
      </c>
      <c r="G619" s="75" t="s">
        <v>77</v>
      </c>
      <c r="H619" s="54"/>
      <c r="I619" s="54"/>
      <c r="J619" s="54"/>
      <c r="K619" s="54"/>
      <c r="L619" s="35"/>
      <c r="M619" s="35"/>
      <c r="N619" s="35"/>
      <c r="O619" s="7"/>
      <c r="P619" s="7"/>
    </row>
    <row r="620" spans="1:16" s="5" customFormat="1" ht="47">
      <c r="A620" s="54" t="s">
        <v>754</v>
      </c>
      <c r="B620" s="54" t="s">
        <v>65</v>
      </c>
      <c r="C620" s="54" t="s">
        <v>732</v>
      </c>
      <c r="D620" s="56" t="s">
        <v>67</v>
      </c>
      <c r="E620" s="54" t="s">
        <v>68</v>
      </c>
      <c r="F620" s="54" t="s">
        <v>69</v>
      </c>
      <c r="G620" s="75" t="s">
        <v>77</v>
      </c>
      <c r="H620" s="54"/>
      <c r="I620" s="54"/>
      <c r="J620" s="54"/>
      <c r="K620" s="54"/>
      <c r="L620" s="35"/>
      <c r="M620" s="35"/>
      <c r="N620" s="35"/>
      <c r="O620" s="7"/>
      <c r="P620" s="7"/>
    </row>
    <row r="621" spans="1:16" s="5" customFormat="1" ht="70.5">
      <c r="A621" s="54" t="s">
        <v>924</v>
      </c>
      <c r="B621" s="54" t="s">
        <v>65</v>
      </c>
      <c r="C621" s="54" t="s">
        <v>732</v>
      </c>
      <c r="D621" s="56" t="s">
        <v>67</v>
      </c>
      <c r="E621" s="54" t="s">
        <v>68</v>
      </c>
      <c r="F621" s="54" t="s">
        <v>69</v>
      </c>
      <c r="G621" s="75" t="s">
        <v>77</v>
      </c>
      <c r="H621" s="54"/>
      <c r="I621" s="54"/>
      <c r="J621" s="54"/>
      <c r="K621" s="54"/>
      <c r="L621" s="35"/>
      <c r="M621" s="35"/>
      <c r="N621" s="35"/>
      <c r="O621" s="7"/>
      <c r="P621" s="7"/>
    </row>
    <row r="622" spans="1:16" s="5" customFormat="1" ht="70.5">
      <c r="A622" s="54" t="s">
        <v>755</v>
      </c>
      <c r="B622" s="54" t="s">
        <v>65</v>
      </c>
      <c r="C622" s="54" t="s">
        <v>756</v>
      </c>
      <c r="D622" s="56" t="s">
        <v>67</v>
      </c>
      <c r="E622" s="54" t="s">
        <v>75</v>
      </c>
      <c r="F622" s="54" t="s">
        <v>76</v>
      </c>
      <c r="G622" s="75" t="s">
        <v>77</v>
      </c>
      <c r="H622" s="54"/>
      <c r="I622" s="54"/>
      <c r="J622" s="54"/>
      <c r="K622" s="54"/>
      <c r="L622" s="35"/>
      <c r="M622" s="35"/>
      <c r="N622" s="35"/>
      <c r="O622" s="7"/>
      <c r="P622" s="7"/>
    </row>
    <row r="623" spans="1:16" s="5" customFormat="1" ht="70.5">
      <c r="A623" s="54" t="s">
        <v>757</v>
      </c>
      <c r="B623" s="54" t="s">
        <v>65</v>
      </c>
      <c r="C623" s="54" t="s">
        <v>756</v>
      </c>
      <c r="D623" s="56" t="s">
        <v>67</v>
      </c>
      <c r="E623" s="54" t="s">
        <v>75</v>
      </c>
      <c r="F623" s="54" t="s">
        <v>76</v>
      </c>
      <c r="G623" s="75" t="s">
        <v>77</v>
      </c>
      <c r="H623" s="54"/>
      <c r="I623" s="54"/>
      <c r="J623" s="54"/>
      <c r="K623" s="54"/>
      <c r="L623" s="35"/>
      <c r="M623" s="35"/>
      <c r="N623" s="35"/>
      <c r="O623" s="7"/>
      <c r="P623" s="7"/>
    </row>
    <row r="624" spans="1:16" s="5" customFormat="1" ht="70.5">
      <c r="A624" s="54" t="s">
        <v>758</v>
      </c>
      <c r="B624" s="54" t="s">
        <v>65</v>
      </c>
      <c r="C624" s="54" t="s">
        <v>756</v>
      </c>
      <c r="D624" s="56" t="s">
        <v>67</v>
      </c>
      <c r="E624" s="54" t="s">
        <v>75</v>
      </c>
      <c r="F624" s="54" t="s">
        <v>76</v>
      </c>
      <c r="G624" s="75" t="s">
        <v>77</v>
      </c>
      <c r="H624" s="54"/>
      <c r="I624" s="54"/>
      <c r="J624" s="54"/>
      <c r="K624" s="54"/>
      <c r="L624" s="35"/>
      <c r="M624" s="35"/>
      <c r="N624" s="35"/>
      <c r="O624" s="7"/>
      <c r="P624" s="7"/>
    </row>
    <row r="625" spans="1:16" s="5" customFormat="1" ht="70.5">
      <c r="A625" s="54" t="s">
        <v>759</v>
      </c>
      <c r="B625" s="54" t="s">
        <v>65</v>
      </c>
      <c r="C625" s="54" t="s">
        <v>756</v>
      </c>
      <c r="D625" s="56" t="s">
        <v>67</v>
      </c>
      <c r="E625" s="54" t="s">
        <v>75</v>
      </c>
      <c r="F625" s="54" t="s">
        <v>76</v>
      </c>
      <c r="G625" s="75" t="s">
        <v>77</v>
      </c>
      <c r="H625" s="54"/>
      <c r="I625" s="54"/>
      <c r="J625" s="54"/>
      <c r="K625" s="54"/>
      <c r="L625" s="35"/>
      <c r="M625" s="35"/>
      <c r="N625" s="35"/>
      <c r="O625" s="7"/>
      <c r="P625" s="7"/>
    </row>
    <row r="626" spans="1:16" s="5" customFormat="1" ht="70.5">
      <c r="A626" s="54" t="s">
        <v>760</v>
      </c>
      <c r="B626" s="54" t="s">
        <v>65</v>
      </c>
      <c r="C626" s="54" t="s">
        <v>756</v>
      </c>
      <c r="D626" s="56" t="s">
        <v>67</v>
      </c>
      <c r="E626" s="54" t="s">
        <v>75</v>
      </c>
      <c r="F626" s="54" t="s">
        <v>76</v>
      </c>
      <c r="G626" s="75" t="s">
        <v>77</v>
      </c>
      <c r="H626" s="54"/>
      <c r="I626" s="54"/>
      <c r="J626" s="54"/>
      <c r="K626" s="54"/>
      <c r="L626" s="35"/>
      <c r="M626" s="35"/>
      <c r="N626" s="35"/>
      <c r="O626" s="7"/>
      <c r="P626" s="7"/>
    </row>
    <row r="627" spans="1:16" s="5" customFormat="1" ht="47">
      <c r="A627" s="54" t="s">
        <v>761</v>
      </c>
      <c r="B627" s="54" t="s">
        <v>65</v>
      </c>
      <c r="C627" s="54" t="s">
        <v>762</v>
      </c>
      <c r="D627" s="57" t="s">
        <v>74</v>
      </c>
      <c r="E627" s="54" t="s">
        <v>75</v>
      </c>
      <c r="F627" s="54" t="s">
        <v>76</v>
      </c>
      <c r="G627" s="75" t="s">
        <v>77</v>
      </c>
      <c r="H627" s="54"/>
      <c r="I627" s="54"/>
      <c r="J627" s="54"/>
      <c r="K627" s="54" t="s">
        <v>763</v>
      </c>
      <c r="L627" s="35"/>
      <c r="M627" s="35"/>
      <c r="N627" s="35"/>
      <c r="O627" s="7"/>
      <c r="P627" s="7"/>
    </row>
    <row r="628" spans="1:16" s="5" customFormat="1" ht="47">
      <c r="A628" s="54" t="s">
        <v>764</v>
      </c>
      <c r="B628" s="54" t="s">
        <v>65</v>
      </c>
      <c r="C628" s="54" t="s">
        <v>765</v>
      </c>
      <c r="D628" s="56" t="s">
        <v>67</v>
      </c>
      <c r="E628" s="54" t="s">
        <v>84</v>
      </c>
      <c r="F628" s="54" t="s">
        <v>76</v>
      </c>
      <c r="G628" s="75" t="s">
        <v>77</v>
      </c>
      <c r="H628" s="54"/>
      <c r="I628" s="54"/>
      <c r="J628" s="54"/>
      <c r="K628" s="54"/>
      <c r="L628" s="35"/>
      <c r="M628" s="35"/>
      <c r="N628" s="35"/>
      <c r="O628" s="7"/>
      <c r="P628" s="7"/>
    </row>
    <row r="629" spans="1:16" s="5" customFormat="1" ht="47">
      <c r="A629" s="54" t="s">
        <v>766</v>
      </c>
      <c r="B629" s="54" t="s">
        <v>65</v>
      </c>
      <c r="C629" s="54" t="s">
        <v>765</v>
      </c>
      <c r="D629" s="56" t="s">
        <v>67</v>
      </c>
      <c r="E629" s="54" t="s">
        <v>84</v>
      </c>
      <c r="F629" s="54" t="s">
        <v>76</v>
      </c>
      <c r="G629" s="75" t="s">
        <v>77</v>
      </c>
      <c r="H629" s="54"/>
      <c r="I629" s="54"/>
      <c r="J629" s="54"/>
      <c r="K629" s="54"/>
      <c r="L629" s="35"/>
      <c r="M629" s="35"/>
      <c r="N629" s="35"/>
      <c r="O629" s="7"/>
      <c r="P629" s="7"/>
    </row>
    <row r="630" spans="1:16" s="5" customFormat="1" ht="47">
      <c r="A630" s="54" t="s">
        <v>767</v>
      </c>
      <c r="B630" s="54" t="s">
        <v>65</v>
      </c>
      <c r="C630" s="54" t="s">
        <v>765</v>
      </c>
      <c r="D630" s="56" t="s">
        <v>67</v>
      </c>
      <c r="E630" s="54" t="s">
        <v>84</v>
      </c>
      <c r="F630" s="54" t="s">
        <v>76</v>
      </c>
      <c r="G630" s="75" t="s">
        <v>77</v>
      </c>
      <c r="H630" s="54"/>
      <c r="I630" s="54"/>
      <c r="J630" s="54"/>
      <c r="K630" s="54"/>
      <c r="L630" s="35"/>
      <c r="M630" s="35"/>
      <c r="N630" s="35"/>
      <c r="O630" s="7"/>
      <c r="P630" s="7"/>
    </row>
    <row r="631" spans="1:16" s="5" customFormat="1" ht="47">
      <c r="A631" s="54" t="s">
        <v>768</v>
      </c>
      <c r="B631" s="54" t="s">
        <v>65</v>
      </c>
      <c r="C631" s="54" t="s">
        <v>765</v>
      </c>
      <c r="D631" s="56" t="s">
        <v>67</v>
      </c>
      <c r="E631" s="54" t="s">
        <v>84</v>
      </c>
      <c r="F631" s="54" t="s">
        <v>76</v>
      </c>
      <c r="G631" s="75" t="s">
        <v>77</v>
      </c>
      <c r="H631" s="54"/>
      <c r="I631" s="54"/>
      <c r="J631" s="54"/>
      <c r="K631" s="54"/>
      <c r="L631" s="35"/>
      <c r="M631" s="35"/>
      <c r="N631" s="35"/>
      <c r="O631" s="7"/>
      <c r="P631" s="7"/>
    </row>
    <row r="632" spans="1:16" s="5" customFormat="1" ht="70.5">
      <c r="A632" s="54" t="s">
        <v>769</v>
      </c>
      <c r="B632" s="54" t="s">
        <v>65</v>
      </c>
      <c r="C632" s="54" t="s">
        <v>675</v>
      </c>
      <c r="D632" s="56" t="s">
        <v>67</v>
      </c>
      <c r="E632" s="54" t="s">
        <v>84</v>
      </c>
      <c r="F632" s="54" t="s">
        <v>306</v>
      </c>
      <c r="G632" s="75" t="s">
        <v>77</v>
      </c>
      <c r="H632" s="54"/>
      <c r="I632" s="54"/>
      <c r="J632" s="54"/>
      <c r="K632" s="54" t="s">
        <v>770</v>
      </c>
      <c r="L632" s="35"/>
      <c r="M632" s="35"/>
      <c r="N632" s="35"/>
      <c r="O632" s="7"/>
      <c r="P632" s="7"/>
    </row>
    <row r="633" spans="1:16" s="5" customFormat="1" ht="70.5">
      <c r="A633" s="54" t="s">
        <v>771</v>
      </c>
      <c r="B633" s="54" t="s">
        <v>65</v>
      </c>
      <c r="C633" s="54" t="s">
        <v>675</v>
      </c>
      <c r="D633" s="56" t="s">
        <v>67</v>
      </c>
      <c r="E633" s="54" t="s">
        <v>84</v>
      </c>
      <c r="F633" s="54" t="s">
        <v>306</v>
      </c>
      <c r="G633" s="75" t="s">
        <v>77</v>
      </c>
      <c r="H633" s="54"/>
      <c r="I633" s="54"/>
      <c r="J633" s="54"/>
      <c r="K633" s="54" t="s">
        <v>770</v>
      </c>
      <c r="L633" s="35"/>
      <c r="M633" s="35"/>
      <c r="N633" s="35"/>
      <c r="O633" s="7"/>
      <c r="P633" s="7"/>
    </row>
    <row r="634" spans="1:16" s="5" customFormat="1" ht="94">
      <c r="A634" s="54" t="s">
        <v>772</v>
      </c>
      <c r="B634" s="54" t="s">
        <v>65</v>
      </c>
      <c r="C634" s="54" t="s">
        <v>773</v>
      </c>
      <c r="D634" s="56" t="s">
        <v>67</v>
      </c>
      <c r="E634" s="54" t="s">
        <v>84</v>
      </c>
      <c r="F634" s="54" t="s">
        <v>774</v>
      </c>
      <c r="G634" s="75" t="s">
        <v>77</v>
      </c>
      <c r="H634" s="54"/>
      <c r="I634" s="54"/>
      <c r="J634" s="54"/>
      <c r="K634" s="54" t="s">
        <v>178</v>
      </c>
      <c r="L634" s="35"/>
      <c r="M634" s="35"/>
      <c r="N634" s="35"/>
      <c r="O634" s="7"/>
      <c r="P634" s="7"/>
    </row>
    <row r="635" spans="1:16" s="5" customFormat="1" ht="70.5">
      <c r="A635" s="54" t="s">
        <v>775</v>
      </c>
      <c r="B635" s="54" t="s">
        <v>65</v>
      </c>
      <c r="C635" s="54" t="s">
        <v>675</v>
      </c>
      <c r="D635" s="56" t="s">
        <v>67</v>
      </c>
      <c r="E635" s="54" t="s">
        <v>75</v>
      </c>
      <c r="F635" s="54" t="s">
        <v>306</v>
      </c>
      <c r="G635" s="75" t="s">
        <v>77</v>
      </c>
      <c r="H635" s="54"/>
      <c r="I635" s="54"/>
      <c r="J635" s="54"/>
      <c r="K635" s="54" t="s">
        <v>770</v>
      </c>
      <c r="L635" s="35"/>
      <c r="M635" s="35"/>
      <c r="N635" s="35"/>
      <c r="O635" s="7"/>
      <c r="P635" s="7"/>
    </row>
    <row r="636" spans="1:16" s="5" customFormat="1" ht="70.5">
      <c r="A636" s="54" t="s">
        <v>776</v>
      </c>
      <c r="B636" s="54" t="s">
        <v>65</v>
      </c>
      <c r="C636" s="54" t="s">
        <v>675</v>
      </c>
      <c r="D636" s="56" t="s">
        <v>67</v>
      </c>
      <c r="E636" s="54" t="s">
        <v>75</v>
      </c>
      <c r="F636" s="54" t="s">
        <v>306</v>
      </c>
      <c r="G636" s="75" t="s">
        <v>77</v>
      </c>
      <c r="H636" s="54"/>
      <c r="I636" s="54"/>
      <c r="J636" s="54"/>
      <c r="K636" s="54" t="s">
        <v>770</v>
      </c>
      <c r="L636" s="35"/>
      <c r="M636" s="35"/>
      <c r="N636" s="35"/>
      <c r="O636" s="7"/>
      <c r="P636" s="7"/>
    </row>
    <row r="637" spans="1:16" s="5" customFormat="1" ht="70.5">
      <c r="A637" s="54" t="s">
        <v>777</v>
      </c>
      <c r="B637" s="54" t="s">
        <v>65</v>
      </c>
      <c r="C637" s="54" t="s">
        <v>675</v>
      </c>
      <c r="D637" s="56" t="s">
        <v>67</v>
      </c>
      <c r="E637" s="54" t="s">
        <v>84</v>
      </c>
      <c r="F637" s="54" t="s">
        <v>306</v>
      </c>
      <c r="G637" s="75" t="s">
        <v>77</v>
      </c>
      <c r="H637" s="54"/>
      <c r="I637" s="54"/>
      <c r="J637" s="54"/>
      <c r="K637" s="54" t="s">
        <v>770</v>
      </c>
      <c r="L637" s="35"/>
      <c r="M637" s="35"/>
      <c r="N637" s="35"/>
      <c r="O637" s="7"/>
      <c r="P637" s="7"/>
    </row>
    <row r="638" spans="1:16" s="5" customFormat="1" ht="47">
      <c r="A638" s="54" t="s">
        <v>778</v>
      </c>
      <c r="B638" s="54" t="s">
        <v>65</v>
      </c>
      <c r="C638" s="54" t="s">
        <v>675</v>
      </c>
      <c r="D638" s="56" t="s">
        <v>67</v>
      </c>
      <c r="E638" s="54" t="s">
        <v>84</v>
      </c>
      <c r="F638" s="54" t="s">
        <v>306</v>
      </c>
      <c r="G638" s="75" t="s">
        <v>77</v>
      </c>
      <c r="H638" s="54"/>
      <c r="I638" s="54"/>
      <c r="J638" s="54"/>
      <c r="K638" s="54" t="s">
        <v>770</v>
      </c>
      <c r="L638" s="35"/>
      <c r="M638" s="35"/>
      <c r="N638" s="35"/>
      <c r="O638" s="7"/>
      <c r="P638" s="7"/>
    </row>
    <row r="639" spans="1:16" s="5" customFormat="1" ht="70.5">
      <c r="A639" s="54" t="s">
        <v>779</v>
      </c>
      <c r="B639" s="54" t="s">
        <v>65</v>
      </c>
      <c r="C639" s="54" t="s">
        <v>675</v>
      </c>
      <c r="D639" s="56" t="s">
        <v>67</v>
      </c>
      <c r="E639" s="54" t="s">
        <v>84</v>
      </c>
      <c r="F639" s="54" t="s">
        <v>306</v>
      </c>
      <c r="G639" s="75" t="s">
        <v>77</v>
      </c>
      <c r="H639" s="54"/>
      <c r="I639" s="54"/>
      <c r="J639" s="54"/>
      <c r="K639" s="54" t="s">
        <v>770</v>
      </c>
      <c r="L639" s="35"/>
      <c r="M639" s="35"/>
      <c r="N639" s="35"/>
      <c r="O639" s="7"/>
      <c r="P639" s="7"/>
    </row>
    <row r="640" spans="1:16" s="5" customFormat="1" ht="70.5">
      <c r="A640" s="54" t="s">
        <v>780</v>
      </c>
      <c r="B640" s="54" t="s">
        <v>65</v>
      </c>
      <c r="C640" s="54" t="s">
        <v>675</v>
      </c>
      <c r="D640" s="56" t="s">
        <v>67</v>
      </c>
      <c r="E640" s="54" t="s">
        <v>84</v>
      </c>
      <c r="F640" s="54" t="s">
        <v>306</v>
      </c>
      <c r="G640" s="75" t="s">
        <v>77</v>
      </c>
      <c r="H640" s="54"/>
      <c r="I640" s="54"/>
      <c r="J640" s="54"/>
      <c r="K640" s="54" t="s">
        <v>770</v>
      </c>
      <c r="L640" s="35"/>
      <c r="M640" s="35"/>
      <c r="N640" s="35"/>
      <c r="O640" s="7"/>
      <c r="P640" s="7"/>
    </row>
    <row r="641" spans="1:16" s="5" customFormat="1" ht="70.5">
      <c r="A641" s="54" t="s">
        <v>781</v>
      </c>
      <c r="B641" s="54" t="s">
        <v>65</v>
      </c>
      <c r="C641" s="54" t="s">
        <v>675</v>
      </c>
      <c r="D641" s="56" t="s">
        <v>67</v>
      </c>
      <c r="E641" s="54" t="s">
        <v>84</v>
      </c>
      <c r="F641" s="54" t="s">
        <v>306</v>
      </c>
      <c r="G641" s="75" t="s">
        <v>77</v>
      </c>
      <c r="H641" s="54"/>
      <c r="I641" s="54"/>
      <c r="J641" s="54"/>
      <c r="K641" s="54" t="s">
        <v>770</v>
      </c>
      <c r="L641" s="35"/>
      <c r="M641" s="35"/>
      <c r="N641" s="35"/>
      <c r="O641" s="7"/>
      <c r="P641" s="7"/>
    </row>
    <row r="642" spans="1:16" s="5" customFormat="1" ht="70.5">
      <c r="A642" s="54" t="s">
        <v>782</v>
      </c>
      <c r="B642" s="54" t="s">
        <v>65</v>
      </c>
      <c r="C642" s="54" t="s">
        <v>783</v>
      </c>
      <c r="D642" s="57" t="s">
        <v>74</v>
      </c>
      <c r="E642" s="54" t="s">
        <v>68</v>
      </c>
      <c r="F642" s="54" t="s">
        <v>76</v>
      </c>
      <c r="G642" s="75" t="s">
        <v>77</v>
      </c>
      <c r="H642" s="54"/>
      <c r="I642" s="54"/>
      <c r="J642" s="54"/>
      <c r="K642" s="54"/>
      <c r="L642" s="35"/>
      <c r="M642" s="35"/>
      <c r="N642" s="35"/>
      <c r="O642" s="7"/>
      <c r="P642" s="7"/>
    </row>
    <row r="643" spans="1:16" s="5" customFormat="1" ht="70.5">
      <c r="A643" s="54" t="s">
        <v>1465</v>
      </c>
      <c r="B643" s="54" t="s">
        <v>65</v>
      </c>
      <c r="C643" s="54" t="s">
        <v>783</v>
      </c>
      <c r="D643" s="57" t="s">
        <v>74</v>
      </c>
      <c r="E643" s="54" t="s">
        <v>68</v>
      </c>
      <c r="F643" s="54" t="s">
        <v>76</v>
      </c>
      <c r="G643" s="75" t="s">
        <v>77</v>
      </c>
      <c r="H643" s="54"/>
      <c r="I643" s="54"/>
      <c r="J643" s="54"/>
      <c r="K643" s="54"/>
      <c r="L643" s="35"/>
      <c r="M643" s="35"/>
      <c r="N643" s="35"/>
      <c r="O643" s="7"/>
      <c r="P643" s="7"/>
    </row>
    <row r="644" spans="1:16" s="5" customFormat="1" ht="70.5">
      <c r="A644" s="54" t="s">
        <v>784</v>
      </c>
      <c r="B644" s="54" t="s">
        <v>65</v>
      </c>
      <c r="C644" s="54" t="s">
        <v>785</v>
      </c>
      <c r="D644" s="56" t="s">
        <v>67</v>
      </c>
      <c r="E644" s="54" t="s">
        <v>75</v>
      </c>
      <c r="F644" s="54" t="s">
        <v>76</v>
      </c>
      <c r="G644" s="75" t="s">
        <v>77</v>
      </c>
      <c r="H644" s="54"/>
      <c r="I644" s="54"/>
      <c r="J644" s="54"/>
      <c r="K644" s="54"/>
      <c r="L644" s="35"/>
      <c r="M644" s="35"/>
      <c r="N644" s="35"/>
      <c r="O644" s="7"/>
      <c r="P644" s="7"/>
    </row>
    <row r="645" spans="1:16" s="5" customFormat="1" ht="70.5">
      <c r="A645" s="54" t="s">
        <v>786</v>
      </c>
      <c r="B645" s="54" t="s">
        <v>65</v>
      </c>
      <c r="C645" s="54" t="s">
        <v>298</v>
      </c>
      <c r="D645" s="56" t="s">
        <v>67</v>
      </c>
      <c r="E645" s="54" t="s">
        <v>75</v>
      </c>
      <c r="F645" s="54" t="s">
        <v>76</v>
      </c>
      <c r="G645" s="75" t="s">
        <v>77</v>
      </c>
      <c r="H645" s="54"/>
      <c r="I645" s="54"/>
      <c r="J645" s="54"/>
      <c r="K645" s="54" t="s">
        <v>787</v>
      </c>
      <c r="L645" s="35"/>
      <c r="M645" s="35"/>
      <c r="N645" s="35"/>
      <c r="O645" s="7"/>
      <c r="P645" s="7"/>
    </row>
    <row r="646" spans="1:16" s="5" customFormat="1" ht="70.5">
      <c r="A646" s="54" t="s">
        <v>788</v>
      </c>
      <c r="B646" s="54" t="s">
        <v>65</v>
      </c>
      <c r="C646" s="54" t="s">
        <v>785</v>
      </c>
      <c r="D646" s="56" t="s">
        <v>67</v>
      </c>
      <c r="E646" s="54" t="s">
        <v>84</v>
      </c>
      <c r="F646" s="54" t="s">
        <v>76</v>
      </c>
      <c r="G646" s="75" t="s">
        <v>77</v>
      </c>
      <c r="H646" s="54"/>
      <c r="I646" s="54"/>
      <c r="J646" s="54"/>
      <c r="K646" s="54"/>
      <c r="L646" s="35"/>
      <c r="M646" s="35"/>
      <c r="N646" s="35"/>
      <c r="O646" s="7"/>
      <c r="P646" s="7"/>
    </row>
    <row r="647" spans="1:16" s="5" customFormat="1" ht="70.5">
      <c r="A647" s="54" t="s">
        <v>789</v>
      </c>
      <c r="B647" s="54" t="s">
        <v>65</v>
      </c>
      <c r="C647" s="54" t="s">
        <v>785</v>
      </c>
      <c r="D647" s="56" t="s">
        <v>67</v>
      </c>
      <c r="E647" s="54" t="s">
        <v>84</v>
      </c>
      <c r="F647" s="54" t="s">
        <v>76</v>
      </c>
      <c r="G647" s="75" t="s">
        <v>77</v>
      </c>
      <c r="H647" s="54"/>
      <c r="I647" s="54"/>
      <c r="J647" s="54"/>
      <c r="K647" s="54"/>
      <c r="L647" s="35"/>
      <c r="M647" s="35"/>
      <c r="N647" s="35"/>
      <c r="O647" s="7"/>
      <c r="P647" s="7"/>
    </row>
    <row r="648" spans="1:16" s="5" customFormat="1" ht="70.5">
      <c r="A648" s="54" t="s">
        <v>790</v>
      </c>
      <c r="B648" s="54" t="s">
        <v>65</v>
      </c>
      <c r="C648" s="54" t="s">
        <v>791</v>
      </c>
      <c r="D648" s="69" t="s">
        <v>644</v>
      </c>
      <c r="E648" s="54" t="s">
        <v>68</v>
      </c>
      <c r="F648" s="54" t="s">
        <v>76</v>
      </c>
      <c r="G648" s="75" t="s">
        <v>77</v>
      </c>
      <c r="H648" s="54"/>
      <c r="I648" s="54"/>
      <c r="J648" s="54"/>
      <c r="K648" s="54"/>
      <c r="L648" s="35"/>
      <c r="M648" s="35"/>
      <c r="N648" s="35"/>
      <c r="O648" s="7"/>
      <c r="P648" s="7"/>
    </row>
    <row r="649" spans="1:16" s="5" customFormat="1" ht="70.5">
      <c r="A649" s="54" t="s">
        <v>792</v>
      </c>
      <c r="B649" s="54" t="s">
        <v>65</v>
      </c>
      <c r="C649" s="54" t="s">
        <v>793</v>
      </c>
      <c r="D649" s="56" t="s">
        <v>67</v>
      </c>
      <c r="E649" s="54" t="s">
        <v>68</v>
      </c>
      <c r="F649" s="54" t="s">
        <v>76</v>
      </c>
      <c r="G649" s="74" t="s">
        <v>70</v>
      </c>
      <c r="H649" s="54"/>
      <c r="I649" s="54"/>
      <c r="J649" s="54"/>
      <c r="K649" s="54"/>
      <c r="L649" s="35"/>
      <c r="M649" s="35"/>
      <c r="N649" s="35"/>
      <c r="O649" s="7"/>
      <c r="P649" s="7"/>
    </row>
    <row r="650" spans="1:16" s="5" customFormat="1" ht="70.5">
      <c r="A650" s="54" t="s">
        <v>794</v>
      </c>
      <c r="B650" s="54" t="s">
        <v>65</v>
      </c>
      <c r="C650" s="54" t="s">
        <v>793</v>
      </c>
      <c r="D650" s="56" t="s">
        <v>67</v>
      </c>
      <c r="E650" s="54" t="s">
        <v>68</v>
      </c>
      <c r="F650" s="54" t="s">
        <v>76</v>
      </c>
      <c r="G650" s="74" t="s">
        <v>70</v>
      </c>
      <c r="H650" s="54"/>
      <c r="I650" s="54"/>
      <c r="J650" s="54"/>
      <c r="K650" s="54"/>
      <c r="L650" s="35"/>
      <c r="M650" s="35"/>
      <c r="N650" s="35"/>
      <c r="O650" s="7"/>
      <c r="P650" s="7"/>
    </row>
    <row r="651" spans="1:16" s="5" customFormat="1" ht="70.5">
      <c r="A651" s="54" t="s">
        <v>795</v>
      </c>
      <c r="B651" s="54" t="s">
        <v>65</v>
      </c>
      <c r="C651" s="54" t="s">
        <v>793</v>
      </c>
      <c r="D651" s="56" t="s">
        <v>67</v>
      </c>
      <c r="E651" s="54" t="s">
        <v>68</v>
      </c>
      <c r="F651" s="54" t="s">
        <v>76</v>
      </c>
      <c r="G651" s="74" t="s">
        <v>70</v>
      </c>
      <c r="H651" s="54"/>
      <c r="I651" s="54"/>
      <c r="J651" s="54"/>
      <c r="K651" s="54"/>
      <c r="L651" s="35"/>
      <c r="M651" s="35"/>
      <c r="N651" s="35"/>
      <c r="O651" s="7"/>
      <c r="P651" s="7"/>
    </row>
    <row r="652" spans="1:16" s="5" customFormat="1" ht="23.5">
      <c r="A652" s="54"/>
      <c r="B652" s="54"/>
      <c r="C652" s="54"/>
      <c r="D652" s="55"/>
      <c r="E652" s="54"/>
      <c r="F652" s="54"/>
      <c r="G652" s="54"/>
      <c r="H652" s="54"/>
      <c r="I652" s="54"/>
      <c r="J652" s="54"/>
      <c r="K652" s="54"/>
      <c r="L652" s="35"/>
      <c r="M652" s="35"/>
      <c r="N652" s="35"/>
      <c r="O652" s="7"/>
      <c r="P652" s="7"/>
    </row>
    <row r="653" spans="1:16" s="5" customFormat="1" ht="23.5">
      <c r="A653" s="54"/>
      <c r="B653" s="54"/>
      <c r="C653" s="54"/>
      <c r="D653" s="55"/>
      <c r="E653" s="54"/>
      <c r="F653" s="54"/>
      <c r="G653" s="54"/>
      <c r="H653" s="54"/>
      <c r="I653" s="54"/>
      <c r="J653" s="54"/>
      <c r="K653" s="54"/>
      <c r="L653" s="35"/>
      <c r="M653" s="35"/>
      <c r="N653" s="35"/>
      <c r="O653" s="7"/>
      <c r="P653" s="7"/>
    </row>
    <row r="654" spans="1:16" s="5" customFormat="1" ht="23.5">
      <c r="A654" s="54"/>
      <c r="B654" s="54"/>
      <c r="C654" s="54"/>
      <c r="D654" s="55"/>
      <c r="E654" s="54"/>
      <c r="F654" s="54"/>
      <c r="G654" s="54"/>
      <c r="H654" s="54"/>
      <c r="I654" s="54"/>
      <c r="J654" s="54"/>
      <c r="K654" s="54"/>
      <c r="L654" s="35"/>
      <c r="M654" s="35"/>
      <c r="N654" s="35"/>
      <c r="O654" s="7"/>
      <c r="P654" s="7"/>
    </row>
    <row r="655" spans="1:16" ht="23.5">
      <c r="A655" s="49"/>
      <c r="B655" s="50"/>
      <c r="C655" s="49"/>
      <c r="D655" s="49"/>
      <c r="E655" s="49"/>
      <c r="F655" s="49"/>
      <c r="G655" s="49"/>
      <c r="H655" s="49"/>
      <c r="I655" s="49"/>
      <c r="J655" s="49"/>
      <c r="K655" s="49"/>
    </row>
    <row r="656" spans="1:16" ht="23.5">
      <c r="A656" s="49"/>
      <c r="B656" s="50"/>
      <c r="C656" s="49"/>
      <c r="D656" s="49"/>
      <c r="E656" s="49"/>
      <c r="F656" s="49"/>
      <c r="G656" s="49"/>
      <c r="H656" s="49"/>
      <c r="I656" s="49"/>
      <c r="J656" s="49"/>
      <c r="K656" s="49"/>
    </row>
    <row r="657" spans="1:11" ht="23.5">
      <c r="A657" s="49"/>
      <c r="B657" s="50"/>
      <c r="C657" s="49"/>
      <c r="D657" s="49"/>
      <c r="E657" s="49"/>
      <c r="F657" s="49"/>
      <c r="G657" s="49"/>
      <c r="H657" s="49"/>
      <c r="I657" s="49"/>
      <c r="J657" s="49"/>
      <c r="K657" s="49"/>
    </row>
    <row r="658" spans="1:11" ht="23.5">
      <c r="A658" s="49"/>
      <c r="B658" s="50"/>
      <c r="C658" s="49"/>
      <c r="D658" s="49"/>
      <c r="E658" s="49"/>
      <c r="F658" s="49"/>
      <c r="G658" s="49"/>
      <c r="H658" s="49"/>
      <c r="I658" s="49"/>
      <c r="J658" s="49"/>
      <c r="K658" s="49"/>
    </row>
    <row r="659" spans="1:11" ht="23.5">
      <c r="A659" s="49"/>
      <c r="B659" s="50"/>
      <c r="C659" s="49"/>
      <c r="D659" s="49"/>
      <c r="E659" s="49"/>
      <c r="F659" s="49"/>
      <c r="G659" s="49"/>
      <c r="H659" s="49"/>
      <c r="I659" s="49"/>
      <c r="J659" s="49"/>
      <c r="K659" s="49"/>
    </row>
    <row r="660" spans="1:11" ht="23.5">
      <c r="A660" s="49"/>
      <c r="B660" s="50"/>
      <c r="C660" s="49"/>
      <c r="D660" s="49"/>
      <c r="E660" s="49"/>
      <c r="F660" s="49"/>
      <c r="G660" s="49"/>
      <c r="H660" s="49"/>
      <c r="I660" s="49"/>
      <c r="J660" s="49"/>
      <c r="K660" s="49"/>
    </row>
    <row r="661" spans="1:11" ht="23.5">
      <c r="A661" s="49"/>
      <c r="B661" s="50"/>
      <c r="C661" s="49"/>
      <c r="D661" s="49"/>
      <c r="E661" s="49"/>
      <c r="F661" s="49"/>
      <c r="G661" s="49"/>
      <c r="H661" s="49"/>
      <c r="I661" s="49"/>
      <c r="J661" s="49"/>
      <c r="K661" s="49"/>
    </row>
  </sheetData>
  <autoFilter ref="A5:J654" xr:uid="{734A9058-09E5-604D-AC4A-37A16D2E71AF}"/>
  <sortState xmlns:xlrd2="http://schemas.microsoft.com/office/spreadsheetml/2017/richdata2" ref="A6:J654">
    <sortCondition ref="C5:C654"/>
  </sortState>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2CC70-2131-F44B-BE0A-C24E33C223DF}">
  <sheetPr filterMode="1"/>
  <dimension ref="A5:H625"/>
  <sheetViews>
    <sheetView zoomScale="60" zoomScaleNormal="60" workbookViewId="0">
      <pane ySplit="5" topLeftCell="A111" activePane="bottomLeft" state="frozen"/>
      <selection pane="bottomLeft" activeCell="B9" sqref="A5:H625"/>
    </sheetView>
  </sheetViews>
  <sheetFormatPr baseColWidth="10" defaultColWidth="11" defaultRowHeight="15.5"/>
  <cols>
    <col min="1" max="1" width="23.83203125" style="37" customWidth="1"/>
    <col min="2" max="2" width="44.83203125" style="37" customWidth="1"/>
    <col min="3" max="3" width="30.1640625" style="37" customWidth="1"/>
  </cols>
  <sheetData>
    <row r="5" spans="1:8" s="5" customFormat="1" ht="47">
      <c r="A5" s="48" t="s">
        <v>57</v>
      </c>
      <c r="B5" s="47" t="s">
        <v>11</v>
      </c>
      <c r="C5" s="48" t="s">
        <v>9</v>
      </c>
      <c r="D5" s="36"/>
      <c r="E5" s="36"/>
      <c r="F5" s="36"/>
      <c r="G5" s="7"/>
      <c r="H5" s="7"/>
    </row>
    <row r="6" spans="1:8" s="5" customFormat="1" ht="47" hidden="1">
      <c r="A6" s="54" t="s">
        <v>668</v>
      </c>
      <c r="B6" s="54" t="s">
        <v>796</v>
      </c>
      <c r="C6" s="54" t="s">
        <v>797</v>
      </c>
      <c r="D6" s="35"/>
      <c r="E6" s="35"/>
      <c r="F6" s="35"/>
      <c r="G6" s="7"/>
      <c r="H6" s="7"/>
    </row>
    <row r="7" spans="1:8" s="5" customFormat="1" ht="70.5" hidden="1">
      <c r="A7" s="54" t="s">
        <v>668</v>
      </c>
      <c r="B7" s="54" t="s">
        <v>798</v>
      </c>
      <c r="C7" s="54" t="s">
        <v>797</v>
      </c>
      <c r="D7" s="35"/>
      <c r="E7" s="35"/>
      <c r="F7" s="35"/>
      <c r="G7" s="7"/>
      <c r="H7" s="7"/>
    </row>
    <row r="8" spans="1:8" s="5" customFormat="1" ht="70.5" hidden="1">
      <c r="A8" s="54" t="s">
        <v>668</v>
      </c>
      <c r="B8" s="54" t="s">
        <v>185</v>
      </c>
      <c r="C8" s="54" t="s">
        <v>143</v>
      </c>
      <c r="D8" s="35"/>
      <c r="E8" s="35"/>
      <c r="F8" s="35"/>
      <c r="G8" s="7"/>
      <c r="H8" s="7"/>
    </row>
    <row r="9" spans="1:8" s="5" customFormat="1" ht="70.5" hidden="1">
      <c r="A9" s="54" t="s">
        <v>668</v>
      </c>
      <c r="B9" s="54" t="s">
        <v>799</v>
      </c>
      <c r="C9" s="54" t="s">
        <v>797</v>
      </c>
      <c r="D9" s="35"/>
      <c r="E9" s="35"/>
      <c r="F9" s="35"/>
      <c r="G9" s="7"/>
      <c r="H9" s="7"/>
    </row>
    <row r="10" spans="1:8" s="5" customFormat="1" ht="70.5" hidden="1">
      <c r="A10" s="54" t="s">
        <v>668</v>
      </c>
      <c r="B10" s="54" t="s">
        <v>800</v>
      </c>
      <c r="C10" s="54" t="s">
        <v>797</v>
      </c>
      <c r="D10" s="35"/>
      <c r="E10" s="35"/>
      <c r="F10" s="35"/>
      <c r="G10" s="7"/>
      <c r="H10" s="7"/>
    </row>
    <row r="11" spans="1:8" s="5" customFormat="1" ht="47" hidden="1">
      <c r="A11" s="54" t="s">
        <v>668</v>
      </c>
      <c r="B11" s="54" t="s">
        <v>801</v>
      </c>
      <c r="C11" s="54" t="s">
        <v>797</v>
      </c>
      <c r="D11" s="35"/>
      <c r="E11" s="35"/>
      <c r="F11" s="35"/>
      <c r="G11" s="7"/>
      <c r="H11" s="7"/>
    </row>
    <row r="12" spans="1:8" s="5" customFormat="1" ht="70.5" hidden="1">
      <c r="A12" s="54" t="s">
        <v>668</v>
      </c>
      <c r="B12" s="54" t="s">
        <v>802</v>
      </c>
      <c r="C12" s="54" t="s">
        <v>797</v>
      </c>
      <c r="D12" s="35"/>
      <c r="E12" s="35"/>
      <c r="F12" s="35"/>
      <c r="G12" s="7"/>
      <c r="H12" s="7"/>
    </row>
    <row r="13" spans="1:8" s="5" customFormat="1" ht="70.5" hidden="1">
      <c r="A13" s="54" t="s">
        <v>668</v>
      </c>
      <c r="B13" s="54" t="s">
        <v>803</v>
      </c>
      <c r="C13" s="54" t="s">
        <v>797</v>
      </c>
      <c r="D13" s="35"/>
      <c r="E13" s="35"/>
      <c r="F13" s="35"/>
      <c r="G13" s="7"/>
      <c r="H13" s="7"/>
    </row>
    <row r="14" spans="1:8" s="5" customFormat="1" ht="70.5" hidden="1">
      <c r="A14" s="54" t="s">
        <v>668</v>
      </c>
      <c r="B14" s="54" t="s">
        <v>804</v>
      </c>
      <c r="C14" s="54" t="s">
        <v>797</v>
      </c>
      <c r="D14" s="35"/>
      <c r="E14" s="35"/>
      <c r="F14" s="35"/>
      <c r="G14" s="7"/>
      <c r="H14" s="7"/>
    </row>
    <row r="15" spans="1:8" s="5" customFormat="1" ht="47" hidden="1">
      <c r="A15" s="54" t="s">
        <v>668</v>
      </c>
      <c r="B15" s="54" t="s">
        <v>98</v>
      </c>
      <c r="C15" s="54" t="s">
        <v>797</v>
      </c>
      <c r="D15" s="35"/>
      <c r="E15" s="35"/>
      <c r="F15" s="35"/>
      <c r="G15" s="7"/>
      <c r="H15" s="7"/>
    </row>
    <row r="16" spans="1:8" s="5" customFormat="1" ht="47" hidden="1">
      <c r="A16" s="54" t="s">
        <v>668</v>
      </c>
      <c r="B16" s="54" t="s">
        <v>102</v>
      </c>
      <c r="C16" s="54" t="s">
        <v>103</v>
      </c>
      <c r="D16" s="35"/>
      <c r="E16" s="35"/>
      <c r="F16" s="35"/>
      <c r="G16" s="7"/>
      <c r="H16" s="7"/>
    </row>
    <row r="17" spans="1:8" s="5" customFormat="1" ht="70.5" hidden="1">
      <c r="A17" s="54" t="s">
        <v>668</v>
      </c>
      <c r="B17" s="54" t="s">
        <v>131</v>
      </c>
      <c r="C17" s="54" t="s">
        <v>127</v>
      </c>
      <c r="D17" s="35"/>
      <c r="E17" s="35"/>
      <c r="F17" s="35"/>
      <c r="G17" s="7"/>
      <c r="H17" s="7"/>
    </row>
    <row r="18" spans="1:8" s="5" customFormat="1" ht="47" hidden="1">
      <c r="A18" s="54" t="s">
        <v>668</v>
      </c>
      <c r="B18" s="54" t="s">
        <v>135</v>
      </c>
      <c r="C18" s="54" t="s">
        <v>127</v>
      </c>
      <c r="D18" s="35"/>
      <c r="E18" s="35"/>
      <c r="F18" s="35"/>
      <c r="G18" s="7"/>
      <c r="H18" s="7"/>
    </row>
    <row r="19" spans="1:8" s="5" customFormat="1" ht="70.5" hidden="1">
      <c r="A19" s="54" t="s">
        <v>668</v>
      </c>
      <c r="B19" s="54" t="s">
        <v>136</v>
      </c>
      <c r="C19" s="54" t="s">
        <v>127</v>
      </c>
      <c r="D19" s="35"/>
      <c r="E19" s="35"/>
      <c r="F19" s="35"/>
      <c r="G19" s="7"/>
      <c r="H19" s="7"/>
    </row>
    <row r="20" spans="1:8" s="5" customFormat="1" ht="70.5" hidden="1">
      <c r="A20" s="54" t="s">
        <v>668</v>
      </c>
      <c r="B20" s="54" t="s">
        <v>138</v>
      </c>
      <c r="C20" s="54" t="s">
        <v>127</v>
      </c>
      <c r="D20" s="35"/>
      <c r="E20" s="35"/>
      <c r="F20" s="35"/>
      <c r="G20" s="7"/>
      <c r="H20" s="7"/>
    </row>
    <row r="21" spans="1:8" s="5" customFormat="1" ht="70.5" hidden="1">
      <c r="A21" s="54" t="s">
        <v>668</v>
      </c>
      <c r="B21" s="54" t="s">
        <v>158</v>
      </c>
      <c r="C21" s="54" t="s">
        <v>143</v>
      </c>
      <c r="D21" s="35"/>
      <c r="E21" s="35"/>
      <c r="F21" s="35"/>
      <c r="G21" s="7"/>
      <c r="H21" s="7"/>
    </row>
    <row r="22" spans="1:8" s="5" customFormat="1" ht="70.5" hidden="1">
      <c r="A22" s="54" t="s">
        <v>668</v>
      </c>
      <c r="B22" s="54" t="s">
        <v>159</v>
      </c>
      <c r="C22" s="54" t="s">
        <v>143</v>
      </c>
      <c r="D22" s="35"/>
      <c r="E22" s="35"/>
      <c r="F22" s="35"/>
      <c r="G22" s="7"/>
      <c r="H22" s="7"/>
    </row>
    <row r="23" spans="1:8" s="5" customFormat="1" ht="47" hidden="1">
      <c r="A23" s="54" t="s">
        <v>668</v>
      </c>
      <c r="B23" s="54" t="s">
        <v>162</v>
      </c>
      <c r="C23" s="54" t="s">
        <v>143</v>
      </c>
      <c r="D23" s="35"/>
      <c r="E23" s="35"/>
      <c r="F23" s="35"/>
      <c r="G23" s="7"/>
      <c r="H23" s="7"/>
    </row>
    <row r="24" spans="1:8" s="5" customFormat="1" ht="47" hidden="1">
      <c r="A24" s="54" t="s">
        <v>668</v>
      </c>
      <c r="B24" s="54" t="s">
        <v>170</v>
      </c>
      <c r="C24" s="54" t="s">
        <v>143</v>
      </c>
      <c r="D24" s="35"/>
      <c r="E24" s="35"/>
      <c r="F24" s="35"/>
      <c r="G24" s="7"/>
      <c r="H24" s="7"/>
    </row>
    <row r="25" spans="1:8" s="5" customFormat="1" ht="47" hidden="1">
      <c r="A25" s="54" t="s">
        <v>668</v>
      </c>
      <c r="B25" s="54" t="s">
        <v>174</v>
      </c>
      <c r="C25" s="54" t="s">
        <v>143</v>
      </c>
      <c r="D25" s="35"/>
      <c r="E25" s="35"/>
      <c r="F25" s="35"/>
      <c r="G25" s="7"/>
      <c r="H25" s="7"/>
    </row>
    <row r="26" spans="1:8" s="5" customFormat="1" ht="47" hidden="1">
      <c r="A26" s="54" t="s">
        <v>668</v>
      </c>
      <c r="B26" s="54" t="s">
        <v>184</v>
      </c>
      <c r="C26" s="54" t="s">
        <v>143</v>
      </c>
      <c r="D26" s="35"/>
      <c r="E26" s="35"/>
      <c r="F26" s="35"/>
      <c r="G26" s="7"/>
      <c r="H26" s="7"/>
    </row>
    <row r="27" spans="1:8" s="5" customFormat="1" ht="70.5" hidden="1">
      <c r="A27" s="54" t="s">
        <v>668</v>
      </c>
      <c r="B27" s="54" t="s">
        <v>239</v>
      </c>
      <c r="C27" s="54" t="s">
        <v>240</v>
      </c>
      <c r="D27" s="35"/>
      <c r="E27" s="35"/>
      <c r="F27" s="35"/>
      <c r="G27" s="7"/>
      <c r="H27" s="7"/>
    </row>
    <row r="28" spans="1:8" s="5" customFormat="1" ht="70.5" hidden="1">
      <c r="A28" s="54" t="s">
        <v>668</v>
      </c>
      <c r="B28" s="54" t="s">
        <v>259</v>
      </c>
      <c r="C28" s="54" t="s">
        <v>260</v>
      </c>
      <c r="D28" s="35"/>
      <c r="E28" s="35"/>
      <c r="F28" s="35"/>
      <c r="G28" s="7"/>
      <c r="H28" s="7"/>
    </row>
    <row r="29" spans="1:8" s="5" customFormat="1" ht="47" hidden="1">
      <c r="A29" s="54" t="s">
        <v>668</v>
      </c>
      <c r="B29" s="54" t="s">
        <v>265</v>
      </c>
      <c r="C29" s="54" t="s">
        <v>260</v>
      </c>
      <c r="D29" s="35"/>
      <c r="E29" s="35"/>
      <c r="F29" s="35"/>
      <c r="G29" s="7"/>
      <c r="H29" s="7"/>
    </row>
    <row r="30" spans="1:8" s="5" customFormat="1" ht="70.5" hidden="1">
      <c r="A30" s="54" t="s">
        <v>668</v>
      </c>
      <c r="B30" s="54" t="s">
        <v>266</v>
      </c>
      <c r="C30" s="54" t="s">
        <v>260</v>
      </c>
      <c r="D30" s="35"/>
      <c r="E30" s="35"/>
      <c r="F30" s="35"/>
      <c r="G30" s="7"/>
      <c r="H30" s="7"/>
    </row>
    <row r="31" spans="1:8" s="5" customFormat="1" ht="47" hidden="1">
      <c r="A31" s="54" t="s">
        <v>668</v>
      </c>
      <c r="B31" s="54" t="s">
        <v>267</v>
      </c>
      <c r="C31" s="54" t="s">
        <v>260</v>
      </c>
      <c r="D31" s="35"/>
      <c r="E31" s="35"/>
      <c r="F31" s="35"/>
      <c r="G31" s="7"/>
      <c r="H31" s="7"/>
    </row>
    <row r="32" spans="1:8" s="5" customFormat="1" ht="70.5" hidden="1">
      <c r="A32" s="54" t="s">
        <v>668</v>
      </c>
      <c r="B32" s="54" t="s">
        <v>338</v>
      </c>
      <c r="C32" s="54" t="s">
        <v>298</v>
      </c>
      <c r="D32" s="35"/>
      <c r="E32" s="35"/>
      <c r="F32" s="35"/>
      <c r="G32" s="7"/>
      <c r="H32" s="7"/>
    </row>
    <row r="33" spans="1:8" s="5" customFormat="1" ht="70.5" hidden="1">
      <c r="A33" s="54" t="s">
        <v>668</v>
      </c>
      <c r="B33" s="54" t="s">
        <v>342</v>
      </c>
      <c r="C33" s="54" t="s">
        <v>298</v>
      </c>
      <c r="D33" s="35"/>
      <c r="E33" s="35"/>
      <c r="F33" s="35"/>
      <c r="G33" s="7"/>
      <c r="H33" s="7"/>
    </row>
    <row r="34" spans="1:8" s="5" customFormat="1" ht="47" hidden="1">
      <c r="A34" s="54" t="s">
        <v>668</v>
      </c>
      <c r="B34" s="54" t="s">
        <v>300</v>
      </c>
      <c r="C34" s="54" t="s">
        <v>298</v>
      </c>
      <c r="D34" s="35"/>
      <c r="E34" s="35"/>
      <c r="F34" s="35"/>
      <c r="G34" s="7"/>
      <c r="H34" s="7"/>
    </row>
    <row r="35" spans="1:8" s="5" customFormat="1" ht="47" hidden="1">
      <c r="A35" s="54" t="s">
        <v>668</v>
      </c>
      <c r="B35" s="54" t="s">
        <v>301</v>
      </c>
      <c r="C35" s="54" t="s">
        <v>298</v>
      </c>
      <c r="D35" s="35"/>
      <c r="E35" s="35"/>
      <c r="F35" s="35"/>
      <c r="G35" s="7"/>
      <c r="H35" s="7"/>
    </row>
    <row r="36" spans="1:8" s="5" customFormat="1" ht="70.5" hidden="1">
      <c r="A36" s="54" t="s">
        <v>668</v>
      </c>
      <c r="B36" s="54" t="s">
        <v>304</v>
      </c>
      <c r="C36" s="54" t="s">
        <v>298</v>
      </c>
      <c r="D36" s="35"/>
      <c r="E36" s="35"/>
      <c r="F36" s="35"/>
      <c r="G36" s="7"/>
      <c r="H36" s="7"/>
    </row>
    <row r="37" spans="1:8" s="5" customFormat="1" ht="47" hidden="1">
      <c r="A37" s="54" t="s">
        <v>668</v>
      </c>
      <c r="B37" s="54" t="s">
        <v>323</v>
      </c>
      <c r="C37" s="54" t="s">
        <v>298</v>
      </c>
      <c r="D37" s="35"/>
      <c r="E37" s="35"/>
      <c r="F37" s="35"/>
      <c r="G37" s="7"/>
      <c r="H37" s="7"/>
    </row>
    <row r="38" spans="1:8" s="5" customFormat="1" ht="70.5" hidden="1">
      <c r="A38" s="54" t="s">
        <v>668</v>
      </c>
      <c r="B38" s="54" t="s">
        <v>328</v>
      </c>
      <c r="C38" s="54" t="s">
        <v>298</v>
      </c>
      <c r="D38" s="35"/>
      <c r="E38" s="35"/>
      <c r="F38" s="35"/>
      <c r="G38" s="7"/>
      <c r="H38" s="7"/>
    </row>
    <row r="39" spans="1:8" s="5" customFormat="1" ht="70.5" hidden="1">
      <c r="A39" s="54" t="s">
        <v>668</v>
      </c>
      <c r="B39" s="54" t="s">
        <v>332</v>
      </c>
      <c r="C39" s="54" t="s">
        <v>298</v>
      </c>
      <c r="D39" s="35"/>
      <c r="E39" s="35"/>
      <c r="F39" s="35"/>
      <c r="G39" s="7"/>
      <c r="H39" s="7"/>
    </row>
    <row r="40" spans="1:8" s="5" customFormat="1" ht="47" hidden="1">
      <c r="A40" s="54" t="s">
        <v>668</v>
      </c>
      <c r="B40" s="54" t="s">
        <v>350</v>
      </c>
      <c r="C40" s="54" t="s">
        <v>298</v>
      </c>
      <c r="D40" s="35"/>
      <c r="E40" s="35"/>
      <c r="F40" s="35"/>
      <c r="G40" s="7"/>
      <c r="H40" s="7"/>
    </row>
    <row r="41" spans="1:8" s="5" customFormat="1" ht="70.5" hidden="1">
      <c r="A41" s="54" t="s">
        <v>668</v>
      </c>
      <c r="B41" s="54" t="s">
        <v>373</v>
      </c>
      <c r="C41" s="54" t="s">
        <v>374</v>
      </c>
      <c r="D41" s="35"/>
      <c r="E41" s="35"/>
      <c r="F41" s="35"/>
      <c r="G41" s="7"/>
      <c r="H41" s="7"/>
    </row>
    <row r="42" spans="1:8" s="5" customFormat="1" ht="70.5" hidden="1">
      <c r="A42" s="54" t="s">
        <v>668</v>
      </c>
      <c r="B42" s="54" t="s">
        <v>375</v>
      </c>
      <c r="C42" s="54" t="s">
        <v>374</v>
      </c>
      <c r="D42" s="35"/>
      <c r="E42" s="35"/>
      <c r="F42" s="35"/>
      <c r="G42" s="7"/>
      <c r="H42" s="7"/>
    </row>
    <row r="43" spans="1:8" s="5" customFormat="1" ht="70.5" hidden="1">
      <c r="A43" s="54" t="s">
        <v>668</v>
      </c>
      <c r="B43" s="54" t="s">
        <v>383</v>
      </c>
      <c r="C43" s="54" t="s">
        <v>377</v>
      </c>
      <c r="D43" s="35"/>
      <c r="E43" s="35"/>
      <c r="F43" s="35"/>
      <c r="G43" s="7"/>
      <c r="H43" s="7"/>
    </row>
    <row r="44" spans="1:8" s="5" customFormat="1" ht="47" hidden="1">
      <c r="A44" s="54" t="s">
        <v>668</v>
      </c>
      <c r="B44" s="54" t="s">
        <v>404</v>
      </c>
      <c r="C44" s="54" t="s">
        <v>405</v>
      </c>
      <c r="D44" s="35"/>
      <c r="E44" s="35"/>
      <c r="F44" s="35"/>
      <c r="G44" s="7"/>
      <c r="H44" s="7"/>
    </row>
    <row r="45" spans="1:8" s="5" customFormat="1" ht="47" hidden="1">
      <c r="A45" s="54" t="s">
        <v>668</v>
      </c>
      <c r="B45" s="54" t="s">
        <v>406</v>
      </c>
      <c r="C45" s="54" t="s">
        <v>407</v>
      </c>
      <c r="D45" s="35"/>
      <c r="E45" s="35"/>
      <c r="F45" s="35"/>
      <c r="G45" s="7"/>
      <c r="H45" s="7"/>
    </row>
    <row r="46" spans="1:8" s="5" customFormat="1" ht="70.5" hidden="1">
      <c r="A46" s="54" t="s">
        <v>668</v>
      </c>
      <c r="B46" s="54" t="s">
        <v>414</v>
      </c>
      <c r="C46" s="54" t="s">
        <v>415</v>
      </c>
      <c r="D46" s="35"/>
      <c r="E46" s="35"/>
      <c r="F46" s="35"/>
      <c r="G46" s="7"/>
      <c r="H46" s="7"/>
    </row>
    <row r="47" spans="1:8" s="5" customFormat="1" ht="47" hidden="1">
      <c r="A47" s="54" t="s">
        <v>668</v>
      </c>
      <c r="B47" s="54" t="s">
        <v>417</v>
      </c>
      <c r="C47" s="54" t="s">
        <v>418</v>
      </c>
      <c r="D47" s="35"/>
      <c r="E47" s="35"/>
      <c r="F47" s="35"/>
      <c r="G47" s="7"/>
      <c r="H47" s="7"/>
    </row>
    <row r="48" spans="1:8" s="5" customFormat="1" ht="47" hidden="1">
      <c r="A48" s="54" t="s">
        <v>668</v>
      </c>
      <c r="B48" s="54" t="s">
        <v>419</v>
      </c>
      <c r="C48" s="54" t="s">
        <v>418</v>
      </c>
      <c r="D48" s="35"/>
      <c r="E48" s="35"/>
      <c r="F48" s="35"/>
      <c r="G48" s="7"/>
      <c r="H48" s="7"/>
    </row>
    <row r="49" spans="1:8" s="5" customFormat="1" ht="70.5" hidden="1">
      <c r="A49" s="54" t="s">
        <v>668</v>
      </c>
      <c r="B49" s="54" t="s">
        <v>420</v>
      </c>
      <c r="C49" s="54" t="s">
        <v>418</v>
      </c>
      <c r="D49" s="35"/>
      <c r="E49" s="35"/>
      <c r="F49" s="35"/>
      <c r="G49" s="7"/>
      <c r="H49" s="7"/>
    </row>
    <row r="50" spans="1:8" s="5" customFormat="1" ht="47" hidden="1">
      <c r="A50" s="54" t="s">
        <v>668</v>
      </c>
      <c r="B50" s="54" t="s">
        <v>805</v>
      </c>
      <c r="C50" s="54" t="s">
        <v>418</v>
      </c>
      <c r="D50" s="35"/>
      <c r="E50" s="35"/>
      <c r="F50" s="35"/>
      <c r="G50" s="7"/>
      <c r="H50" s="7"/>
    </row>
    <row r="51" spans="1:8" s="5" customFormat="1" ht="70.5" hidden="1">
      <c r="A51" s="54" t="s">
        <v>668</v>
      </c>
      <c r="B51" s="54" t="s">
        <v>674</v>
      </c>
      <c r="C51" s="54" t="s">
        <v>675</v>
      </c>
      <c r="D51" s="35"/>
      <c r="E51" s="35"/>
      <c r="F51" s="35"/>
      <c r="G51" s="7"/>
      <c r="H51" s="7"/>
    </row>
    <row r="52" spans="1:8" s="5" customFormat="1" ht="47" hidden="1">
      <c r="A52" s="54" t="s">
        <v>668</v>
      </c>
      <c r="B52" s="54" t="s">
        <v>694</v>
      </c>
      <c r="C52" s="54" t="s">
        <v>695</v>
      </c>
      <c r="D52" s="35"/>
      <c r="E52" s="35"/>
      <c r="F52" s="35"/>
      <c r="G52" s="7"/>
      <c r="H52" s="7"/>
    </row>
    <row r="53" spans="1:8" s="5" customFormat="1" ht="70.5" hidden="1">
      <c r="A53" s="54" t="s">
        <v>668</v>
      </c>
      <c r="B53" s="54" t="s">
        <v>697</v>
      </c>
      <c r="C53" s="54" t="s">
        <v>695</v>
      </c>
      <c r="D53" s="35"/>
      <c r="E53" s="35"/>
      <c r="F53" s="35"/>
      <c r="G53" s="7"/>
      <c r="H53" s="7"/>
    </row>
    <row r="54" spans="1:8" s="5" customFormat="1" ht="47" hidden="1">
      <c r="A54" s="54" t="s">
        <v>668</v>
      </c>
      <c r="B54" s="54" t="s">
        <v>731</v>
      </c>
      <c r="C54" s="54" t="s">
        <v>732</v>
      </c>
      <c r="D54" s="35"/>
      <c r="E54" s="35"/>
      <c r="F54" s="35"/>
      <c r="G54" s="7"/>
      <c r="H54" s="7"/>
    </row>
    <row r="55" spans="1:8" s="5" customFormat="1" ht="47" hidden="1">
      <c r="A55" s="54" t="s">
        <v>668</v>
      </c>
      <c r="B55" s="54" t="s">
        <v>734</v>
      </c>
      <c r="C55" s="54" t="s">
        <v>732</v>
      </c>
      <c r="D55" s="35"/>
      <c r="E55" s="35"/>
      <c r="F55" s="35"/>
      <c r="G55" s="7"/>
      <c r="H55" s="7"/>
    </row>
    <row r="56" spans="1:8" s="5" customFormat="1" ht="70.5" hidden="1">
      <c r="A56" s="54" t="s">
        <v>668</v>
      </c>
      <c r="B56" s="54" t="s">
        <v>737</v>
      </c>
      <c r="C56" s="54" t="s">
        <v>732</v>
      </c>
      <c r="D56" s="35"/>
      <c r="E56" s="35"/>
      <c r="F56" s="35"/>
      <c r="G56" s="7"/>
      <c r="H56" s="7"/>
    </row>
    <row r="57" spans="1:8" s="5" customFormat="1" ht="47" hidden="1">
      <c r="A57" s="54" t="s">
        <v>668</v>
      </c>
      <c r="B57" s="54" t="s">
        <v>739</v>
      </c>
      <c r="C57" s="54" t="s">
        <v>732</v>
      </c>
      <c r="D57" s="35"/>
      <c r="E57" s="35"/>
      <c r="F57" s="35"/>
      <c r="G57" s="7"/>
      <c r="H57" s="7"/>
    </row>
    <row r="58" spans="1:8" s="5" customFormat="1" ht="47" hidden="1">
      <c r="A58" s="54" t="s">
        <v>668</v>
      </c>
      <c r="B58" s="54" t="s">
        <v>750</v>
      </c>
      <c r="C58" s="54" t="s">
        <v>732</v>
      </c>
      <c r="D58" s="35"/>
      <c r="E58" s="35"/>
      <c r="F58" s="35"/>
      <c r="G58" s="7"/>
      <c r="H58" s="7"/>
    </row>
    <row r="59" spans="1:8" s="5" customFormat="1" ht="70.5" hidden="1">
      <c r="A59" s="54" t="s">
        <v>668</v>
      </c>
      <c r="B59" s="54" t="s">
        <v>751</v>
      </c>
      <c r="C59" s="54" t="s">
        <v>732</v>
      </c>
      <c r="D59" s="35"/>
      <c r="E59" s="35"/>
      <c r="F59" s="35"/>
      <c r="G59" s="7"/>
      <c r="H59" s="7"/>
    </row>
    <row r="60" spans="1:8" s="5" customFormat="1" ht="70.5" hidden="1">
      <c r="A60" s="54" t="s">
        <v>668</v>
      </c>
      <c r="B60" s="54" t="s">
        <v>743</v>
      </c>
      <c r="C60" s="54" t="s">
        <v>744</v>
      </c>
      <c r="D60" s="35"/>
      <c r="E60" s="35"/>
      <c r="F60" s="35"/>
      <c r="G60" s="7"/>
      <c r="H60" s="7"/>
    </row>
    <row r="61" spans="1:8" s="5" customFormat="1" ht="70.5" hidden="1">
      <c r="A61" s="54" t="s">
        <v>668</v>
      </c>
      <c r="B61" s="54" t="s">
        <v>253</v>
      </c>
      <c r="C61" s="54" t="s">
        <v>250</v>
      </c>
      <c r="D61" s="35"/>
      <c r="E61" s="35"/>
      <c r="F61" s="35"/>
      <c r="G61" s="7"/>
      <c r="H61" s="7"/>
    </row>
    <row r="62" spans="1:8" s="5" customFormat="1" ht="70.5" hidden="1">
      <c r="A62" s="54" t="s">
        <v>668</v>
      </c>
      <c r="B62" s="54" t="s">
        <v>795</v>
      </c>
      <c r="C62" s="54" t="s">
        <v>793</v>
      </c>
      <c r="D62" s="35"/>
      <c r="E62" s="35"/>
      <c r="F62" s="35"/>
      <c r="G62" s="7"/>
      <c r="H62" s="7"/>
    </row>
    <row r="63" spans="1:8" s="5" customFormat="1" ht="70.5" hidden="1">
      <c r="A63" s="54" t="s">
        <v>68</v>
      </c>
      <c r="B63" s="54" t="s">
        <v>64</v>
      </c>
      <c r="C63" s="54" t="s">
        <v>66</v>
      </c>
      <c r="D63" s="35"/>
      <c r="E63" s="35"/>
      <c r="F63" s="35"/>
      <c r="G63" s="7"/>
      <c r="H63" s="7"/>
    </row>
    <row r="64" spans="1:8" s="5" customFormat="1" ht="70.5" hidden="1">
      <c r="A64" s="54" t="s">
        <v>68</v>
      </c>
      <c r="B64" s="54" t="s">
        <v>71</v>
      </c>
      <c r="C64" s="54" t="s">
        <v>66</v>
      </c>
      <c r="D64" s="35"/>
      <c r="E64" s="35"/>
      <c r="F64" s="35"/>
      <c r="G64" s="7"/>
      <c r="H64" s="7"/>
    </row>
    <row r="65" spans="1:8" s="5" customFormat="1" ht="70.5" hidden="1">
      <c r="A65" s="54" t="s">
        <v>68</v>
      </c>
      <c r="B65" s="54" t="s">
        <v>806</v>
      </c>
      <c r="C65" s="54" t="s">
        <v>797</v>
      </c>
      <c r="D65" s="35"/>
      <c r="E65" s="35"/>
      <c r="F65" s="35"/>
      <c r="G65" s="7"/>
      <c r="H65" s="7"/>
    </row>
    <row r="66" spans="1:8" s="5" customFormat="1" ht="70.5" hidden="1">
      <c r="A66" s="54" t="s">
        <v>68</v>
      </c>
      <c r="B66" s="54" t="s">
        <v>807</v>
      </c>
      <c r="C66" s="54" t="s">
        <v>797</v>
      </c>
      <c r="D66" s="35"/>
      <c r="E66" s="35"/>
      <c r="F66" s="35"/>
      <c r="G66" s="7"/>
      <c r="H66" s="7"/>
    </row>
    <row r="67" spans="1:8" s="5" customFormat="1" ht="70.5" hidden="1">
      <c r="A67" s="54" t="s">
        <v>68</v>
      </c>
      <c r="B67" s="54" t="s">
        <v>808</v>
      </c>
      <c r="C67" s="54" t="s">
        <v>797</v>
      </c>
      <c r="D67" s="35"/>
      <c r="E67" s="35"/>
      <c r="F67" s="35"/>
      <c r="G67" s="7"/>
      <c r="H67" s="7"/>
    </row>
    <row r="68" spans="1:8" s="5" customFormat="1" ht="70.5" hidden="1">
      <c r="A68" s="54" t="s">
        <v>68</v>
      </c>
      <c r="B68" s="54" t="s">
        <v>809</v>
      </c>
      <c r="C68" s="54" t="s">
        <v>797</v>
      </c>
      <c r="D68" s="35"/>
      <c r="E68" s="35"/>
      <c r="F68" s="35"/>
      <c r="G68" s="7"/>
      <c r="H68" s="7"/>
    </row>
    <row r="69" spans="1:8" s="5" customFormat="1" ht="70.5" hidden="1">
      <c r="A69" s="54" t="s">
        <v>68</v>
      </c>
      <c r="B69" s="54" t="s">
        <v>810</v>
      </c>
      <c r="C69" s="54" t="s">
        <v>797</v>
      </c>
      <c r="D69" s="35"/>
      <c r="E69" s="35"/>
      <c r="F69" s="35"/>
      <c r="G69" s="7"/>
      <c r="H69" s="7"/>
    </row>
    <row r="70" spans="1:8" s="5" customFormat="1" ht="70.5" hidden="1">
      <c r="A70" s="54" t="s">
        <v>68</v>
      </c>
      <c r="B70" s="54" t="s">
        <v>811</v>
      </c>
      <c r="C70" s="54" t="s">
        <v>797</v>
      </c>
      <c r="D70" s="35"/>
      <c r="E70" s="35"/>
      <c r="F70" s="35"/>
      <c r="G70" s="7"/>
      <c r="H70" s="7"/>
    </row>
    <row r="71" spans="1:8" s="5" customFormat="1" ht="47" hidden="1">
      <c r="A71" s="54" t="s">
        <v>68</v>
      </c>
      <c r="B71" s="54" t="s">
        <v>812</v>
      </c>
      <c r="C71" s="54" t="s">
        <v>797</v>
      </c>
      <c r="D71" s="35"/>
      <c r="E71" s="35"/>
      <c r="F71" s="35"/>
      <c r="G71" s="7"/>
      <c r="H71" s="7"/>
    </row>
    <row r="72" spans="1:8" s="5" customFormat="1" ht="70.5" hidden="1">
      <c r="A72" s="54" t="s">
        <v>68</v>
      </c>
      <c r="B72" s="54" t="s">
        <v>813</v>
      </c>
      <c r="C72" s="54" t="s">
        <v>797</v>
      </c>
      <c r="D72" s="35"/>
      <c r="E72" s="35"/>
      <c r="F72" s="35"/>
      <c r="G72" s="7"/>
      <c r="H72" s="7"/>
    </row>
    <row r="73" spans="1:8" s="5" customFormat="1" ht="70.5" hidden="1">
      <c r="A73" s="54" t="s">
        <v>68</v>
      </c>
      <c r="B73" s="54" t="s">
        <v>814</v>
      </c>
      <c r="C73" s="54" t="s">
        <v>797</v>
      </c>
      <c r="D73" s="35"/>
      <c r="E73" s="35"/>
      <c r="F73" s="35"/>
      <c r="G73" s="7"/>
      <c r="H73" s="7"/>
    </row>
    <row r="74" spans="1:8" s="5" customFormat="1" ht="70.5" hidden="1">
      <c r="A74" s="54" t="s">
        <v>68</v>
      </c>
      <c r="B74" s="54" t="s">
        <v>104</v>
      </c>
      <c r="C74" s="54" t="s">
        <v>103</v>
      </c>
      <c r="D74" s="35"/>
      <c r="E74" s="35"/>
      <c r="F74" s="35"/>
      <c r="G74" s="7"/>
      <c r="H74" s="7"/>
    </row>
    <row r="75" spans="1:8" s="5" customFormat="1" ht="70.5" hidden="1">
      <c r="A75" s="54" t="s">
        <v>68</v>
      </c>
      <c r="B75" s="54" t="s">
        <v>109</v>
      </c>
      <c r="C75" s="54" t="s">
        <v>103</v>
      </c>
      <c r="D75" s="35"/>
      <c r="E75" s="35"/>
      <c r="F75" s="35"/>
      <c r="G75" s="7"/>
      <c r="H75" s="7"/>
    </row>
    <row r="76" spans="1:8" s="5" customFormat="1" ht="47" hidden="1">
      <c r="A76" s="54" t="s">
        <v>68</v>
      </c>
      <c r="B76" s="54" t="s">
        <v>113</v>
      </c>
      <c r="C76" s="54" t="s">
        <v>103</v>
      </c>
      <c r="D76" s="35"/>
      <c r="E76" s="35"/>
      <c r="F76" s="35"/>
      <c r="G76" s="7"/>
      <c r="H76" s="7"/>
    </row>
    <row r="77" spans="1:8" s="5" customFormat="1" ht="70.5" hidden="1">
      <c r="A77" s="54" t="s">
        <v>68</v>
      </c>
      <c r="B77" s="54" t="s">
        <v>115</v>
      </c>
      <c r="C77" s="54" t="s">
        <v>116</v>
      </c>
      <c r="D77" s="35"/>
      <c r="E77" s="35"/>
      <c r="F77" s="35"/>
      <c r="G77" s="7"/>
      <c r="H77" s="7"/>
    </row>
    <row r="78" spans="1:8" s="5" customFormat="1" ht="47" hidden="1">
      <c r="A78" s="54" t="s">
        <v>68</v>
      </c>
      <c r="B78" s="54" t="s">
        <v>128</v>
      </c>
      <c r="C78" s="54" t="s">
        <v>127</v>
      </c>
      <c r="D78" s="35"/>
      <c r="E78" s="35"/>
      <c r="F78" s="35"/>
      <c r="G78" s="7"/>
      <c r="H78" s="7"/>
    </row>
    <row r="79" spans="1:8" s="5" customFormat="1" ht="47" hidden="1">
      <c r="A79" s="54" t="s">
        <v>68</v>
      </c>
      <c r="B79" s="54" t="s">
        <v>129</v>
      </c>
      <c r="C79" s="54" t="s">
        <v>127</v>
      </c>
      <c r="D79" s="35"/>
      <c r="E79" s="35"/>
      <c r="F79" s="35"/>
      <c r="G79" s="7"/>
      <c r="H79" s="7"/>
    </row>
    <row r="80" spans="1:8" s="5" customFormat="1" ht="47" hidden="1">
      <c r="A80" s="54" t="s">
        <v>68</v>
      </c>
      <c r="B80" s="54" t="s">
        <v>132</v>
      </c>
      <c r="C80" s="54" t="s">
        <v>127</v>
      </c>
      <c r="D80" s="35"/>
      <c r="E80" s="35"/>
      <c r="F80" s="35"/>
      <c r="G80" s="7"/>
      <c r="H80" s="7"/>
    </row>
    <row r="81" spans="1:8" s="5" customFormat="1" ht="70.5" hidden="1">
      <c r="A81" s="54" t="s">
        <v>68</v>
      </c>
      <c r="B81" s="54" t="s">
        <v>134</v>
      </c>
      <c r="C81" s="54" t="s">
        <v>127</v>
      </c>
      <c r="D81" s="35"/>
      <c r="E81" s="35"/>
      <c r="F81" s="35"/>
      <c r="G81" s="7"/>
      <c r="H81" s="7"/>
    </row>
    <row r="82" spans="1:8" s="5" customFormat="1" ht="47" hidden="1">
      <c r="A82" s="54" t="s">
        <v>68</v>
      </c>
      <c r="B82" s="54" t="s">
        <v>137</v>
      </c>
      <c r="C82" s="54" t="s">
        <v>127</v>
      </c>
      <c r="D82" s="35"/>
      <c r="E82" s="35"/>
      <c r="F82" s="35"/>
      <c r="G82" s="7"/>
      <c r="H82" s="7"/>
    </row>
    <row r="83" spans="1:8" s="5" customFormat="1" ht="70.5" hidden="1">
      <c r="A83" s="54" t="s">
        <v>68</v>
      </c>
      <c r="B83" s="54" t="s">
        <v>140</v>
      </c>
      <c r="C83" s="54" t="s">
        <v>127</v>
      </c>
      <c r="D83" s="35"/>
      <c r="E83" s="35"/>
      <c r="F83" s="35"/>
      <c r="G83" s="7"/>
      <c r="H83" s="7"/>
    </row>
    <row r="84" spans="1:8" s="5" customFormat="1" ht="70.5" hidden="1">
      <c r="A84" s="54" t="s">
        <v>68</v>
      </c>
      <c r="B84" s="54" t="s">
        <v>117</v>
      </c>
      <c r="C84" s="54" t="s">
        <v>118</v>
      </c>
      <c r="D84" s="35"/>
      <c r="E84" s="35"/>
      <c r="F84" s="35"/>
      <c r="G84" s="7"/>
      <c r="H84" s="7"/>
    </row>
    <row r="85" spans="1:8" s="5" customFormat="1" ht="47" hidden="1">
      <c r="A85" s="54" t="s">
        <v>68</v>
      </c>
      <c r="B85" s="54" t="s">
        <v>151</v>
      </c>
      <c r="C85" s="54" t="s">
        <v>143</v>
      </c>
      <c r="D85" s="35"/>
      <c r="E85" s="35"/>
      <c r="F85" s="35"/>
      <c r="G85" s="7"/>
      <c r="H85" s="7"/>
    </row>
    <row r="86" spans="1:8" s="5" customFormat="1" ht="47" hidden="1">
      <c r="A86" s="54" t="s">
        <v>68</v>
      </c>
      <c r="B86" s="54" t="s">
        <v>164</v>
      </c>
      <c r="C86" s="54" t="s">
        <v>143</v>
      </c>
      <c r="D86" s="35"/>
      <c r="E86" s="35"/>
      <c r="F86" s="35"/>
      <c r="G86" s="7"/>
      <c r="H86" s="7"/>
    </row>
    <row r="87" spans="1:8" s="5" customFormat="1" ht="70.5" hidden="1">
      <c r="A87" s="54" t="s">
        <v>68</v>
      </c>
      <c r="B87" s="54" t="s">
        <v>167</v>
      </c>
      <c r="C87" s="54" t="s">
        <v>143</v>
      </c>
      <c r="D87" s="35"/>
      <c r="E87" s="35"/>
      <c r="F87" s="35"/>
      <c r="G87" s="7"/>
      <c r="H87" s="7"/>
    </row>
    <row r="88" spans="1:8" s="5" customFormat="1" ht="70.5" hidden="1">
      <c r="A88" s="54" t="s">
        <v>68</v>
      </c>
      <c r="B88" s="54" t="s">
        <v>168</v>
      </c>
      <c r="C88" s="54" t="s">
        <v>143</v>
      </c>
      <c r="D88" s="35"/>
      <c r="E88" s="35"/>
      <c r="F88" s="35"/>
      <c r="G88" s="7"/>
      <c r="H88" s="7"/>
    </row>
    <row r="89" spans="1:8" s="5" customFormat="1" ht="47" hidden="1">
      <c r="A89" s="54" t="s">
        <v>68</v>
      </c>
      <c r="B89" s="54" t="s">
        <v>179</v>
      </c>
      <c r="C89" s="54" t="s">
        <v>143</v>
      </c>
      <c r="D89" s="35"/>
      <c r="E89" s="35"/>
      <c r="F89" s="35"/>
      <c r="G89" s="7"/>
      <c r="H89" s="7"/>
    </row>
    <row r="90" spans="1:8" s="5" customFormat="1" ht="47" hidden="1">
      <c r="A90" s="54" t="s">
        <v>68</v>
      </c>
      <c r="B90" s="54" t="s">
        <v>182</v>
      </c>
      <c r="C90" s="54" t="s">
        <v>143</v>
      </c>
      <c r="D90" s="35"/>
      <c r="E90" s="35"/>
      <c r="F90" s="35"/>
      <c r="G90" s="7"/>
      <c r="H90" s="7"/>
    </row>
    <row r="91" spans="1:8" s="5" customFormat="1" ht="70.5">
      <c r="A91" s="54" t="s">
        <v>68</v>
      </c>
      <c r="B91" s="54" t="s">
        <v>183</v>
      </c>
      <c r="C91" s="54" t="s">
        <v>143</v>
      </c>
      <c r="D91" s="35"/>
      <c r="E91" s="35"/>
      <c r="F91" s="35"/>
      <c r="G91" s="7"/>
      <c r="H91" s="7"/>
    </row>
    <row r="92" spans="1:8" s="5" customFormat="1" ht="47" hidden="1">
      <c r="A92" s="54" t="s">
        <v>68</v>
      </c>
      <c r="B92" s="54" t="s">
        <v>188</v>
      </c>
      <c r="C92" s="54" t="s">
        <v>143</v>
      </c>
      <c r="D92" s="35"/>
      <c r="E92" s="35"/>
      <c r="F92" s="35"/>
      <c r="G92" s="7"/>
      <c r="H92" s="7"/>
    </row>
    <row r="93" spans="1:8" s="5" customFormat="1" ht="23.5" hidden="1">
      <c r="A93" s="54" t="s">
        <v>68</v>
      </c>
      <c r="B93" s="54" t="s">
        <v>242</v>
      </c>
      <c r="C93" s="54" t="s">
        <v>243</v>
      </c>
      <c r="D93" s="35"/>
      <c r="E93" s="35"/>
      <c r="F93" s="35"/>
      <c r="G93" s="7"/>
      <c r="H93" s="7"/>
    </row>
    <row r="94" spans="1:8" s="5" customFormat="1" ht="94" hidden="1">
      <c r="A94" s="54" t="s">
        <v>68</v>
      </c>
      <c r="B94" s="54" t="s">
        <v>245</v>
      </c>
      <c r="C94" s="54" t="s">
        <v>246</v>
      </c>
      <c r="D94" s="35"/>
      <c r="E94" s="35"/>
      <c r="F94" s="35"/>
      <c r="G94" s="7"/>
      <c r="H94" s="7"/>
    </row>
    <row r="95" spans="1:8" s="5" customFormat="1" ht="70.5" hidden="1">
      <c r="A95" s="54" t="s">
        <v>68</v>
      </c>
      <c r="B95" s="54" t="s">
        <v>247</v>
      </c>
      <c r="C95" s="54" t="s">
        <v>246</v>
      </c>
      <c r="D95" s="35"/>
      <c r="E95" s="35"/>
      <c r="F95" s="35"/>
      <c r="G95" s="7"/>
      <c r="H95" s="7"/>
    </row>
    <row r="96" spans="1:8" s="5" customFormat="1" ht="47" hidden="1">
      <c r="A96" s="54" t="s">
        <v>68</v>
      </c>
      <c r="B96" s="54" t="s">
        <v>261</v>
      </c>
      <c r="C96" s="54" t="s">
        <v>260</v>
      </c>
      <c r="D96" s="35"/>
      <c r="E96" s="35"/>
      <c r="F96" s="35"/>
      <c r="G96" s="7"/>
      <c r="H96" s="7"/>
    </row>
    <row r="97" spans="1:8" s="5" customFormat="1" ht="47" hidden="1">
      <c r="A97" s="54" t="s">
        <v>68</v>
      </c>
      <c r="B97" s="54" t="s">
        <v>262</v>
      </c>
      <c r="C97" s="54" t="s">
        <v>260</v>
      </c>
      <c r="D97" s="35"/>
      <c r="E97" s="35"/>
      <c r="F97" s="35"/>
      <c r="G97" s="7"/>
      <c r="H97" s="7"/>
    </row>
    <row r="98" spans="1:8" s="5" customFormat="1" ht="47" hidden="1">
      <c r="A98" s="54" t="s">
        <v>68</v>
      </c>
      <c r="B98" s="65" t="s">
        <v>263</v>
      </c>
      <c r="C98" s="54" t="s">
        <v>260</v>
      </c>
      <c r="D98" s="35"/>
      <c r="E98" s="35"/>
      <c r="F98" s="35"/>
      <c r="G98" s="7"/>
      <c r="H98" s="7"/>
    </row>
    <row r="99" spans="1:8" s="5" customFormat="1" ht="47" hidden="1">
      <c r="A99" s="54" t="s">
        <v>68</v>
      </c>
      <c r="B99" s="54" t="s">
        <v>264</v>
      </c>
      <c r="C99" s="54" t="s">
        <v>260</v>
      </c>
      <c r="D99" s="35"/>
      <c r="E99" s="35"/>
      <c r="F99" s="35"/>
      <c r="G99" s="7"/>
      <c r="H99" s="7"/>
    </row>
    <row r="100" spans="1:8" s="5" customFormat="1" ht="70.5" hidden="1">
      <c r="A100" s="54" t="s">
        <v>68</v>
      </c>
      <c r="B100" s="54" t="s">
        <v>815</v>
      </c>
      <c r="C100" s="54" t="s">
        <v>816</v>
      </c>
      <c r="D100" s="35"/>
      <c r="E100" s="35"/>
      <c r="F100" s="35"/>
      <c r="G100" s="7"/>
      <c r="H100" s="7"/>
    </row>
    <row r="101" spans="1:8" s="5" customFormat="1" ht="70.5" hidden="1">
      <c r="A101" s="54" t="s">
        <v>68</v>
      </c>
      <c r="B101" s="54" t="s">
        <v>817</v>
      </c>
      <c r="C101" s="54" t="s">
        <v>295</v>
      </c>
      <c r="D101" s="35"/>
      <c r="E101" s="35"/>
      <c r="F101" s="35"/>
      <c r="G101" s="7"/>
      <c r="H101" s="7"/>
    </row>
    <row r="102" spans="1:8" s="5" customFormat="1" ht="47" hidden="1">
      <c r="A102" s="54" t="s">
        <v>68</v>
      </c>
      <c r="B102" s="54" t="s">
        <v>302</v>
      </c>
      <c r="C102" s="54" t="s">
        <v>298</v>
      </c>
      <c r="D102" s="35"/>
      <c r="E102" s="35"/>
      <c r="F102" s="35"/>
      <c r="G102" s="7"/>
      <c r="H102" s="7"/>
    </row>
    <row r="103" spans="1:8" s="5" customFormat="1" ht="70.5" hidden="1">
      <c r="A103" s="54" t="s">
        <v>668</v>
      </c>
      <c r="B103" s="54" t="s">
        <v>308</v>
      </c>
      <c r="C103" s="54" t="s">
        <v>298</v>
      </c>
      <c r="D103" s="35"/>
      <c r="E103" s="35"/>
      <c r="F103" s="35"/>
      <c r="G103" s="7"/>
      <c r="H103" s="7"/>
    </row>
    <row r="104" spans="1:8" s="5" customFormat="1" ht="47" hidden="1">
      <c r="A104" s="54" t="s">
        <v>68</v>
      </c>
      <c r="B104" s="54" t="s">
        <v>310</v>
      </c>
      <c r="C104" s="54" t="s">
        <v>298</v>
      </c>
      <c r="D104" s="35"/>
      <c r="E104" s="35"/>
      <c r="F104" s="35"/>
      <c r="G104" s="7"/>
      <c r="H104" s="7"/>
    </row>
    <row r="105" spans="1:8" s="5" customFormat="1" ht="70.5" hidden="1">
      <c r="A105" s="54" t="s">
        <v>68</v>
      </c>
      <c r="B105" s="54" t="s">
        <v>317</v>
      </c>
      <c r="C105" s="54" t="s">
        <v>298</v>
      </c>
      <c r="D105" s="35"/>
      <c r="E105" s="35"/>
      <c r="F105" s="35"/>
      <c r="G105" s="7"/>
      <c r="H105" s="7"/>
    </row>
    <row r="106" spans="1:8" s="5" customFormat="1" ht="70.5" hidden="1">
      <c r="A106" s="54" t="s">
        <v>68</v>
      </c>
      <c r="B106" s="54" t="s">
        <v>318</v>
      </c>
      <c r="C106" s="54" t="s">
        <v>298</v>
      </c>
      <c r="D106" s="35"/>
      <c r="E106" s="35"/>
      <c r="F106" s="35"/>
      <c r="G106" s="7"/>
      <c r="H106" s="7"/>
    </row>
    <row r="107" spans="1:8" s="5" customFormat="1" ht="70.5" hidden="1">
      <c r="A107" s="54" t="s">
        <v>68</v>
      </c>
      <c r="B107" s="54" t="s">
        <v>325</v>
      </c>
      <c r="C107" s="54" t="s">
        <v>298</v>
      </c>
      <c r="D107" s="35"/>
      <c r="E107" s="35"/>
      <c r="F107" s="35"/>
      <c r="G107" s="7"/>
      <c r="H107" s="7"/>
    </row>
    <row r="108" spans="1:8" s="5" customFormat="1" ht="70.5" hidden="1">
      <c r="A108" s="54" t="s">
        <v>68</v>
      </c>
      <c r="B108" s="54" t="s">
        <v>326</v>
      </c>
      <c r="C108" s="54" t="s">
        <v>298</v>
      </c>
      <c r="D108" s="35"/>
      <c r="E108" s="35"/>
      <c r="F108" s="35"/>
      <c r="G108" s="7"/>
      <c r="H108" s="7"/>
    </row>
    <row r="109" spans="1:8" s="5" customFormat="1" ht="70.5" hidden="1">
      <c r="A109" s="54" t="s">
        <v>68</v>
      </c>
      <c r="B109" s="54" t="s">
        <v>333</v>
      </c>
      <c r="C109" s="54" t="s">
        <v>298</v>
      </c>
      <c r="D109" s="35"/>
      <c r="E109" s="35"/>
      <c r="F109" s="35"/>
      <c r="G109" s="7"/>
      <c r="H109" s="7"/>
    </row>
    <row r="110" spans="1:8" s="5" customFormat="1" ht="47" hidden="1">
      <c r="A110" s="54" t="s">
        <v>68</v>
      </c>
      <c r="B110" s="54" t="s">
        <v>343</v>
      </c>
      <c r="C110" s="54" t="s">
        <v>298</v>
      </c>
      <c r="D110" s="35"/>
      <c r="E110" s="35"/>
      <c r="F110" s="35"/>
      <c r="G110" s="7"/>
      <c r="H110" s="7"/>
    </row>
    <row r="111" spans="1:8" s="5" customFormat="1" ht="70.5" hidden="1">
      <c r="A111" s="54" t="s">
        <v>68</v>
      </c>
      <c r="B111" s="54" t="s">
        <v>345</v>
      </c>
      <c r="C111" s="54" t="s">
        <v>298</v>
      </c>
      <c r="D111" s="35"/>
      <c r="E111" s="35"/>
      <c r="F111" s="35"/>
      <c r="G111" s="7"/>
      <c r="H111" s="7"/>
    </row>
    <row r="112" spans="1:8" s="5" customFormat="1" ht="70.5" hidden="1">
      <c r="A112" s="54" t="s">
        <v>68</v>
      </c>
      <c r="B112" s="54" t="s">
        <v>348</v>
      </c>
      <c r="C112" s="54" t="s">
        <v>298</v>
      </c>
      <c r="D112" s="35"/>
      <c r="E112" s="35"/>
      <c r="F112" s="35"/>
      <c r="G112" s="7"/>
      <c r="H112" s="7"/>
    </row>
    <row r="113" spans="1:8" s="5" customFormat="1" ht="70.5" hidden="1">
      <c r="A113" s="54" t="s">
        <v>68</v>
      </c>
      <c r="B113" s="54" t="s">
        <v>351</v>
      </c>
      <c r="C113" s="54" t="s">
        <v>298</v>
      </c>
      <c r="D113" s="35"/>
      <c r="E113" s="35"/>
      <c r="F113" s="35"/>
      <c r="G113" s="7"/>
      <c r="H113" s="7"/>
    </row>
    <row r="114" spans="1:8" s="5" customFormat="1" ht="70.5" hidden="1">
      <c r="A114" s="54" t="s">
        <v>68</v>
      </c>
      <c r="B114" s="54" t="s">
        <v>353</v>
      </c>
      <c r="C114" s="54" t="s">
        <v>298</v>
      </c>
      <c r="D114" s="35"/>
      <c r="E114" s="35"/>
      <c r="F114" s="35"/>
      <c r="G114" s="7"/>
      <c r="H114" s="7"/>
    </row>
    <row r="115" spans="1:8" s="5" customFormat="1" ht="70.5" hidden="1">
      <c r="A115" s="54" t="s">
        <v>68</v>
      </c>
      <c r="B115" s="54" t="s">
        <v>818</v>
      </c>
      <c r="C115" s="54" t="s">
        <v>363</v>
      </c>
      <c r="D115" s="35"/>
      <c r="E115" s="35"/>
      <c r="F115" s="35"/>
      <c r="G115" s="7"/>
      <c r="H115" s="7"/>
    </row>
    <row r="116" spans="1:8" s="5" customFormat="1" ht="70.5" hidden="1">
      <c r="A116" s="54" t="s">
        <v>68</v>
      </c>
      <c r="B116" s="54" t="s">
        <v>365</v>
      </c>
      <c r="C116" s="54" t="s">
        <v>366</v>
      </c>
      <c r="D116" s="35"/>
      <c r="E116" s="35"/>
      <c r="F116" s="35"/>
      <c r="G116" s="7"/>
      <c r="H116" s="7"/>
    </row>
    <row r="117" spans="1:8" s="5" customFormat="1" ht="70.5" hidden="1">
      <c r="A117" s="54" t="s">
        <v>68</v>
      </c>
      <c r="B117" s="54" t="s">
        <v>367</v>
      </c>
      <c r="C117" s="54" t="s">
        <v>366</v>
      </c>
      <c r="D117" s="35"/>
      <c r="E117" s="35"/>
      <c r="F117" s="35"/>
      <c r="G117" s="7"/>
      <c r="H117" s="7"/>
    </row>
    <row r="118" spans="1:8" s="5" customFormat="1" ht="70.5" hidden="1">
      <c r="A118" s="54" t="s">
        <v>68</v>
      </c>
      <c r="B118" s="54" t="s">
        <v>368</v>
      </c>
      <c r="C118" s="54" t="s">
        <v>366</v>
      </c>
      <c r="D118" s="35"/>
      <c r="E118" s="35"/>
      <c r="F118" s="35"/>
      <c r="G118" s="7"/>
      <c r="H118" s="7"/>
    </row>
    <row r="119" spans="1:8" s="5" customFormat="1" ht="70.5" hidden="1">
      <c r="A119" s="54" t="s">
        <v>68</v>
      </c>
      <c r="B119" s="54" t="s">
        <v>369</v>
      </c>
      <c r="C119" s="54" t="s">
        <v>366</v>
      </c>
      <c r="D119" s="35"/>
      <c r="E119" s="35"/>
      <c r="F119" s="35"/>
      <c r="G119" s="7"/>
      <c r="H119" s="7"/>
    </row>
    <row r="120" spans="1:8" s="5" customFormat="1" ht="70.5" hidden="1">
      <c r="A120" s="54" t="s">
        <v>68</v>
      </c>
      <c r="B120" s="54" t="s">
        <v>370</v>
      </c>
      <c r="C120" s="54" t="s">
        <v>366</v>
      </c>
      <c r="D120" s="35"/>
      <c r="E120" s="35"/>
      <c r="F120" s="35"/>
      <c r="G120" s="7"/>
      <c r="H120" s="7"/>
    </row>
    <row r="121" spans="1:8" s="5" customFormat="1" ht="70.5" hidden="1">
      <c r="A121" s="54" t="s">
        <v>68</v>
      </c>
      <c r="B121" s="54" t="s">
        <v>371</v>
      </c>
      <c r="C121" s="54" t="s">
        <v>366</v>
      </c>
      <c r="D121" s="35"/>
      <c r="E121" s="35"/>
      <c r="F121" s="35"/>
      <c r="G121" s="7"/>
      <c r="H121" s="7"/>
    </row>
    <row r="122" spans="1:8" s="5" customFormat="1" ht="70.5" hidden="1">
      <c r="A122" s="54" t="s">
        <v>68</v>
      </c>
      <c r="B122" s="54" t="s">
        <v>380</v>
      </c>
      <c r="C122" s="54" t="s">
        <v>377</v>
      </c>
      <c r="D122" s="35"/>
      <c r="E122" s="35"/>
      <c r="F122" s="35"/>
      <c r="G122" s="7"/>
      <c r="H122" s="7"/>
    </row>
    <row r="123" spans="1:8" s="5" customFormat="1" ht="70.5" hidden="1">
      <c r="A123" s="54" t="s">
        <v>68</v>
      </c>
      <c r="B123" s="54" t="s">
        <v>382</v>
      </c>
      <c r="C123" s="54" t="s">
        <v>377</v>
      </c>
      <c r="D123" s="35"/>
      <c r="E123" s="35"/>
      <c r="F123" s="35"/>
      <c r="G123" s="7"/>
      <c r="H123" s="7"/>
    </row>
    <row r="124" spans="1:8" s="5" customFormat="1" ht="47" hidden="1">
      <c r="A124" s="54" t="s">
        <v>68</v>
      </c>
      <c r="B124" s="54" t="s">
        <v>384</v>
      </c>
      <c r="C124" s="54" t="s">
        <v>377</v>
      </c>
      <c r="D124" s="35"/>
      <c r="E124" s="35"/>
      <c r="F124" s="35"/>
      <c r="G124" s="7"/>
      <c r="H124" s="7"/>
    </row>
    <row r="125" spans="1:8" s="5" customFormat="1" ht="70.5" hidden="1">
      <c r="A125" s="54" t="s">
        <v>68</v>
      </c>
      <c r="B125" s="54" t="s">
        <v>385</v>
      </c>
      <c r="C125" s="54" t="s">
        <v>377</v>
      </c>
      <c r="D125" s="35"/>
      <c r="E125" s="35"/>
      <c r="F125" s="35"/>
      <c r="G125" s="7"/>
      <c r="H125" s="7"/>
    </row>
    <row r="126" spans="1:8" s="5" customFormat="1" ht="70.5" hidden="1">
      <c r="A126" s="54" t="s">
        <v>68</v>
      </c>
      <c r="B126" s="54" t="s">
        <v>386</v>
      </c>
      <c r="C126" s="54" t="s">
        <v>377</v>
      </c>
      <c r="D126" s="35"/>
      <c r="E126" s="35"/>
      <c r="F126" s="35"/>
      <c r="G126" s="7"/>
      <c r="H126" s="7"/>
    </row>
    <row r="127" spans="1:8" s="5" customFormat="1" ht="70.5" hidden="1">
      <c r="A127" s="54" t="s">
        <v>68</v>
      </c>
      <c r="B127" s="54" t="s">
        <v>387</v>
      </c>
      <c r="C127" s="54" t="s">
        <v>377</v>
      </c>
      <c r="D127" s="35"/>
      <c r="E127" s="35"/>
      <c r="F127" s="35"/>
      <c r="G127" s="7"/>
      <c r="H127" s="7"/>
    </row>
    <row r="128" spans="1:8" s="5" customFormat="1" ht="94" hidden="1">
      <c r="A128" s="54" t="s">
        <v>68</v>
      </c>
      <c r="B128" s="54" t="s">
        <v>391</v>
      </c>
      <c r="C128" s="54" t="s">
        <v>377</v>
      </c>
      <c r="D128" s="35"/>
      <c r="E128" s="35"/>
      <c r="F128" s="35"/>
      <c r="G128" s="7"/>
      <c r="H128" s="7"/>
    </row>
    <row r="129" spans="1:8" s="5" customFormat="1" ht="47" hidden="1">
      <c r="A129" s="54" t="s">
        <v>68</v>
      </c>
      <c r="B129" s="54" t="s">
        <v>393</v>
      </c>
      <c r="C129" s="54" t="s">
        <v>394</v>
      </c>
      <c r="D129" s="35"/>
      <c r="E129" s="35"/>
      <c r="F129" s="35"/>
      <c r="G129" s="7"/>
      <c r="H129" s="7"/>
    </row>
    <row r="130" spans="1:8" s="5" customFormat="1" ht="70.5" hidden="1">
      <c r="A130" s="54" t="s">
        <v>68</v>
      </c>
      <c r="B130" s="54" t="s">
        <v>395</v>
      </c>
      <c r="C130" s="54" t="s">
        <v>394</v>
      </c>
      <c r="D130" s="35"/>
      <c r="E130" s="35"/>
      <c r="F130" s="35"/>
      <c r="G130" s="7"/>
      <c r="H130" s="7"/>
    </row>
    <row r="131" spans="1:8" s="5" customFormat="1" ht="70.5" hidden="1">
      <c r="A131" s="54" t="s">
        <v>68</v>
      </c>
      <c r="B131" s="54" t="s">
        <v>396</v>
      </c>
      <c r="C131" s="54" t="s">
        <v>394</v>
      </c>
      <c r="D131" s="35"/>
      <c r="E131" s="35"/>
      <c r="F131" s="35"/>
      <c r="G131" s="7"/>
      <c r="H131" s="7"/>
    </row>
    <row r="132" spans="1:8" s="5" customFormat="1" ht="70.5" hidden="1">
      <c r="A132" s="54" t="s">
        <v>68</v>
      </c>
      <c r="B132" s="54" t="s">
        <v>397</v>
      </c>
      <c r="C132" s="54" t="s">
        <v>394</v>
      </c>
      <c r="D132" s="35"/>
      <c r="E132" s="35"/>
      <c r="F132" s="35"/>
      <c r="G132" s="7"/>
      <c r="H132" s="7"/>
    </row>
    <row r="133" spans="1:8" s="5" customFormat="1" ht="70.5" hidden="1">
      <c r="A133" s="54" t="s">
        <v>68</v>
      </c>
      <c r="B133" s="54" t="s">
        <v>398</v>
      </c>
      <c r="C133" s="54" t="s">
        <v>394</v>
      </c>
      <c r="D133" s="35"/>
      <c r="E133" s="35"/>
      <c r="F133" s="35"/>
      <c r="G133" s="7"/>
      <c r="H133" s="7"/>
    </row>
    <row r="134" spans="1:8" s="5" customFormat="1" ht="70.5" hidden="1">
      <c r="A134" s="54" t="s">
        <v>68</v>
      </c>
      <c r="B134" s="54" t="s">
        <v>399</v>
      </c>
      <c r="C134" s="54" t="s">
        <v>394</v>
      </c>
      <c r="D134" s="35"/>
      <c r="E134" s="35"/>
      <c r="F134" s="35"/>
      <c r="G134" s="7"/>
      <c r="H134" s="7"/>
    </row>
    <row r="135" spans="1:8" s="5" customFormat="1" ht="70.5" hidden="1">
      <c r="A135" s="54" t="s">
        <v>68</v>
      </c>
      <c r="B135" s="54" t="s">
        <v>400</v>
      </c>
      <c r="C135" s="54" t="s">
        <v>394</v>
      </c>
      <c r="D135" s="35"/>
      <c r="E135" s="35"/>
      <c r="F135" s="35"/>
      <c r="G135" s="7"/>
      <c r="H135" s="7"/>
    </row>
    <row r="136" spans="1:8" s="5" customFormat="1" ht="47" hidden="1">
      <c r="A136" s="54" t="s">
        <v>68</v>
      </c>
      <c r="B136" s="54" t="s">
        <v>401</v>
      </c>
      <c r="C136" s="54" t="s">
        <v>394</v>
      </c>
      <c r="D136" s="35"/>
      <c r="E136" s="35"/>
      <c r="F136" s="35"/>
      <c r="G136" s="7"/>
      <c r="H136" s="7"/>
    </row>
    <row r="137" spans="1:8" s="5" customFormat="1" ht="47" hidden="1">
      <c r="A137" s="54" t="s">
        <v>68</v>
      </c>
      <c r="B137" s="54" t="s">
        <v>402</v>
      </c>
      <c r="C137" s="54" t="s">
        <v>394</v>
      </c>
      <c r="D137" s="35"/>
      <c r="E137" s="35"/>
      <c r="F137" s="35"/>
      <c r="G137" s="7"/>
      <c r="H137" s="7"/>
    </row>
    <row r="138" spans="1:8" s="5" customFormat="1" ht="47" hidden="1">
      <c r="A138" s="54" t="s">
        <v>68</v>
      </c>
      <c r="B138" s="54" t="s">
        <v>403</v>
      </c>
      <c r="C138" s="54" t="s">
        <v>394</v>
      </c>
      <c r="D138" s="35"/>
      <c r="E138" s="35"/>
      <c r="F138" s="35"/>
      <c r="G138" s="7"/>
      <c r="H138" s="7"/>
    </row>
    <row r="139" spans="1:8" s="5" customFormat="1" ht="70.5" hidden="1">
      <c r="A139" s="54" t="s">
        <v>68</v>
      </c>
      <c r="B139" s="54" t="s">
        <v>416</v>
      </c>
      <c r="C139" s="54" t="s">
        <v>415</v>
      </c>
      <c r="D139" s="35"/>
      <c r="E139" s="35"/>
      <c r="F139" s="35"/>
      <c r="G139" s="7"/>
      <c r="H139" s="7"/>
    </row>
    <row r="140" spans="1:8" s="5" customFormat="1" ht="23.5" hidden="1">
      <c r="A140" s="54" t="s">
        <v>68</v>
      </c>
      <c r="B140" s="54" t="s">
        <v>422</v>
      </c>
      <c r="C140" s="54" t="s">
        <v>423</v>
      </c>
      <c r="D140" s="35"/>
      <c r="E140" s="35"/>
      <c r="F140" s="35"/>
      <c r="G140" s="7"/>
      <c r="H140" s="7"/>
    </row>
    <row r="141" spans="1:8" s="5" customFormat="1" ht="70.5" hidden="1">
      <c r="A141" s="54" t="s">
        <v>68</v>
      </c>
      <c r="B141" s="54" t="s">
        <v>466</v>
      </c>
      <c r="C141" s="54" t="s">
        <v>467</v>
      </c>
      <c r="D141" s="35"/>
      <c r="E141" s="35"/>
      <c r="F141" s="35"/>
      <c r="G141" s="7"/>
      <c r="H141" s="7"/>
    </row>
    <row r="142" spans="1:8" s="5" customFormat="1" ht="47" hidden="1">
      <c r="A142" s="54" t="s">
        <v>68</v>
      </c>
      <c r="B142" s="54" t="s">
        <v>602</v>
      </c>
      <c r="C142" s="54" t="s">
        <v>603</v>
      </c>
      <c r="D142" s="35"/>
      <c r="E142" s="35"/>
      <c r="F142" s="35"/>
      <c r="G142" s="7"/>
      <c r="H142" s="7"/>
    </row>
    <row r="143" spans="1:8" s="5" customFormat="1" ht="47" hidden="1">
      <c r="A143" s="54" t="s">
        <v>68</v>
      </c>
      <c r="B143" s="54" t="s">
        <v>604</v>
      </c>
      <c r="C143" s="54" t="s">
        <v>603</v>
      </c>
      <c r="D143" s="35"/>
      <c r="E143" s="35"/>
      <c r="F143" s="35"/>
      <c r="G143" s="7"/>
      <c r="H143" s="7"/>
    </row>
    <row r="144" spans="1:8" s="5" customFormat="1" ht="70.5" hidden="1">
      <c r="A144" s="54" t="s">
        <v>68</v>
      </c>
      <c r="B144" s="54" t="s">
        <v>605</v>
      </c>
      <c r="C144" s="54" t="s">
        <v>603</v>
      </c>
      <c r="D144" s="35"/>
      <c r="E144" s="35"/>
      <c r="F144" s="35"/>
      <c r="G144" s="7"/>
      <c r="H144" s="7"/>
    </row>
    <row r="145" spans="1:8" s="5" customFormat="1" ht="47" hidden="1">
      <c r="A145" s="54" t="s">
        <v>68</v>
      </c>
      <c r="B145" s="54" t="s">
        <v>606</v>
      </c>
      <c r="C145" s="54" t="s">
        <v>603</v>
      </c>
      <c r="D145" s="35"/>
      <c r="E145" s="35"/>
      <c r="F145" s="35"/>
      <c r="G145" s="7"/>
      <c r="H145" s="7"/>
    </row>
    <row r="146" spans="1:8" s="5" customFormat="1" ht="47" hidden="1">
      <c r="A146" s="54" t="s">
        <v>68</v>
      </c>
      <c r="B146" s="54" t="s">
        <v>607</v>
      </c>
      <c r="C146" s="54" t="s">
        <v>603</v>
      </c>
      <c r="D146" s="35"/>
      <c r="E146" s="35"/>
      <c r="F146" s="35"/>
      <c r="G146" s="7"/>
      <c r="H146" s="7"/>
    </row>
    <row r="147" spans="1:8" s="5" customFormat="1" ht="47" hidden="1">
      <c r="A147" s="54" t="s">
        <v>68</v>
      </c>
      <c r="B147" s="54" t="s">
        <v>608</v>
      </c>
      <c r="C147" s="54" t="s">
        <v>603</v>
      </c>
      <c r="D147" s="35"/>
      <c r="E147" s="35"/>
      <c r="F147" s="35"/>
      <c r="G147" s="7"/>
      <c r="H147" s="7"/>
    </row>
    <row r="148" spans="1:8" s="5" customFormat="1" ht="23.5" hidden="1">
      <c r="A148" s="54" t="s">
        <v>68</v>
      </c>
      <c r="B148" s="54" t="s">
        <v>609</v>
      </c>
      <c r="C148" s="54" t="s">
        <v>603</v>
      </c>
      <c r="D148" s="35"/>
      <c r="E148" s="35"/>
      <c r="F148" s="35"/>
      <c r="G148" s="7"/>
      <c r="H148" s="7"/>
    </row>
    <row r="149" spans="1:8" s="5" customFormat="1" ht="47" hidden="1">
      <c r="A149" s="54" t="s">
        <v>68</v>
      </c>
      <c r="B149" s="54" t="s">
        <v>819</v>
      </c>
      <c r="C149" s="54" t="s">
        <v>603</v>
      </c>
      <c r="D149" s="35"/>
      <c r="E149" s="35"/>
      <c r="F149" s="35"/>
      <c r="G149" s="7"/>
      <c r="H149" s="7"/>
    </row>
    <row r="150" spans="1:8" s="5" customFormat="1" ht="70.5" hidden="1">
      <c r="A150" s="54" t="s">
        <v>68</v>
      </c>
      <c r="B150" s="54" t="s">
        <v>680</v>
      </c>
      <c r="C150" s="54" t="s">
        <v>681</v>
      </c>
      <c r="D150" s="35"/>
      <c r="E150" s="35"/>
      <c r="F150" s="35"/>
      <c r="G150" s="7"/>
      <c r="H150" s="7"/>
    </row>
    <row r="151" spans="1:8" s="5" customFormat="1" ht="70.5" hidden="1">
      <c r="A151" s="54" t="s">
        <v>68</v>
      </c>
      <c r="B151" s="54" t="s">
        <v>682</v>
      </c>
      <c r="C151" s="54" t="s">
        <v>681</v>
      </c>
      <c r="D151" s="35"/>
      <c r="E151" s="35"/>
      <c r="F151" s="35"/>
      <c r="G151" s="7"/>
      <c r="H151" s="7"/>
    </row>
    <row r="152" spans="1:8" s="5" customFormat="1" ht="70.5" hidden="1">
      <c r="A152" s="54" t="s">
        <v>68</v>
      </c>
      <c r="B152" s="54" t="s">
        <v>683</v>
      </c>
      <c r="C152" s="54" t="s">
        <v>681</v>
      </c>
      <c r="D152" s="35"/>
      <c r="E152" s="35"/>
      <c r="F152" s="35"/>
      <c r="G152" s="7"/>
      <c r="H152" s="7"/>
    </row>
    <row r="153" spans="1:8" s="5" customFormat="1" ht="117.5" hidden="1">
      <c r="A153" s="54" t="s">
        <v>68</v>
      </c>
      <c r="B153" s="54" t="s">
        <v>684</v>
      </c>
      <c r="C153" s="54" t="s">
        <v>681</v>
      </c>
      <c r="D153" s="35"/>
      <c r="E153" s="35"/>
      <c r="F153" s="35"/>
      <c r="G153" s="7"/>
      <c r="H153" s="7"/>
    </row>
    <row r="154" spans="1:8" s="5" customFormat="1" ht="70.5" hidden="1">
      <c r="A154" s="54" t="s">
        <v>68</v>
      </c>
      <c r="B154" s="54" t="s">
        <v>685</v>
      </c>
      <c r="C154" s="54" t="s">
        <v>681</v>
      </c>
      <c r="D154" s="35"/>
      <c r="E154" s="35"/>
      <c r="F154" s="35"/>
      <c r="G154" s="7"/>
      <c r="H154" s="7"/>
    </row>
    <row r="155" spans="1:8" s="5" customFormat="1" ht="70.5" hidden="1">
      <c r="A155" s="54" t="s">
        <v>68</v>
      </c>
      <c r="B155" s="54" t="s">
        <v>686</v>
      </c>
      <c r="C155" s="54" t="s">
        <v>681</v>
      </c>
      <c r="D155" s="35"/>
      <c r="E155" s="35"/>
      <c r="F155" s="35"/>
      <c r="G155" s="7"/>
      <c r="H155" s="7"/>
    </row>
    <row r="156" spans="1:8" s="5" customFormat="1" ht="70.5" hidden="1">
      <c r="A156" s="54" t="s">
        <v>68</v>
      </c>
      <c r="B156" s="54" t="s">
        <v>687</v>
      </c>
      <c r="C156" s="54" t="s">
        <v>681</v>
      </c>
      <c r="D156" s="35"/>
      <c r="E156" s="35"/>
      <c r="F156" s="35"/>
      <c r="G156" s="7"/>
      <c r="H156" s="7"/>
    </row>
    <row r="157" spans="1:8" s="5" customFormat="1" ht="70.5" hidden="1">
      <c r="A157" s="54" t="s">
        <v>68</v>
      </c>
      <c r="B157" s="54" t="s">
        <v>688</v>
      </c>
      <c r="C157" s="54" t="s">
        <v>681</v>
      </c>
      <c r="D157" s="35"/>
      <c r="E157" s="35"/>
      <c r="F157" s="35"/>
      <c r="G157" s="7"/>
      <c r="H157" s="7"/>
    </row>
    <row r="158" spans="1:8" s="5" customFormat="1" ht="117.5" hidden="1">
      <c r="A158" s="54" t="s">
        <v>68</v>
      </c>
      <c r="B158" s="54" t="s">
        <v>689</v>
      </c>
      <c r="C158" s="54" t="s">
        <v>681</v>
      </c>
      <c r="D158" s="35"/>
      <c r="E158" s="35"/>
      <c r="F158" s="35"/>
      <c r="G158" s="7"/>
      <c r="H158" s="7"/>
    </row>
    <row r="159" spans="1:8" s="5" customFormat="1" ht="117.5" hidden="1">
      <c r="A159" s="54" t="s">
        <v>68</v>
      </c>
      <c r="B159" s="54" t="s">
        <v>690</v>
      </c>
      <c r="C159" s="54" t="s">
        <v>681</v>
      </c>
      <c r="D159" s="35"/>
      <c r="E159" s="35"/>
      <c r="F159" s="35"/>
      <c r="G159" s="7"/>
      <c r="H159" s="7"/>
    </row>
    <row r="160" spans="1:8" s="5" customFormat="1" ht="70.5" hidden="1">
      <c r="A160" s="54" t="s">
        <v>68</v>
      </c>
      <c r="B160" s="54" t="s">
        <v>691</v>
      </c>
      <c r="C160" s="54" t="s">
        <v>681</v>
      </c>
      <c r="D160" s="35"/>
      <c r="E160" s="35"/>
      <c r="F160" s="35"/>
      <c r="G160" s="7"/>
      <c r="H160" s="7"/>
    </row>
    <row r="161" spans="1:8" s="5" customFormat="1" ht="47" hidden="1">
      <c r="A161" s="54" t="s">
        <v>68</v>
      </c>
      <c r="B161" s="54" t="s">
        <v>692</v>
      </c>
      <c r="C161" s="54" t="s">
        <v>681</v>
      </c>
      <c r="D161" s="35"/>
      <c r="E161" s="35"/>
      <c r="F161" s="35"/>
      <c r="G161" s="7"/>
      <c r="H161" s="7"/>
    </row>
    <row r="162" spans="1:8" s="5" customFormat="1" ht="70.5" hidden="1">
      <c r="A162" s="54" t="s">
        <v>68</v>
      </c>
      <c r="B162" s="54" t="s">
        <v>693</v>
      </c>
      <c r="C162" s="54" t="s">
        <v>681</v>
      </c>
      <c r="D162" s="35"/>
      <c r="E162" s="35"/>
      <c r="F162" s="35"/>
      <c r="G162" s="7"/>
      <c r="H162" s="7"/>
    </row>
    <row r="163" spans="1:8" s="5" customFormat="1" ht="70.5" hidden="1">
      <c r="A163" s="54" t="s">
        <v>68</v>
      </c>
      <c r="B163" s="54" t="s">
        <v>696</v>
      </c>
      <c r="C163" s="54" t="s">
        <v>695</v>
      </c>
      <c r="D163" s="35"/>
      <c r="E163" s="35"/>
      <c r="F163" s="35"/>
      <c r="G163" s="7"/>
      <c r="H163" s="7"/>
    </row>
    <row r="164" spans="1:8" s="5" customFormat="1" ht="47" hidden="1">
      <c r="A164" s="54" t="s">
        <v>68</v>
      </c>
      <c r="B164" s="54" t="s">
        <v>733</v>
      </c>
      <c r="C164" s="54" t="s">
        <v>732</v>
      </c>
      <c r="D164" s="35"/>
      <c r="E164" s="35"/>
      <c r="F164" s="35"/>
      <c r="G164" s="7"/>
      <c r="H164" s="7"/>
    </row>
    <row r="165" spans="1:8" s="5" customFormat="1" ht="70.5" hidden="1">
      <c r="A165" s="54" t="s">
        <v>68</v>
      </c>
      <c r="B165" s="54" t="s">
        <v>735</v>
      </c>
      <c r="C165" s="54" t="s">
        <v>732</v>
      </c>
      <c r="D165" s="35"/>
      <c r="E165" s="35"/>
      <c r="F165" s="35"/>
      <c r="G165" s="7"/>
      <c r="H165" s="7"/>
    </row>
    <row r="166" spans="1:8" s="5" customFormat="1" ht="47" hidden="1">
      <c r="A166" s="54" t="s">
        <v>68</v>
      </c>
      <c r="B166" s="54" t="s">
        <v>736</v>
      </c>
      <c r="C166" s="54" t="s">
        <v>732</v>
      </c>
      <c r="D166" s="35"/>
      <c r="E166" s="35"/>
      <c r="F166" s="35"/>
      <c r="G166" s="7"/>
      <c r="H166" s="7"/>
    </row>
    <row r="167" spans="1:8" s="5" customFormat="1" ht="70.5" hidden="1">
      <c r="A167" s="54" t="s">
        <v>68</v>
      </c>
      <c r="B167" s="54" t="s">
        <v>738</v>
      </c>
      <c r="C167" s="54" t="s">
        <v>732</v>
      </c>
      <c r="D167" s="35"/>
      <c r="E167" s="35"/>
      <c r="F167" s="35"/>
      <c r="G167" s="7"/>
      <c r="H167" s="7"/>
    </row>
    <row r="168" spans="1:8" s="5" customFormat="1" ht="47" hidden="1">
      <c r="A168" s="54" t="s">
        <v>68</v>
      </c>
      <c r="B168" s="54" t="s">
        <v>740</v>
      </c>
      <c r="C168" s="54" t="s">
        <v>732</v>
      </c>
      <c r="D168" s="35"/>
      <c r="E168" s="35"/>
      <c r="F168" s="35"/>
      <c r="G168" s="7"/>
      <c r="H168" s="7"/>
    </row>
    <row r="169" spans="1:8" s="5" customFormat="1" ht="70.5" hidden="1">
      <c r="A169" s="54" t="s">
        <v>668</v>
      </c>
      <c r="B169" s="54" t="s">
        <v>741</v>
      </c>
      <c r="C169" s="54" t="s">
        <v>732</v>
      </c>
      <c r="D169" s="35"/>
      <c r="E169" s="35"/>
      <c r="F169" s="35"/>
      <c r="G169" s="7"/>
      <c r="H169" s="7"/>
    </row>
    <row r="170" spans="1:8" s="5" customFormat="1" ht="70.5" hidden="1">
      <c r="A170" s="54" t="s">
        <v>68</v>
      </c>
      <c r="B170" s="54" t="s">
        <v>742</v>
      </c>
      <c r="C170" s="54" t="s">
        <v>732</v>
      </c>
      <c r="D170" s="35"/>
      <c r="E170" s="35"/>
      <c r="F170" s="35"/>
      <c r="G170" s="7"/>
      <c r="H170" s="7"/>
    </row>
    <row r="171" spans="1:8" s="5" customFormat="1" ht="70.5" hidden="1">
      <c r="A171" s="54" t="s">
        <v>68</v>
      </c>
      <c r="B171" s="54" t="s">
        <v>746</v>
      </c>
      <c r="C171" s="54" t="s">
        <v>732</v>
      </c>
      <c r="D171" s="35"/>
      <c r="E171" s="35"/>
      <c r="F171" s="35"/>
      <c r="G171" s="7"/>
      <c r="H171" s="7"/>
    </row>
    <row r="172" spans="1:8" s="5" customFormat="1" ht="70.5" hidden="1">
      <c r="A172" s="54" t="s">
        <v>68</v>
      </c>
      <c r="B172" s="54" t="s">
        <v>747</v>
      </c>
      <c r="C172" s="54" t="s">
        <v>732</v>
      </c>
      <c r="D172" s="35"/>
      <c r="E172" s="35"/>
      <c r="F172" s="35"/>
      <c r="G172" s="7"/>
      <c r="H172" s="7"/>
    </row>
    <row r="173" spans="1:8" s="5" customFormat="1" ht="70.5" hidden="1">
      <c r="A173" s="54" t="s">
        <v>68</v>
      </c>
      <c r="B173" s="54" t="s">
        <v>748</v>
      </c>
      <c r="C173" s="54" t="s">
        <v>732</v>
      </c>
      <c r="D173" s="35"/>
      <c r="E173" s="35"/>
      <c r="F173" s="35"/>
      <c r="G173" s="7"/>
      <c r="H173" s="7"/>
    </row>
    <row r="174" spans="1:8" s="5" customFormat="1" ht="70.5" hidden="1">
      <c r="A174" s="54" t="s">
        <v>68</v>
      </c>
      <c r="B174" s="54" t="s">
        <v>749</v>
      </c>
      <c r="C174" s="54" t="s">
        <v>732</v>
      </c>
      <c r="D174" s="35"/>
      <c r="E174" s="35"/>
      <c r="F174" s="35"/>
      <c r="G174" s="7"/>
      <c r="H174" s="7"/>
    </row>
    <row r="175" spans="1:8" s="5" customFormat="1" ht="70.5" hidden="1">
      <c r="A175" s="54" t="s">
        <v>68</v>
      </c>
      <c r="B175" s="54" t="s">
        <v>752</v>
      </c>
      <c r="C175" s="54" t="s">
        <v>732</v>
      </c>
      <c r="D175" s="35"/>
      <c r="E175" s="35"/>
      <c r="F175" s="35"/>
      <c r="G175" s="7"/>
      <c r="H175" s="7"/>
    </row>
    <row r="176" spans="1:8" s="5" customFormat="1" ht="70.5" hidden="1">
      <c r="A176" s="54" t="s">
        <v>68</v>
      </c>
      <c r="B176" s="54" t="s">
        <v>782</v>
      </c>
      <c r="C176" s="54" t="s">
        <v>783</v>
      </c>
      <c r="D176" s="35"/>
      <c r="E176" s="35"/>
      <c r="F176" s="35"/>
      <c r="G176" s="7"/>
      <c r="H176" s="7"/>
    </row>
    <row r="177" spans="1:8" s="5" customFormat="1" ht="70.5" hidden="1">
      <c r="A177" s="54" t="s">
        <v>668</v>
      </c>
      <c r="B177" s="54" t="s">
        <v>249</v>
      </c>
      <c r="C177" s="54" t="s">
        <v>250</v>
      </c>
      <c r="D177" s="35"/>
      <c r="E177" s="35"/>
      <c r="F177" s="35"/>
      <c r="G177" s="7"/>
      <c r="H177" s="7"/>
    </row>
    <row r="178" spans="1:8" s="5" customFormat="1" ht="70.5" hidden="1">
      <c r="A178" s="54" t="s">
        <v>68</v>
      </c>
      <c r="B178" s="54" t="s">
        <v>252</v>
      </c>
      <c r="C178" s="54" t="s">
        <v>250</v>
      </c>
      <c r="D178" s="35"/>
      <c r="E178" s="35"/>
      <c r="F178" s="35"/>
      <c r="G178" s="7"/>
      <c r="H178" s="7"/>
    </row>
    <row r="179" spans="1:8" s="5" customFormat="1" ht="23.5" hidden="1">
      <c r="A179" s="54" t="s">
        <v>68</v>
      </c>
      <c r="B179" s="54" t="s">
        <v>790</v>
      </c>
      <c r="C179" s="54" t="s">
        <v>791</v>
      </c>
      <c r="D179" s="35"/>
      <c r="E179" s="35"/>
      <c r="F179" s="35"/>
      <c r="G179" s="7"/>
      <c r="H179" s="7"/>
    </row>
    <row r="180" spans="1:8" s="5" customFormat="1" ht="70.5" hidden="1">
      <c r="A180" s="54" t="s">
        <v>68</v>
      </c>
      <c r="B180" s="54" t="s">
        <v>792</v>
      </c>
      <c r="C180" s="54" t="s">
        <v>793</v>
      </c>
      <c r="D180" s="35"/>
      <c r="E180" s="35"/>
      <c r="F180" s="35"/>
      <c r="G180" s="7"/>
      <c r="H180" s="7"/>
    </row>
    <row r="181" spans="1:8" s="5" customFormat="1" ht="70.5" hidden="1">
      <c r="A181" s="54" t="s">
        <v>68</v>
      </c>
      <c r="B181" s="54" t="s">
        <v>794</v>
      </c>
      <c r="C181" s="54" t="s">
        <v>793</v>
      </c>
      <c r="D181" s="35"/>
      <c r="E181" s="35"/>
      <c r="F181" s="35"/>
      <c r="G181" s="7"/>
      <c r="H181" s="7"/>
    </row>
    <row r="182" spans="1:8" s="5" customFormat="1" ht="23.5">
      <c r="A182" s="54"/>
      <c r="B182" s="54"/>
      <c r="C182" s="54"/>
      <c r="D182" s="35"/>
      <c r="E182" s="35"/>
      <c r="F182" s="35"/>
      <c r="G182" s="7"/>
      <c r="H182" s="7"/>
    </row>
    <row r="183" spans="1:8" s="5" customFormat="1" ht="23.5">
      <c r="A183" s="54"/>
      <c r="B183" s="54"/>
      <c r="C183" s="54"/>
      <c r="D183" s="35"/>
      <c r="E183" s="35"/>
      <c r="F183" s="35"/>
      <c r="G183" s="7"/>
      <c r="H183" s="7"/>
    </row>
    <row r="184" spans="1:8" s="5" customFormat="1" ht="23.5">
      <c r="A184" s="54"/>
      <c r="B184" s="54"/>
      <c r="C184" s="54"/>
      <c r="D184" s="35"/>
      <c r="E184" s="35"/>
      <c r="F184" s="35"/>
      <c r="G184" s="7"/>
      <c r="H184" s="7"/>
    </row>
    <row r="185" spans="1:8" s="5" customFormat="1" ht="23.5">
      <c r="A185" s="54"/>
      <c r="B185" s="54"/>
      <c r="C185" s="54"/>
      <c r="D185" s="35"/>
      <c r="E185" s="35"/>
      <c r="F185" s="35"/>
      <c r="G185" s="7"/>
      <c r="H185" s="7"/>
    </row>
    <row r="186" spans="1:8" s="5" customFormat="1" ht="23.5">
      <c r="A186" s="54"/>
      <c r="B186" s="54"/>
      <c r="C186" s="54"/>
      <c r="D186" s="35"/>
      <c r="E186" s="35"/>
      <c r="F186" s="35"/>
      <c r="G186" s="7"/>
      <c r="H186" s="7"/>
    </row>
    <row r="187" spans="1:8" s="5" customFormat="1" ht="23.5">
      <c r="A187" s="54"/>
      <c r="B187" s="54"/>
      <c r="C187" s="54"/>
      <c r="D187" s="35"/>
      <c r="E187" s="35"/>
      <c r="F187" s="35"/>
      <c r="G187" s="7"/>
      <c r="H187" s="7"/>
    </row>
    <row r="188" spans="1:8" s="5" customFormat="1" ht="23.5">
      <c r="A188" s="54"/>
      <c r="B188" s="54"/>
      <c r="C188" s="54"/>
      <c r="D188" s="35"/>
      <c r="E188" s="35"/>
      <c r="F188" s="35"/>
      <c r="G188" s="7"/>
      <c r="H188" s="7"/>
    </row>
    <row r="189" spans="1:8" s="5" customFormat="1" ht="23.5">
      <c r="A189" s="54"/>
      <c r="B189" s="54"/>
      <c r="C189" s="54"/>
      <c r="D189" s="35"/>
      <c r="E189" s="35"/>
      <c r="F189" s="35"/>
      <c r="G189" s="7"/>
      <c r="H189" s="7"/>
    </row>
    <row r="190" spans="1:8" s="5" customFormat="1" ht="23.5">
      <c r="A190" s="54"/>
      <c r="B190" s="54"/>
      <c r="C190" s="54"/>
      <c r="D190" s="35"/>
      <c r="E190" s="35"/>
      <c r="F190" s="35"/>
      <c r="G190" s="7"/>
      <c r="H190" s="7"/>
    </row>
    <row r="191" spans="1:8" s="5" customFormat="1" ht="23.5">
      <c r="A191" s="54"/>
      <c r="B191" s="54"/>
      <c r="C191" s="54"/>
      <c r="D191" s="35"/>
      <c r="E191" s="35"/>
      <c r="F191" s="35"/>
      <c r="G191" s="7"/>
      <c r="H191" s="7"/>
    </row>
    <row r="192" spans="1:8" s="5" customFormat="1" ht="23.5">
      <c r="A192" s="54"/>
      <c r="B192" s="54"/>
      <c r="C192" s="54"/>
      <c r="D192" s="35"/>
      <c r="E192" s="35"/>
      <c r="F192" s="35"/>
      <c r="G192" s="7"/>
      <c r="H192" s="7"/>
    </row>
    <row r="193" spans="1:8" s="5" customFormat="1" ht="23.5">
      <c r="A193" s="54"/>
      <c r="B193" s="54"/>
      <c r="C193" s="54"/>
      <c r="D193" s="35"/>
      <c r="E193" s="35"/>
      <c r="F193" s="35"/>
      <c r="G193" s="7"/>
      <c r="H193" s="7"/>
    </row>
    <row r="194" spans="1:8" s="5" customFormat="1" ht="23.5">
      <c r="A194" s="54"/>
      <c r="B194" s="54"/>
      <c r="C194" s="54"/>
      <c r="D194" s="35"/>
      <c r="E194" s="35"/>
      <c r="F194" s="35"/>
      <c r="G194" s="7"/>
      <c r="H194" s="7"/>
    </row>
    <row r="195" spans="1:8" s="5" customFormat="1" ht="23.5">
      <c r="A195" s="54"/>
      <c r="B195" s="54"/>
      <c r="C195" s="54"/>
      <c r="D195" s="35"/>
      <c r="E195" s="35"/>
      <c r="F195" s="35"/>
      <c r="G195" s="7"/>
      <c r="H195" s="7"/>
    </row>
    <row r="196" spans="1:8" s="5" customFormat="1" ht="23.5">
      <c r="A196" s="54"/>
      <c r="B196" s="54"/>
      <c r="C196" s="54"/>
      <c r="D196" s="35"/>
      <c r="E196" s="35"/>
      <c r="F196" s="35"/>
      <c r="G196" s="7"/>
      <c r="H196" s="7"/>
    </row>
    <row r="197" spans="1:8" s="5" customFormat="1" ht="23.5">
      <c r="A197" s="54"/>
      <c r="B197" s="54"/>
      <c r="C197" s="54"/>
      <c r="D197" s="35"/>
      <c r="E197" s="35"/>
      <c r="F197" s="35"/>
      <c r="G197" s="7"/>
      <c r="H197" s="7"/>
    </row>
    <row r="198" spans="1:8" s="5" customFormat="1" ht="23.5">
      <c r="A198" s="54"/>
      <c r="B198" s="54"/>
      <c r="C198" s="54"/>
      <c r="D198" s="35"/>
      <c r="E198" s="35"/>
      <c r="F198" s="35"/>
      <c r="G198" s="7"/>
      <c r="H198" s="7"/>
    </row>
    <row r="199" spans="1:8" s="5" customFormat="1" ht="23.5">
      <c r="A199" s="54"/>
      <c r="B199" s="54"/>
      <c r="C199" s="54"/>
      <c r="D199" s="35"/>
      <c r="E199" s="35"/>
      <c r="F199" s="35"/>
      <c r="G199" s="7"/>
      <c r="H199" s="7"/>
    </row>
    <row r="200" spans="1:8" s="5" customFormat="1" ht="23.5">
      <c r="A200" s="54"/>
      <c r="B200" s="54"/>
      <c r="C200" s="54"/>
      <c r="D200" s="35"/>
      <c r="E200" s="35"/>
      <c r="F200" s="35"/>
      <c r="G200" s="7"/>
      <c r="H200" s="7"/>
    </row>
    <row r="201" spans="1:8" s="5" customFormat="1" ht="23.5">
      <c r="A201" s="54"/>
      <c r="B201" s="54"/>
      <c r="C201" s="54"/>
      <c r="D201" s="35"/>
      <c r="E201" s="35"/>
      <c r="F201" s="35"/>
      <c r="G201" s="7"/>
      <c r="H201" s="7"/>
    </row>
    <row r="202" spans="1:8" s="5" customFormat="1" ht="23.5">
      <c r="A202" s="54"/>
      <c r="B202" s="54"/>
      <c r="C202" s="54"/>
      <c r="D202" s="35"/>
      <c r="E202" s="35"/>
      <c r="F202" s="35"/>
      <c r="G202" s="7"/>
      <c r="H202" s="7"/>
    </row>
    <row r="203" spans="1:8" s="5" customFormat="1" ht="23.5">
      <c r="A203" s="54"/>
      <c r="B203" s="54"/>
      <c r="C203" s="54"/>
      <c r="D203" s="35"/>
      <c r="E203" s="35"/>
      <c r="F203" s="35"/>
      <c r="G203" s="7"/>
      <c r="H203" s="7"/>
    </row>
    <row r="204" spans="1:8" s="5" customFormat="1" ht="23.5">
      <c r="A204" s="54"/>
      <c r="B204" s="54"/>
      <c r="C204" s="54"/>
      <c r="D204" s="35"/>
      <c r="E204" s="35"/>
      <c r="F204" s="35"/>
      <c r="G204" s="7"/>
      <c r="H204" s="7"/>
    </row>
    <row r="205" spans="1:8" s="5" customFormat="1" ht="23.5">
      <c r="A205" s="54"/>
      <c r="B205" s="54"/>
      <c r="C205" s="54"/>
      <c r="D205" s="35"/>
      <c r="E205" s="35"/>
      <c r="F205" s="35"/>
      <c r="G205" s="7"/>
      <c r="H205" s="7"/>
    </row>
    <row r="206" spans="1:8" s="5" customFormat="1" ht="23.5">
      <c r="A206" s="54"/>
      <c r="B206" s="54"/>
      <c r="C206" s="54"/>
      <c r="D206" s="35"/>
      <c r="E206" s="35"/>
      <c r="F206" s="35"/>
      <c r="G206" s="7"/>
      <c r="H206" s="7"/>
    </row>
    <row r="207" spans="1:8" s="5" customFormat="1" ht="23.5">
      <c r="A207" s="54"/>
      <c r="B207" s="54"/>
      <c r="C207" s="54"/>
      <c r="D207" s="35"/>
      <c r="E207" s="35"/>
      <c r="F207" s="35"/>
      <c r="G207" s="7"/>
      <c r="H207" s="7"/>
    </row>
    <row r="208" spans="1:8" s="5" customFormat="1" ht="23.5">
      <c r="A208" s="54"/>
      <c r="B208" s="54"/>
      <c r="C208" s="54"/>
      <c r="D208" s="35"/>
      <c r="E208" s="35"/>
      <c r="F208" s="35"/>
      <c r="G208" s="7"/>
      <c r="H208" s="7"/>
    </row>
    <row r="209" spans="1:8" s="5" customFormat="1" ht="23.5">
      <c r="A209" s="54"/>
      <c r="B209" s="54"/>
      <c r="C209" s="54"/>
      <c r="D209" s="35"/>
      <c r="E209" s="35"/>
      <c r="F209" s="35"/>
      <c r="G209" s="7"/>
      <c r="H209" s="7"/>
    </row>
    <row r="210" spans="1:8" s="5" customFormat="1" ht="23.5">
      <c r="A210" s="54"/>
      <c r="B210" s="54"/>
      <c r="C210" s="54"/>
      <c r="D210" s="35"/>
      <c r="E210" s="35"/>
      <c r="F210" s="35"/>
      <c r="G210" s="7"/>
      <c r="H210" s="7"/>
    </row>
    <row r="211" spans="1:8" s="5" customFormat="1" ht="23.5">
      <c r="A211" s="54"/>
      <c r="B211" s="54"/>
      <c r="C211" s="54"/>
      <c r="D211" s="35"/>
      <c r="E211" s="35"/>
      <c r="F211" s="35"/>
      <c r="G211" s="7"/>
      <c r="H211" s="7"/>
    </row>
    <row r="212" spans="1:8" s="5" customFormat="1" ht="23.5">
      <c r="A212" s="54"/>
      <c r="B212" s="54"/>
      <c r="C212" s="54"/>
      <c r="D212" s="35"/>
      <c r="E212" s="35"/>
      <c r="F212" s="35"/>
      <c r="G212" s="7"/>
      <c r="H212" s="7"/>
    </row>
    <row r="213" spans="1:8" s="5" customFormat="1" ht="23.5">
      <c r="A213" s="54"/>
      <c r="B213" s="54"/>
      <c r="C213" s="54"/>
      <c r="D213" s="35"/>
      <c r="E213" s="35"/>
      <c r="F213" s="35"/>
      <c r="G213" s="7"/>
      <c r="H213" s="7"/>
    </row>
    <row r="214" spans="1:8" s="5" customFormat="1" ht="23.5">
      <c r="A214" s="54"/>
      <c r="B214" s="54"/>
      <c r="C214" s="54"/>
      <c r="D214" s="35"/>
      <c r="E214" s="35"/>
      <c r="F214" s="35"/>
      <c r="G214" s="7"/>
      <c r="H214" s="7"/>
    </row>
    <row r="215" spans="1:8" s="5" customFormat="1" ht="23.5">
      <c r="A215" s="54"/>
      <c r="B215" s="54"/>
      <c r="C215" s="54"/>
      <c r="D215" s="35"/>
      <c r="E215" s="35"/>
      <c r="F215" s="35"/>
      <c r="G215" s="7"/>
      <c r="H215" s="7"/>
    </row>
    <row r="216" spans="1:8" s="5" customFormat="1" ht="23.5">
      <c r="A216" s="54"/>
      <c r="B216" s="54"/>
      <c r="C216" s="54"/>
      <c r="D216" s="35"/>
      <c r="E216" s="35"/>
      <c r="F216" s="35"/>
      <c r="G216" s="7"/>
      <c r="H216" s="7"/>
    </row>
    <row r="217" spans="1:8" s="5" customFormat="1" ht="23.5">
      <c r="A217" s="54"/>
      <c r="B217" s="54"/>
      <c r="C217" s="54"/>
      <c r="D217" s="35"/>
      <c r="E217" s="35"/>
      <c r="F217" s="35"/>
      <c r="G217" s="7"/>
      <c r="H217" s="7"/>
    </row>
    <row r="218" spans="1:8" s="5" customFormat="1" ht="23.5">
      <c r="A218" s="54"/>
      <c r="B218" s="54"/>
      <c r="C218" s="54"/>
      <c r="D218" s="35"/>
      <c r="E218" s="35"/>
      <c r="F218" s="35"/>
      <c r="G218" s="7"/>
      <c r="H218" s="7"/>
    </row>
    <row r="219" spans="1:8" s="5" customFormat="1" ht="23.5">
      <c r="A219" s="54"/>
      <c r="B219" s="54"/>
      <c r="C219" s="54"/>
      <c r="D219" s="35"/>
      <c r="E219" s="35"/>
      <c r="F219" s="35"/>
      <c r="G219" s="7"/>
      <c r="H219" s="7"/>
    </row>
    <row r="220" spans="1:8" s="5" customFormat="1" ht="23.5">
      <c r="A220" s="54"/>
      <c r="B220" s="54"/>
      <c r="C220" s="54"/>
      <c r="D220" s="35"/>
      <c r="E220" s="35"/>
      <c r="F220" s="35"/>
      <c r="G220" s="7"/>
      <c r="H220" s="7"/>
    </row>
    <row r="221" spans="1:8" s="5" customFormat="1" ht="23.5">
      <c r="A221" s="54"/>
      <c r="B221" s="54"/>
      <c r="C221" s="54"/>
      <c r="D221" s="35"/>
      <c r="E221" s="35"/>
      <c r="F221" s="35"/>
      <c r="G221" s="7"/>
      <c r="H221" s="7"/>
    </row>
    <row r="222" spans="1:8" s="5" customFormat="1" ht="23.5">
      <c r="A222" s="54"/>
      <c r="B222" s="54"/>
      <c r="C222" s="54"/>
      <c r="D222" s="35"/>
      <c r="E222" s="35"/>
      <c r="F222" s="35"/>
      <c r="G222" s="7"/>
      <c r="H222" s="7"/>
    </row>
    <row r="223" spans="1:8" s="5" customFormat="1" ht="23.5">
      <c r="A223" s="54"/>
      <c r="B223" s="54"/>
      <c r="C223" s="54"/>
      <c r="D223" s="35"/>
      <c r="E223" s="35"/>
      <c r="F223" s="35"/>
      <c r="G223" s="7"/>
      <c r="H223" s="7"/>
    </row>
    <row r="224" spans="1:8" s="5" customFormat="1" ht="23.5">
      <c r="A224" s="54"/>
      <c r="B224" s="54"/>
      <c r="C224" s="54"/>
      <c r="D224" s="35"/>
      <c r="E224" s="35"/>
      <c r="F224" s="35"/>
      <c r="G224" s="7"/>
      <c r="H224" s="7"/>
    </row>
    <row r="225" spans="1:8" s="5" customFormat="1" ht="23.5">
      <c r="A225" s="54"/>
      <c r="B225" s="54"/>
      <c r="C225" s="54"/>
      <c r="D225" s="35"/>
      <c r="E225" s="35"/>
      <c r="F225" s="35"/>
      <c r="G225" s="7"/>
      <c r="H225" s="7"/>
    </row>
    <row r="226" spans="1:8" s="5" customFormat="1" ht="23.5">
      <c r="A226" s="54"/>
      <c r="B226" s="54"/>
      <c r="C226" s="54"/>
      <c r="D226" s="35"/>
      <c r="E226" s="35"/>
      <c r="F226" s="35"/>
      <c r="G226" s="7"/>
      <c r="H226" s="7"/>
    </row>
    <row r="227" spans="1:8" s="5" customFormat="1" ht="23.5">
      <c r="A227" s="54"/>
      <c r="B227" s="54"/>
      <c r="C227" s="54"/>
      <c r="D227" s="35"/>
      <c r="E227" s="35"/>
      <c r="F227" s="35"/>
      <c r="G227" s="7"/>
      <c r="H227" s="7"/>
    </row>
    <row r="228" spans="1:8" s="5" customFormat="1" ht="23.5">
      <c r="A228" s="54"/>
      <c r="B228" s="54"/>
      <c r="C228" s="54"/>
      <c r="D228" s="35"/>
      <c r="E228" s="35"/>
      <c r="F228" s="35"/>
      <c r="G228" s="7"/>
      <c r="H228" s="7"/>
    </row>
    <row r="229" spans="1:8" s="5" customFormat="1" ht="23.5">
      <c r="A229" s="54"/>
      <c r="B229" s="54"/>
      <c r="C229" s="54"/>
      <c r="D229" s="35"/>
      <c r="E229" s="35"/>
      <c r="F229" s="35"/>
      <c r="G229" s="7"/>
      <c r="H229" s="7"/>
    </row>
    <row r="230" spans="1:8" s="5" customFormat="1" ht="23.5">
      <c r="A230" s="54"/>
      <c r="B230" s="54"/>
      <c r="C230" s="54"/>
      <c r="D230" s="35"/>
      <c r="E230" s="35"/>
      <c r="F230" s="35"/>
      <c r="G230" s="7"/>
      <c r="H230" s="7"/>
    </row>
    <row r="231" spans="1:8" s="5" customFormat="1" ht="23.5">
      <c r="A231" s="54"/>
      <c r="B231" s="54"/>
      <c r="C231" s="54"/>
      <c r="D231" s="35"/>
      <c r="E231" s="35"/>
      <c r="F231" s="35"/>
      <c r="G231" s="7"/>
      <c r="H231" s="7"/>
    </row>
    <row r="232" spans="1:8" s="5" customFormat="1" ht="23.5">
      <c r="A232" s="54"/>
      <c r="B232" s="54"/>
      <c r="C232" s="54"/>
      <c r="D232" s="35"/>
      <c r="E232" s="35"/>
      <c r="F232" s="35"/>
      <c r="G232" s="7"/>
      <c r="H232" s="7"/>
    </row>
    <row r="233" spans="1:8" s="5" customFormat="1" ht="23.5">
      <c r="A233" s="54"/>
      <c r="B233" s="54"/>
      <c r="C233" s="54"/>
      <c r="D233" s="35"/>
      <c r="E233" s="35"/>
      <c r="F233" s="35"/>
      <c r="G233" s="7"/>
      <c r="H233" s="7"/>
    </row>
    <row r="234" spans="1:8" s="5" customFormat="1" ht="23.5">
      <c r="A234" s="54"/>
      <c r="B234" s="54"/>
      <c r="C234" s="54"/>
      <c r="D234" s="35"/>
      <c r="E234" s="35"/>
      <c r="F234" s="35"/>
      <c r="G234" s="7"/>
      <c r="H234" s="7"/>
    </row>
    <row r="235" spans="1:8" s="5" customFormat="1" ht="23.5">
      <c r="A235" s="54"/>
      <c r="B235" s="54"/>
      <c r="C235" s="54"/>
      <c r="D235" s="35"/>
      <c r="E235" s="35"/>
      <c r="F235" s="35"/>
      <c r="G235" s="7"/>
      <c r="H235" s="7"/>
    </row>
    <row r="236" spans="1:8" s="5" customFormat="1" ht="23.5">
      <c r="A236" s="54"/>
      <c r="B236" s="54"/>
      <c r="C236" s="54"/>
      <c r="D236" s="35"/>
      <c r="E236" s="35"/>
      <c r="F236" s="35"/>
      <c r="G236" s="7"/>
      <c r="H236" s="7"/>
    </row>
    <row r="237" spans="1:8" s="5" customFormat="1" ht="23.5">
      <c r="A237" s="54"/>
      <c r="B237" s="54"/>
      <c r="C237" s="54"/>
      <c r="D237" s="35"/>
      <c r="E237" s="35"/>
      <c r="F237" s="35"/>
      <c r="G237" s="7"/>
      <c r="H237" s="7"/>
    </row>
    <row r="238" spans="1:8" s="5" customFormat="1" ht="23.5">
      <c r="A238" s="54"/>
      <c r="B238" s="54"/>
      <c r="C238" s="54"/>
      <c r="D238" s="35"/>
      <c r="E238" s="35"/>
      <c r="F238" s="35"/>
      <c r="G238" s="7"/>
      <c r="H238" s="7"/>
    </row>
    <row r="239" spans="1:8" s="5" customFormat="1" ht="23.5">
      <c r="A239" s="54"/>
      <c r="B239" s="54"/>
      <c r="C239" s="54"/>
      <c r="D239" s="35"/>
      <c r="E239" s="35"/>
      <c r="F239" s="35"/>
      <c r="G239" s="7"/>
      <c r="H239" s="7"/>
    </row>
    <row r="240" spans="1:8" s="5" customFormat="1" ht="23.5">
      <c r="A240" s="54"/>
      <c r="B240" s="54"/>
      <c r="C240" s="54"/>
      <c r="D240" s="35"/>
      <c r="E240" s="35"/>
      <c r="F240" s="35"/>
      <c r="G240" s="7"/>
      <c r="H240" s="7"/>
    </row>
    <row r="241" spans="1:8" s="5" customFormat="1" ht="23.5">
      <c r="A241" s="54"/>
      <c r="B241" s="54"/>
      <c r="C241" s="54"/>
      <c r="D241" s="35"/>
      <c r="E241" s="35"/>
      <c r="F241" s="35"/>
      <c r="G241" s="7"/>
      <c r="H241" s="7"/>
    </row>
    <row r="242" spans="1:8" s="5" customFormat="1" ht="23.5">
      <c r="A242" s="54"/>
      <c r="B242" s="54"/>
      <c r="C242" s="54"/>
      <c r="D242" s="35"/>
      <c r="E242" s="35"/>
      <c r="F242" s="35"/>
      <c r="G242" s="7"/>
      <c r="H242" s="7"/>
    </row>
    <row r="243" spans="1:8" s="5" customFormat="1" ht="23.5">
      <c r="A243" s="54"/>
      <c r="B243" s="54"/>
      <c r="C243" s="54"/>
      <c r="D243" s="35"/>
      <c r="E243" s="35"/>
      <c r="F243" s="35"/>
      <c r="G243" s="7"/>
      <c r="H243" s="7"/>
    </row>
    <row r="244" spans="1:8" s="5" customFormat="1" ht="23.5">
      <c r="A244" s="54"/>
      <c r="B244" s="54"/>
      <c r="C244" s="54"/>
      <c r="D244" s="35"/>
      <c r="E244" s="35"/>
      <c r="F244" s="35"/>
      <c r="G244" s="7"/>
      <c r="H244" s="7"/>
    </row>
    <row r="245" spans="1:8" s="5" customFormat="1" ht="23.5">
      <c r="A245" s="54"/>
      <c r="B245" s="54"/>
      <c r="C245" s="54"/>
      <c r="D245" s="35"/>
      <c r="E245" s="35"/>
      <c r="F245" s="35"/>
      <c r="G245" s="7"/>
      <c r="H245" s="7"/>
    </row>
    <row r="246" spans="1:8" s="5" customFormat="1" ht="23.5">
      <c r="A246" s="54"/>
      <c r="B246" s="54"/>
      <c r="C246" s="54"/>
      <c r="D246" s="35"/>
      <c r="E246" s="35"/>
      <c r="F246" s="35"/>
      <c r="G246" s="7"/>
      <c r="H246" s="7"/>
    </row>
    <row r="247" spans="1:8" s="5" customFormat="1" ht="23.5">
      <c r="A247" s="54"/>
      <c r="B247" s="54"/>
      <c r="C247" s="54"/>
      <c r="D247" s="35"/>
      <c r="E247" s="35"/>
      <c r="F247" s="35"/>
      <c r="G247" s="7"/>
      <c r="H247" s="7"/>
    </row>
    <row r="248" spans="1:8" s="5" customFormat="1" ht="23.5">
      <c r="A248" s="54"/>
      <c r="B248" s="54"/>
      <c r="C248" s="54"/>
      <c r="D248" s="35"/>
      <c r="E248" s="35"/>
      <c r="F248" s="35"/>
      <c r="G248" s="7"/>
      <c r="H248" s="7"/>
    </row>
    <row r="249" spans="1:8" s="5" customFormat="1" ht="23.5">
      <c r="A249" s="54"/>
      <c r="B249" s="54"/>
      <c r="C249" s="54"/>
      <c r="D249" s="35"/>
      <c r="E249" s="35"/>
      <c r="F249" s="35"/>
      <c r="G249" s="7"/>
      <c r="H249" s="7"/>
    </row>
    <row r="250" spans="1:8" s="5" customFormat="1" ht="23.5">
      <c r="A250" s="54"/>
      <c r="B250" s="65"/>
      <c r="C250" s="54"/>
      <c r="D250" s="35"/>
      <c r="E250" s="35"/>
      <c r="F250" s="35"/>
      <c r="G250" s="7"/>
      <c r="H250" s="7"/>
    </row>
    <row r="251" spans="1:8" s="5" customFormat="1" ht="23.5">
      <c r="A251" s="54"/>
      <c r="B251" s="54"/>
      <c r="C251" s="54"/>
      <c r="D251" s="35"/>
      <c r="E251" s="35"/>
      <c r="F251" s="35"/>
      <c r="G251" s="7"/>
      <c r="H251" s="7"/>
    </row>
    <row r="252" spans="1:8" s="5" customFormat="1" ht="23.5">
      <c r="A252" s="54"/>
      <c r="B252" s="54"/>
      <c r="C252" s="54"/>
      <c r="D252" s="35"/>
      <c r="E252" s="35"/>
      <c r="F252" s="35"/>
      <c r="G252" s="7"/>
      <c r="H252" s="7"/>
    </row>
    <row r="253" spans="1:8" s="5" customFormat="1" ht="23.5">
      <c r="A253" s="54"/>
      <c r="B253" s="54"/>
      <c r="C253" s="54"/>
      <c r="D253" s="35"/>
      <c r="E253" s="35"/>
      <c r="F253" s="35"/>
      <c r="G253" s="7"/>
      <c r="H253" s="7"/>
    </row>
    <row r="254" spans="1:8" s="5" customFormat="1" ht="23.5">
      <c r="A254" s="54"/>
      <c r="B254" s="54"/>
      <c r="C254" s="54"/>
      <c r="D254" s="35"/>
      <c r="E254" s="35"/>
      <c r="F254" s="35"/>
      <c r="G254" s="7"/>
      <c r="H254" s="7"/>
    </row>
    <row r="255" spans="1:8" s="5" customFormat="1" ht="23.5">
      <c r="A255" s="54"/>
      <c r="B255" s="54"/>
      <c r="C255" s="54"/>
      <c r="D255" s="35"/>
      <c r="E255" s="35"/>
      <c r="F255" s="35"/>
      <c r="G255" s="7"/>
      <c r="H255" s="7"/>
    </row>
    <row r="256" spans="1:8" s="5" customFormat="1" ht="23.5">
      <c r="A256" s="54"/>
      <c r="B256" s="54"/>
      <c r="C256" s="54"/>
      <c r="D256" s="35"/>
      <c r="E256" s="35"/>
      <c r="F256" s="35"/>
      <c r="G256" s="7"/>
      <c r="H256" s="7"/>
    </row>
    <row r="257" spans="1:8" s="5" customFormat="1" ht="23.5">
      <c r="A257" s="54"/>
      <c r="B257" s="54"/>
      <c r="C257" s="54"/>
      <c r="D257" s="35"/>
      <c r="E257" s="35"/>
      <c r="F257" s="35"/>
      <c r="G257" s="7"/>
      <c r="H257" s="7"/>
    </row>
    <row r="258" spans="1:8" s="5" customFormat="1" ht="23.5">
      <c r="A258" s="54"/>
      <c r="B258" s="54"/>
      <c r="C258" s="54"/>
      <c r="D258" s="35"/>
      <c r="E258" s="35"/>
      <c r="F258" s="35"/>
      <c r="G258" s="7"/>
      <c r="H258" s="7"/>
    </row>
    <row r="259" spans="1:8" s="5" customFormat="1" ht="23.5">
      <c r="A259" s="54"/>
      <c r="B259" s="54"/>
      <c r="C259" s="54"/>
      <c r="D259" s="35"/>
      <c r="E259" s="35"/>
      <c r="F259" s="35"/>
      <c r="G259" s="7"/>
      <c r="H259" s="7"/>
    </row>
    <row r="260" spans="1:8" s="5" customFormat="1" ht="23.5">
      <c r="A260" s="54"/>
      <c r="B260" s="54"/>
      <c r="C260" s="54"/>
      <c r="D260" s="35"/>
      <c r="E260" s="35"/>
      <c r="F260" s="35"/>
      <c r="G260" s="7"/>
      <c r="H260" s="7"/>
    </row>
    <row r="261" spans="1:8" s="5" customFormat="1" ht="23.5">
      <c r="A261" s="54"/>
      <c r="B261" s="54"/>
      <c r="C261" s="54"/>
      <c r="D261" s="35"/>
      <c r="E261" s="35"/>
      <c r="F261" s="35"/>
      <c r="G261" s="7"/>
      <c r="H261" s="7"/>
    </row>
    <row r="262" spans="1:8" s="5" customFormat="1" ht="23.5">
      <c r="A262" s="54"/>
      <c r="B262" s="54"/>
      <c r="C262" s="54"/>
      <c r="D262" s="35"/>
      <c r="E262" s="35"/>
      <c r="F262" s="35"/>
      <c r="G262" s="7"/>
      <c r="H262" s="7"/>
    </row>
    <row r="263" spans="1:8" s="5" customFormat="1" ht="23.5">
      <c r="A263" s="54"/>
      <c r="B263" s="54"/>
      <c r="C263" s="54"/>
      <c r="D263" s="35"/>
      <c r="E263" s="35"/>
      <c r="F263" s="35"/>
      <c r="G263" s="7"/>
      <c r="H263" s="7"/>
    </row>
    <row r="264" spans="1:8" s="5" customFormat="1" ht="23.5">
      <c r="A264" s="54"/>
      <c r="B264" s="54"/>
      <c r="C264" s="54"/>
      <c r="D264" s="35"/>
      <c r="E264" s="35"/>
      <c r="F264" s="35"/>
      <c r="G264" s="7"/>
      <c r="H264" s="7"/>
    </row>
    <row r="265" spans="1:8" s="5" customFormat="1" ht="23.5">
      <c r="A265" s="54"/>
      <c r="B265" s="54"/>
      <c r="C265" s="54"/>
      <c r="D265" s="35"/>
      <c r="E265" s="35"/>
      <c r="F265" s="35"/>
      <c r="G265" s="7"/>
      <c r="H265" s="7"/>
    </row>
    <row r="266" spans="1:8" s="5" customFormat="1" ht="23.5">
      <c r="A266" s="54"/>
      <c r="B266" s="54"/>
      <c r="C266" s="54"/>
      <c r="D266" s="35"/>
      <c r="E266" s="35"/>
      <c r="F266" s="35"/>
      <c r="G266" s="7"/>
      <c r="H266" s="7"/>
    </row>
    <row r="267" spans="1:8" s="5" customFormat="1" ht="23.5">
      <c r="A267" s="54"/>
      <c r="B267" s="54"/>
      <c r="C267" s="54"/>
      <c r="D267" s="35"/>
      <c r="E267" s="35"/>
      <c r="F267" s="35"/>
      <c r="G267" s="7"/>
      <c r="H267" s="7"/>
    </row>
    <row r="268" spans="1:8" s="5" customFormat="1" ht="23.5">
      <c r="A268" s="54"/>
      <c r="B268" s="54"/>
      <c r="C268" s="54"/>
      <c r="D268" s="35"/>
      <c r="E268" s="35"/>
      <c r="F268" s="35"/>
      <c r="G268" s="7"/>
      <c r="H268" s="7"/>
    </row>
    <row r="269" spans="1:8" s="5" customFormat="1" ht="23.5">
      <c r="A269" s="54"/>
      <c r="B269" s="54"/>
      <c r="C269" s="54"/>
      <c r="D269" s="35"/>
      <c r="E269" s="35"/>
      <c r="F269" s="35"/>
      <c r="G269" s="7"/>
      <c r="H269" s="7"/>
    </row>
    <row r="270" spans="1:8" s="5" customFormat="1" ht="23.5">
      <c r="A270" s="54"/>
      <c r="B270" s="54"/>
      <c r="C270" s="54"/>
      <c r="D270" s="35"/>
      <c r="E270" s="35"/>
      <c r="F270" s="35"/>
      <c r="G270" s="7"/>
      <c r="H270" s="7"/>
    </row>
    <row r="271" spans="1:8" s="5" customFormat="1" ht="23.5">
      <c r="A271" s="54"/>
      <c r="B271" s="54"/>
      <c r="C271" s="54"/>
      <c r="D271" s="35"/>
      <c r="E271" s="35"/>
      <c r="F271" s="35"/>
      <c r="G271" s="7"/>
      <c r="H271" s="7"/>
    </row>
    <row r="272" spans="1:8" s="5" customFormat="1" ht="23.5">
      <c r="A272" s="54"/>
      <c r="B272" s="54"/>
      <c r="C272" s="54"/>
      <c r="D272" s="35"/>
      <c r="E272" s="35"/>
      <c r="F272" s="35"/>
      <c r="G272" s="7"/>
      <c r="H272" s="7"/>
    </row>
    <row r="273" spans="1:8" s="5" customFormat="1" ht="23.5">
      <c r="A273" s="54"/>
      <c r="B273" s="54"/>
      <c r="C273" s="54"/>
      <c r="D273" s="35"/>
      <c r="E273" s="35"/>
      <c r="F273" s="35"/>
      <c r="G273" s="7"/>
      <c r="H273" s="7"/>
    </row>
    <row r="274" spans="1:8" s="5" customFormat="1" ht="23.5">
      <c r="A274" s="54"/>
      <c r="B274" s="54"/>
      <c r="C274" s="54"/>
      <c r="D274" s="35"/>
      <c r="E274" s="35"/>
      <c r="F274" s="35"/>
      <c r="G274" s="7"/>
      <c r="H274" s="7"/>
    </row>
    <row r="275" spans="1:8" s="5" customFormat="1" ht="23.5">
      <c r="A275" s="54"/>
      <c r="B275" s="54"/>
      <c r="C275" s="54"/>
      <c r="D275" s="35"/>
      <c r="E275" s="35"/>
      <c r="F275" s="35"/>
      <c r="G275" s="7"/>
      <c r="H275" s="7"/>
    </row>
    <row r="276" spans="1:8" s="5" customFormat="1" ht="23.5">
      <c r="A276" s="54"/>
      <c r="B276" s="54"/>
      <c r="C276" s="54"/>
      <c r="D276" s="35"/>
      <c r="E276" s="35"/>
      <c r="F276" s="35"/>
      <c r="G276" s="7"/>
      <c r="H276" s="7"/>
    </row>
    <row r="277" spans="1:8" s="5" customFormat="1" ht="23.5">
      <c r="A277" s="54"/>
      <c r="B277" s="54"/>
      <c r="C277" s="54"/>
      <c r="D277" s="35"/>
      <c r="E277" s="35"/>
      <c r="F277" s="35"/>
      <c r="G277" s="7"/>
      <c r="H277" s="7"/>
    </row>
    <row r="278" spans="1:8" s="5" customFormat="1" ht="23.5">
      <c r="A278" s="54"/>
      <c r="B278" s="54"/>
      <c r="C278" s="54"/>
      <c r="D278" s="35"/>
      <c r="E278" s="35"/>
      <c r="F278" s="35"/>
      <c r="G278" s="7"/>
      <c r="H278" s="7"/>
    </row>
    <row r="279" spans="1:8" s="5" customFormat="1" ht="23.5">
      <c r="A279" s="54"/>
      <c r="B279" s="54"/>
      <c r="C279" s="54"/>
      <c r="D279" s="35"/>
      <c r="E279" s="35"/>
      <c r="F279" s="35"/>
      <c r="G279" s="7"/>
      <c r="H279" s="7"/>
    </row>
    <row r="280" spans="1:8" s="5" customFormat="1" ht="23.5">
      <c r="A280" s="54"/>
      <c r="B280" s="54"/>
      <c r="C280" s="54"/>
      <c r="D280" s="35"/>
      <c r="E280" s="35"/>
      <c r="F280" s="35"/>
      <c r="G280" s="7"/>
      <c r="H280" s="7"/>
    </row>
    <row r="281" spans="1:8" s="5" customFormat="1" ht="23.5">
      <c r="A281" s="54"/>
      <c r="B281" s="54"/>
      <c r="C281" s="54"/>
      <c r="D281" s="35"/>
      <c r="E281" s="35"/>
      <c r="F281" s="35"/>
      <c r="G281" s="7"/>
      <c r="H281" s="7"/>
    </row>
    <row r="282" spans="1:8" s="5" customFormat="1" ht="23.5">
      <c r="A282" s="54"/>
      <c r="B282" s="54"/>
      <c r="C282" s="54"/>
      <c r="D282" s="35"/>
      <c r="E282" s="35"/>
      <c r="F282" s="35"/>
      <c r="G282" s="7"/>
      <c r="H282" s="7"/>
    </row>
    <row r="283" spans="1:8" s="5" customFormat="1" ht="23.5">
      <c r="A283" s="54"/>
      <c r="B283" s="54"/>
      <c r="C283" s="54"/>
      <c r="D283" s="35"/>
      <c r="E283" s="35"/>
      <c r="F283" s="35"/>
      <c r="G283" s="7"/>
      <c r="H283" s="7"/>
    </row>
    <row r="284" spans="1:8" s="5" customFormat="1" ht="23.5">
      <c r="A284" s="54"/>
      <c r="B284" s="54"/>
      <c r="C284" s="54"/>
      <c r="D284" s="35"/>
      <c r="E284" s="35"/>
      <c r="F284" s="35"/>
      <c r="G284" s="7"/>
      <c r="H284" s="7"/>
    </row>
    <row r="285" spans="1:8" s="5" customFormat="1" ht="23.5">
      <c r="A285" s="54"/>
      <c r="B285" s="54"/>
      <c r="C285" s="54"/>
      <c r="D285" s="35"/>
      <c r="E285" s="35"/>
      <c r="F285" s="35"/>
      <c r="G285" s="7"/>
      <c r="H285" s="7"/>
    </row>
    <row r="286" spans="1:8" s="5" customFormat="1" ht="23.5">
      <c r="A286" s="54"/>
      <c r="B286" s="54"/>
      <c r="C286" s="54"/>
      <c r="D286" s="35"/>
      <c r="E286" s="35"/>
      <c r="F286" s="35"/>
      <c r="G286" s="7"/>
      <c r="H286" s="7"/>
    </row>
    <row r="287" spans="1:8" s="5" customFormat="1" ht="23.5">
      <c r="A287" s="54"/>
      <c r="B287" s="54"/>
      <c r="C287" s="54"/>
      <c r="D287" s="35"/>
      <c r="E287" s="35"/>
      <c r="F287" s="35"/>
      <c r="G287" s="7"/>
      <c r="H287" s="7"/>
    </row>
    <row r="288" spans="1:8" s="5" customFormat="1" ht="23.5">
      <c r="A288" s="54"/>
      <c r="B288" s="54"/>
      <c r="C288" s="54"/>
      <c r="D288" s="35"/>
      <c r="E288" s="35"/>
      <c r="F288" s="35"/>
      <c r="G288" s="7"/>
      <c r="H288" s="7"/>
    </row>
    <row r="289" spans="1:8" s="5" customFormat="1" ht="23.5">
      <c r="A289" s="54"/>
      <c r="B289" s="54"/>
      <c r="C289" s="54"/>
      <c r="D289" s="35"/>
      <c r="E289" s="35"/>
      <c r="F289" s="35"/>
      <c r="G289" s="7"/>
      <c r="H289" s="7"/>
    </row>
    <row r="290" spans="1:8" s="5" customFormat="1" ht="23.5">
      <c r="A290" s="54"/>
      <c r="B290" s="54"/>
      <c r="C290" s="54"/>
      <c r="D290" s="35"/>
      <c r="E290" s="35"/>
      <c r="F290" s="35"/>
      <c r="G290" s="7"/>
      <c r="H290" s="7"/>
    </row>
    <row r="291" spans="1:8" s="5" customFormat="1" ht="23.5">
      <c r="A291" s="54"/>
      <c r="B291" s="54"/>
      <c r="C291" s="54"/>
      <c r="D291" s="35"/>
      <c r="E291" s="35"/>
      <c r="F291" s="35"/>
      <c r="G291" s="7"/>
      <c r="H291" s="7"/>
    </row>
    <row r="292" spans="1:8" s="5" customFormat="1" ht="23.5">
      <c r="A292" s="54"/>
      <c r="B292" s="54"/>
      <c r="C292" s="54"/>
      <c r="D292" s="35"/>
      <c r="E292" s="35"/>
      <c r="F292" s="35"/>
      <c r="G292" s="7"/>
      <c r="H292" s="7"/>
    </row>
    <row r="293" spans="1:8" s="5" customFormat="1" ht="23.5">
      <c r="A293" s="54"/>
      <c r="B293" s="54"/>
      <c r="C293" s="54"/>
      <c r="D293" s="35"/>
      <c r="E293" s="35"/>
      <c r="F293" s="35"/>
      <c r="G293" s="7"/>
      <c r="H293" s="7"/>
    </row>
    <row r="294" spans="1:8" s="5" customFormat="1" ht="23.5">
      <c r="A294" s="54"/>
      <c r="B294" s="54"/>
      <c r="C294" s="54"/>
      <c r="D294" s="35"/>
      <c r="E294" s="35"/>
      <c r="F294" s="35"/>
      <c r="G294" s="7"/>
      <c r="H294" s="7"/>
    </row>
    <row r="295" spans="1:8" s="5" customFormat="1" ht="23.5">
      <c r="A295" s="54"/>
      <c r="B295" s="54"/>
      <c r="C295" s="54"/>
      <c r="D295" s="35"/>
      <c r="E295" s="35"/>
      <c r="F295" s="35"/>
      <c r="G295" s="7"/>
      <c r="H295" s="7"/>
    </row>
    <row r="296" spans="1:8" s="5" customFormat="1" ht="23.5">
      <c r="A296" s="54"/>
      <c r="B296" s="54"/>
      <c r="C296" s="54"/>
      <c r="D296" s="35"/>
      <c r="E296" s="35"/>
      <c r="F296" s="35"/>
      <c r="G296" s="7"/>
      <c r="H296" s="7"/>
    </row>
    <row r="297" spans="1:8" s="5" customFormat="1" ht="23.5">
      <c r="A297" s="54"/>
      <c r="B297" s="54"/>
      <c r="C297" s="54"/>
      <c r="D297" s="35"/>
      <c r="E297" s="35"/>
      <c r="F297" s="35"/>
      <c r="G297" s="7"/>
      <c r="H297" s="7"/>
    </row>
    <row r="298" spans="1:8" s="5" customFormat="1" ht="23.5">
      <c r="A298" s="54"/>
      <c r="B298" s="54"/>
      <c r="C298" s="54"/>
      <c r="D298" s="35"/>
      <c r="E298" s="35"/>
      <c r="F298" s="35"/>
      <c r="G298" s="7"/>
      <c r="H298" s="7"/>
    </row>
    <row r="299" spans="1:8" s="5" customFormat="1" ht="23.5">
      <c r="A299" s="54"/>
      <c r="B299" s="54"/>
      <c r="C299" s="54"/>
      <c r="D299" s="35"/>
      <c r="E299" s="35"/>
      <c r="F299" s="35"/>
      <c r="G299" s="7"/>
      <c r="H299" s="7"/>
    </row>
    <row r="300" spans="1:8" s="5" customFormat="1" ht="23.5">
      <c r="A300" s="54"/>
      <c r="B300" s="54"/>
      <c r="C300" s="54"/>
      <c r="D300" s="35"/>
      <c r="E300" s="35"/>
      <c r="F300" s="35"/>
      <c r="G300" s="7"/>
      <c r="H300" s="7"/>
    </row>
    <row r="301" spans="1:8" s="5" customFormat="1" ht="23.5">
      <c r="A301" s="54"/>
      <c r="B301" s="54"/>
      <c r="C301" s="54"/>
      <c r="D301" s="35"/>
      <c r="E301" s="35"/>
      <c r="F301" s="35"/>
      <c r="G301" s="7"/>
      <c r="H301" s="7"/>
    </row>
    <row r="302" spans="1:8" s="5" customFormat="1" ht="23.5">
      <c r="A302" s="54"/>
      <c r="B302" s="54"/>
      <c r="C302" s="54"/>
      <c r="D302" s="35"/>
      <c r="E302" s="35"/>
      <c r="F302" s="35"/>
      <c r="G302" s="7"/>
      <c r="H302" s="7"/>
    </row>
    <row r="303" spans="1:8" s="5" customFormat="1" ht="23.5">
      <c r="A303" s="54"/>
      <c r="B303" s="54"/>
      <c r="C303" s="54"/>
      <c r="D303" s="35"/>
      <c r="E303" s="35"/>
      <c r="F303" s="35"/>
      <c r="G303" s="7"/>
      <c r="H303" s="7"/>
    </row>
    <row r="304" spans="1:8" s="5" customFormat="1" ht="23.5">
      <c r="A304" s="54"/>
      <c r="B304" s="54"/>
      <c r="C304" s="54"/>
      <c r="D304" s="35"/>
      <c r="E304" s="35"/>
      <c r="F304" s="35"/>
      <c r="G304" s="7"/>
      <c r="H304" s="7"/>
    </row>
    <row r="305" spans="1:8" s="5" customFormat="1" ht="23.5">
      <c r="A305" s="54"/>
      <c r="B305" s="54"/>
      <c r="C305" s="54"/>
      <c r="D305" s="35"/>
      <c r="E305" s="35"/>
      <c r="F305" s="35"/>
      <c r="G305" s="7"/>
      <c r="H305" s="7"/>
    </row>
    <row r="306" spans="1:8" s="5" customFormat="1" ht="23.5">
      <c r="A306" s="54"/>
      <c r="B306" s="54"/>
      <c r="C306" s="54"/>
      <c r="D306" s="35"/>
      <c r="E306" s="35"/>
      <c r="F306" s="35"/>
      <c r="G306" s="7"/>
      <c r="H306" s="7"/>
    </row>
    <row r="307" spans="1:8" s="5" customFormat="1" ht="23.5">
      <c r="A307" s="54"/>
      <c r="B307" s="54"/>
      <c r="C307" s="54"/>
      <c r="D307" s="35"/>
      <c r="E307" s="35"/>
      <c r="F307" s="35"/>
      <c r="G307" s="7"/>
      <c r="H307" s="7"/>
    </row>
    <row r="308" spans="1:8" s="5" customFormat="1" ht="23.5">
      <c r="A308" s="54"/>
      <c r="B308" s="54"/>
      <c r="C308" s="54"/>
      <c r="D308" s="35"/>
      <c r="E308" s="35"/>
      <c r="F308" s="35"/>
      <c r="G308" s="7"/>
      <c r="H308" s="7"/>
    </row>
    <row r="309" spans="1:8" s="5" customFormat="1" ht="23.5">
      <c r="A309" s="54"/>
      <c r="B309" s="54"/>
      <c r="C309" s="54"/>
      <c r="D309" s="35"/>
      <c r="E309" s="35"/>
      <c r="F309" s="35"/>
      <c r="G309" s="7"/>
      <c r="H309" s="7"/>
    </row>
    <row r="310" spans="1:8" s="5" customFormat="1" ht="23.5">
      <c r="A310" s="54"/>
      <c r="B310" s="54"/>
      <c r="C310" s="54"/>
      <c r="D310" s="35"/>
      <c r="E310" s="35"/>
      <c r="F310" s="35"/>
      <c r="G310" s="7"/>
      <c r="H310" s="7"/>
    </row>
    <row r="311" spans="1:8" s="5" customFormat="1" ht="23.5">
      <c r="A311" s="54"/>
      <c r="B311" s="54"/>
      <c r="C311" s="54"/>
      <c r="D311" s="35"/>
      <c r="E311" s="35"/>
      <c r="F311" s="35"/>
      <c r="G311" s="7"/>
      <c r="H311" s="7"/>
    </row>
    <row r="312" spans="1:8" s="5" customFormat="1" ht="23.5">
      <c r="A312" s="54"/>
      <c r="B312" s="54"/>
      <c r="C312" s="54"/>
      <c r="D312" s="35"/>
      <c r="E312" s="35"/>
      <c r="F312" s="35"/>
      <c r="G312" s="7"/>
      <c r="H312" s="7"/>
    </row>
    <row r="313" spans="1:8" s="5" customFormat="1" ht="23.5">
      <c r="A313" s="54"/>
      <c r="B313" s="54"/>
      <c r="C313" s="54"/>
      <c r="D313" s="35"/>
      <c r="E313" s="35"/>
      <c r="F313" s="35"/>
      <c r="G313" s="7"/>
      <c r="H313" s="7"/>
    </row>
    <row r="314" spans="1:8" s="5" customFormat="1" ht="23.5">
      <c r="A314" s="54"/>
      <c r="B314" s="54"/>
      <c r="C314" s="54"/>
      <c r="D314" s="35"/>
      <c r="E314" s="35"/>
      <c r="F314" s="35"/>
      <c r="G314" s="7"/>
      <c r="H314" s="7"/>
    </row>
    <row r="315" spans="1:8" s="5" customFormat="1" ht="23.5">
      <c r="A315" s="54"/>
      <c r="B315" s="54"/>
      <c r="C315" s="54"/>
      <c r="D315" s="35"/>
      <c r="E315" s="35"/>
      <c r="F315" s="35"/>
      <c r="G315" s="7"/>
      <c r="H315" s="7"/>
    </row>
    <row r="316" spans="1:8" s="5" customFormat="1" ht="23.5">
      <c r="A316" s="54"/>
      <c r="B316" s="54"/>
      <c r="C316" s="54"/>
      <c r="D316" s="35"/>
      <c r="E316" s="35"/>
      <c r="F316" s="35"/>
      <c r="G316" s="7"/>
      <c r="H316" s="7"/>
    </row>
    <row r="317" spans="1:8" s="5" customFormat="1" ht="23.5">
      <c r="A317" s="54"/>
      <c r="B317" s="54"/>
      <c r="C317" s="54"/>
      <c r="D317" s="35"/>
      <c r="E317" s="35"/>
      <c r="F317" s="35"/>
      <c r="G317" s="7"/>
      <c r="H317" s="7"/>
    </row>
    <row r="318" spans="1:8" s="5" customFormat="1" ht="23.5">
      <c r="A318" s="54"/>
      <c r="B318" s="54"/>
      <c r="C318" s="54"/>
      <c r="D318" s="35"/>
      <c r="E318" s="35"/>
      <c r="F318" s="35"/>
      <c r="G318" s="7"/>
      <c r="H318" s="7"/>
    </row>
    <row r="319" spans="1:8" s="5" customFormat="1" ht="23.5">
      <c r="A319" s="54"/>
      <c r="B319" s="54"/>
      <c r="C319" s="54"/>
      <c r="D319" s="35"/>
      <c r="E319" s="35"/>
      <c r="F319" s="35"/>
      <c r="G319" s="7"/>
      <c r="H319" s="7"/>
    </row>
    <row r="320" spans="1:8" s="5" customFormat="1" ht="23.5">
      <c r="A320" s="54"/>
      <c r="B320" s="54"/>
      <c r="C320" s="54"/>
      <c r="D320" s="35"/>
      <c r="E320" s="35"/>
      <c r="F320" s="35"/>
      <c r="G320" s="7"/>
      <c r="H320" s="7"/>
    </row>
    <row r="321" spans="1:8" s="5" customFormat="1" ht="23.5">
      <c r="A321" s="54"/>
      <c r="B321" s="54"/>
      <c r="C321" s="54"/>
      <c r="D321" s="35"/>
      <c r="E321" s="35"/>
      <c r="F321" s="35"/>
      <c r="G321" s="7"/>
      <c r="H321" s="7"/>
    </row>
    <row r="322" spans="1:8" s="5" customFormat="1" ht="23.5">
      <c r="A322" s="54"/>
      <c r="B322" s="54"/>
      <c r="C322" s="54"/>
      <c r="D322" s="35"/>
      <c r="E322" s="35"/>
      <c r="F322" s="35"/>
      <c r="G322" s="7"/>
      <c r="H322" s="7"/>
    </row>
    <row r="323" spans="1:8" s="5" customFormat="1" ht="23.5">
      <c r="A323" s="54"/>
      <c r="B323" s="54"/>
      <c r="C323" s="54"/>
      <c r="D323" s="35"/>
      <c r="E323" s="35"/>
      <c r="F323" s="35"/>
      <c r="G323" s="7"/>
      <c r="H323" s="7"/>
    </row>
    <row r="324" spans="1:8" s="5" customFormat="1" ht="23.5">
      <c r="A324" s="54"/>
      <c r="B324" s="54"/>
      <c r="C324" s="54"/>
      <c r="D324" s="35"/>
      <c r="E324" s="35"/>
      <c r="F324" s="35"/>
      <c r="G324" s="7"/>
      <c r="H324" s="7"/>
    </row>
    <row r="325" spans="1:8" s="5" customFormat="1" ht="23.5">
      <c r="A325" s="54"/>
      <c r="B325" s="54"/>
      <c r="C325" s="54"/>
      <c r="D325" s="35"/>
      <c r="E325" s="35"/>
      <c r="F325" s="35"/>
      <c r="G325" s="7"/>
      <c r="H325" s="7"/>
    </row>
    <row r="326" spans="1:8" s="5" customFormat="1" ht="23.5">
      <c r="A326" s="54"/>
      <c r="B326" s="54"/>
      <c r="C326" s="54"/>
      <c r="D326" s="35"/>
      <c r="E326" s="35"/>
      <c r="F326" s="35"/>
      <c r="G326" s="7"/>
      <c r="H326" s="7"/>
    </row>
    <row r="327" spans="1:8" s="5" customFormat="1" ht="23.5">
      <c r="A327" s="54"/>
      <c r="B327" s="54"/>
      <c r="C327" s="54"/>
      <c r="D327" s="35"/>
      <c r="E327" s="35"/>
      <c r="F327" s="35"/>
      <c r="G327" s="7"/>
      <c r="H327" s="7"/>
    </row>
    <row r="328" spans="1:8" s="5" customFormat="1" ht="23.5">
      <c r="A328" s="54"/>
      <c r="B328" s="54"/>
      <c r="C328" s="54"/>
      <c r="D328" s="35"/>
      <c r="E328" s="35"/>
      <c r="F328" s="35"/>
      <c r="G328" s="7"/>
      <c r="H328" s="7"/>
    </row>
    <row r="329" spans="1:8" s="5" customFormat="1" ht="23.5">
      <c r="A329" s="54"/>
      <c r="B329" s="54"/>
      <c r="C329" s="54"/>
      <c r="D329" s="35"/>
      <c r="E329" s="35"/>
      <c r="F329" s="35"/>
      <c r="G329" s="7"/>
      <c r="H329" s="7"/>
    </row>
    <row r="330" spans="1:8" s="5" customFormat="1" ht="23.5">
      <c r="A330" s="54"/>
      <c r="B330" s="54"/>
      <c r="C330" s="54"/>
      <c r="D330" s="35"/>
      <c r="E330" s="35"/>
      <c r="F330" s="35"/>
      <c r="G330" s="7"/>
      <c r="H330" s="7"/>
    </row>
    <row r="331" spans="1:8" s="5" customFormat="1" ht="23.5">
      <c r="A331" s="54"/>
      <c r="B331" s="54"/>
      <c r="C331" s="54"/>
      <c r="D331" s="35"/>
      <c r="E331" s="35"/>
      <c r="F331" s="35"/>
      <c r="G331" s="7"/>
      <c r="H331" s="7"/>
    </row>
    <row r="332" spans="1:8" s="5" customFormat="1" ht="23.5">
      <c r="A332" s="54"/>
      <c r="B332" s="54"/>
      <c r="C332" s="54"/>
      <c r="D332" s="35"/>
      <c r="E332" s="35"/>
      <c r="F332" s="35"/>
      <c r="G332" s="7"/>
      <c r="H332" s="7"/>
    </row>
    <row r="333" spans="1:8" s="5" customFormat="1" ht="23.5">
      <c r="A333" s="54"/>
      <c r="B333" s="54"/>
      <c r="C333" s="54"/>
      <c r="D333" s="35"/>
      <c r="E333" s="35"/>
      <c r="F333" s="35"/>
      <c r="G333" s="7"/>
      <c r="H333" s="7"/>
    </row>
    <row r="334" spans="1:8" s="5" customFormat="1" ht="23.5">
      <c r="A334" s="54"/>
      <c r="B334" s="54"/>
      <c r="C334" s="54"/>
      <c r="D334" s="35"/>
      <c r="E334" s="35"/>
      <c r="F334" s="35"/>
      <c r="G334" s="7"/>
      <c r="H334" s="7"/>
    </row>
    <row r="335" spans="1:8" s="5" customFormat="1" ht="23.5">
      <c r="A335" s="54"/>
      <c r="B335" s="54"/>
      <c r="C335" s="54"/>
      <c r="D335" s="35"/>
      <c r="E335" s="35"/>
      <c r="F335" s="35"/>
      <c r="G335" s="7"/>
      <c r="H335" s="7"/>
    </row>
    <row r="336" spans="1:8" s="5" customFormat="1" ht="23.5">
      <c r="A336" s="54"/>
      <c r="B336" s="54"/>
      <c r="C336" s="54"/>
      <c r="D336" s="35"/>
      <c r="E336" s="35"/>
      <c r="F336" s="35"/>
      <c r="G336" s="7"/>
      <c r="H336" s="7"/>
    </row>
    <row r="337" spans="1:8" s="5" customFormat="1" ht="23.5">
      <c r="A337" s="54"/>
      <c r="B337" s="54"/>
      <c r="C337" s="54"/>
      <c r="D337" s="35"/>
      <c r="E337" s="35"/>
      <c r="F337" s="35"/>
      <c r="G337" s="7"/>
      <c r="H337" s="7"/>
    </row>
    <row r="338" spans="1:8" s="5" customFormat="1" ht="23.5">
      <c r="A338" s="54"/>
      <c r="B338" s="54"/>
      <c r="C338" s="54"/>
      <c r="D338" s="35"/>
      <c r="E338" s="35"/>
      <c r="F338" s="35"/>
      <c r="G338" s="7"/>
      <c r="H338" s="7"/>
    </row>
    <row r="339" spans="1:8" s="5" customFormat="1" ht="23.5">
      <c r="A339" s="54"/>
      <c r="B339" s="54"/>
      <c r="C339" s="54"/>
      <c r="D339" s="35"/>
      <c r="E339" s="35"/>
      <c r="F339" s="35"/>
      <c r="G339" s="7"/>
      <c r="H339" s="7"/>
    </row>
    <row r="340" spans="1:8" s="5" customFormat="1" ht="23.5">
      <c r="A340" s="54"/>
      <c r="B340" s="54"/>
      <c r="C340" s="54"/>
      <c r="D340" s="35"/>
      <c r="E340" s="35"/>
      <c r="F340" s="35"/>
      <c r="G340" s="7"/>
      <c r="H340" s="7"/>
    </row>
    <row r="341" spans="1:8" s="5" customFormat="1" ht="23.5">
      <c r="A341" s="54"/>
      <c r="B341" s="54"/>
      <c r="C341" s="54"/>
      <c r="D341" s="35"/>
      <c r="E341" s="35"/>
      <c r="F341" s="35"/>
      <c r="G341" s="7"/>
      <c r="H341" s="7"/>
    </row>
    <row r="342" spans="1:8" s="5" customFormat="1" ht="23.5">
      <c r="A342" s="54"/>
      <c r="B342" s="54"/>
      <c r="C342" s="54"/>
      <c r="D342" s="35"/>
      <c r="E342" s="35"/>
      <c r="F342" s="35"/>
      <c r="G342" s="7"/>
      <c r="H342" s="7"/>
    </row>
    <row r="343" spans="1:8" s="5" customFormat="1" ht="23.5">
      <c r="A343" s="54"/>
      <c r="B343" s="54"/>
      <c r="C343" s="54"/>
      <c r="D343" s="35"/>
      <c r="E343" s="35"/>
      <c r="F343" s="35"/>
      <c r="G343" s="7"/>
      <c r="H343" s="7"/>
    </row>
    <row r="344" spans="1:8" s="5" customFormat="1" ht="23.5">
      <c r="A344" s="54"/>
      <c r="B344" s="54"/>
      <c r="C344" s="54"/>
      <c r="D344" s="35"/>
      <c r="E344" s="35"/>
      <c r="F344" s="35"/>
      <c r="G344" s="7"/>
      <c r="H344" s="7"/>
    </row>
    <row r="345" spans="1:8" s="5" customFormat="1" ht="23.5">
      <c r="A345" s="54"/>
      <c r="B345" s="54"/>
      <c r="C345" s="54"/>
      <c r="D345" s="35"/>
      <c r="E345" s="35"/>
      <c r="F345" s="35"/>
      <c r="G345" s="7"/>
      <c r="H345" s="7"/>
    </row>
    <row r="346" spans="1:8" s="5" customFormat="1" ht="23.5">
      <c r="A346" s="54"/>
      <c r="B346" s="54"/>
      <c r="C346" s="54"/>
      <c r="D346" s="35"/>
      <c r="E346" s="35"/>
      <c r="F346" s="35"/>
      <c r="G346" s="7"/>
      <c r="H346" s="7"/>
    </row>
    <row r="347" spans="1:8" s="5" customFormat="1" ht="23.5">
      <c r="A347" s="54"/>
      <c r="B347" s="54"/>
      <c r="C347" s="54"/>
      <c r="D347" s="35"/>
      <c r="E347" s="35"/>
      <c r="F347" s="35"/>
      <c r="G347" s="7"/>
      <c r="H347" s="7"/>
    </row>
    <row r="348" spans="1:8" s="5" customFormat="1" ht="23.5">
      <c r="A348" s="54"/>
      <c r="B348" s="54"/>
      <c r="C348" s="54"/>
      <c r="D348" s="35"/>
      <c r="E348" s="35"/>
      <c r="F348" s="35"/>
      <c r="G348" s="7"/>
      <c r="H348" s="7"/>
    </row>
    <row r="349" spans="1:8" s="5" customFormat="1" ht="23.5">
      <c r="A349" s="54"/>
      <c r="B349" s="54"/>
      <c r="C349" s="54"/>
      <c r="D349" s="35"/>
      <c r="E349" s="35"/>
      <c r="F349" s="35"/>
      <c r="G349" s="7"/>
      <c r="H349" s="7"/>
    </row>
    <row r="350" spans="1:8" s="5" customFormat="1" ht="23.5">
      <c r="A350" s="54"/>
      <c r="B350" s="54"/>
      <c r="C350" s="54"/>
      <c r="D350" s="35"/>
      <c r="E350" s="35"/>
      <c r="F350" s="35"/>
      <c r="G350" s="7"/>
      <c r="H350" s="7"/>
    </row>
    <row r="351" spans="1:8" s="5" customFormat="1" ht="23.5">
      <c r="A351" s="54"/>
      <c r="B351" s="54"/>
      <c r="C351" s="54"/>
      <c r="D351" s="35"/>
      <c r="E351" s="35"/>
      <c r="F351" s="35"/>
      <c r="G351" s="7"/>
      <c r="H351" s="7"/>
    </row>
    <row r="352" spans="1:8" s="5" customFormat="1" ht="23.5">
      <c r="A352" s="54"/>
      <c r="B352" s="54"/>
      <c r="C352" s="54"/>
      <c r="D352" s="35"/>
      <c r="E352" s="35"/>
      <c r="F352" s="35"/>
      <c r="G352" s="7"/>
      <c r="H352" s="7"/>
    </row>
    <row r="353" spans="1:8" s="5" customFormat="1" ht="23.5">
      <c r="A353" s="54"/>
      <c r="B353" s="54"/>
      <c r="C353" s="54"/>
      <c r="D353" s="35"/>
      <c r="E353" s="35"/>
      <c r="F353" s="35"/>
      <c r="G353" s="7"/>
      <c r="H353" s="7"/>
    </row>
    <row r="354" spans="1:8" s="5" customFormat="1" ht="23.5">
      <c r="A354" s="54"/>
      <c r="B354" s="54"/>
      <c r="C354" s="54"/>
      <c r="D354" s="35"/>
      <c r="E354" s="35"/>
      <c r="F354" s="35"/>
      <c r="G354" s="7"/>
      <c r="H354" s="7"/>
    </row>
    <row r="355" spans="1:8" s="5" customFormat="1" ht="23.5">
      <c r="A355" s="54"/>
      <c r="B355" s="54"/>
      <c r="C355" s="54"/>
      <c r="D355" s="35"/>
      <c r="E355" s="35"/>
      <c r="F355" s="35"/>
      <c r="G355" s="7"/>
      <c r="H355" s="7"/>
    </row>
    <row r="356" spans="1:8" s="5" customFormat="1" ht="23.5">
      <c r="A356" s="54"/>
      <c r="B356" s="54"/>
      <c r="C356" s="54"/>
      <c r="D356" s="35"/>
      <c r="E356" s="35"/>
      <c r="F356" s="35"/>
      <c r="G356" s="7"/>
      <c r="H356" s="7"/>
    </row>
    <row r="357" spans="1:8" s="5" customFormat="1" ht="23.5">
      <c r="A357" s="54"/>
      <c r="B357" s="54"/>
      <c r="C357" s="54"/>
      <c r="D357" s="35"/>
      <c r="E357" s="35"/>
      <c r="F357" s="35"/>
      <c r="G357" s="7"/>
      <c r="H357" s="7"/>
    </row>
    <row r="358" spans="1:8" s="5" customFormat="1" ht="23.5">
      <c r="A358" s="54"/>
      <c r="B358" s="54"/>
      <c r="C358" s="54"/>
      <c r="D358" s="35"/>
      <c r="E358" s="35"/>
      <c r="F358" s="35"/>
      <c r="G358" s="7"/>
      <c r="H358" s="7"/>
    </row>
    <row r="359" spans="1:8" s="5" customFormat="1" ht="23.5">
      <c r="A359" s="54"/>
      <c r="B359" s="54"/>
      <c r="C359" s="54"/>
      <c r="D359" s="35"/>
      <c r="E359" s="35"/>
      <c r="F359" s="35"/>
      <c r="G359" s="7"/>
      <c r="H359" s="7"/>
    </row>
    <row r="360" spans="1:8" s="5" customFormat="1" ht="23.5">
      <c r="A360" s="54"/>
      <c r="B360" s="54"/>
      <c r="C360" s="54"/>
      <c r="D360" s="35"/>
      <c r="E360" s="35"/>
      <c r="F360" s="35"/>
      <c r="G360" s="7"/>
      <c r="H360" s="7"/>
    </row>
    <row r="361" spans="1:8" s="5" customFormat="1" ht="23.5">
      <c r="A361" s="54"/>
      <c r="B361" s="54"/>
      <c r="C361" s="54"/>
      <c r="D361" s="35"/>
      <c r="E361" s="35"/>
      <c r="F361" s="35"/>
      <c r="G361" s="7"/>
      <c r="H361" s="7"/>
    </row>
    <row r="362" spans="1:8" s="5" customFormat="1" ht="23.5">
      <c r="A362" s="54"/>
      <c r="B362" s="54"/>
      <c r="C362" s="54"/>
      <c r="D362" s="35"/>
      <c r="E362" s="35"/>
      <c r="F362" s="35"/>
      <c r="G362" s="7"/>
      <c r="H362" s="7"/>
    </row>
    <row r="363" spans="1:8" s="5" customFormat="1" ht="23.5">
      <c r="A363" s="54"/>
      <c r="B363" s="54"/>
      <c r="C363" s="54"/>
      <c r="D363" s="35"/>
      <c r="E363" s="35"/>
      <c r="F363" s="35"/>
      <c r="G363" s="7"/>
      <c r="H363" s="7"/>
    </row>
    <row r="364" spans="1:8" s="5" customFormat="1" ht="23.5">
      <c r="A364" s="54"/>
      <c r="B364" s="54"/>
      <c r="C364" s="54"/>
      <c r="D364" s="35"/>
      <c r="E364" s="35"/>
      <c r="F364" s="35"/>
      <c r="G364" s="7"/>
      <c r="H364" s="7"/>
    </row>
    <row r="365" spans="1:8" s="5" customFormat="1" ht="23.5">
      <c r="A365" s="54"/>
      <c r="B365" s="54"/>
      <c r="C365" s="54"/>
      <c r="D365" s="35"/>
      <c r="E365" s="35"/>
      <c r="F365" s="35"/>
      <c r="G365" s="7"/>
      <c r="H365" s="7"/>
    </row>
    <row r="366" spans="1:8" s="5" customFormat="1" ht="23.5">
      <c r="A366" s="54"/>
      <c r="B366" s="54"/>
      <c r="C366" s="54"/>
      <c r="D366" s="35"/>
      <c r="E366" s="35"/>
      <c r="F366" s="35"/>
      <c r="G366" s="7"/>
      <c r="H366" s="7"/>
    </row>
    <row r="367" spans="1:8" s="5" customFormat="1" ht="23.5">
      <c r="A367" s="54"/>
      <c r="B367" s="54"/>
      <c r="C367" s="54"/>
      <c r="D367" s="35"/>
      <c r="E367" s="35"/>
      <c r="F367" s="35"/>
      <c r="G367" s="7"/>
      <c r="H367" s="7"/>
    </row>
    <row r="368" spans="1:8" s="5" customFormat="1" ht="23.5">
      <c r="A368" s="54"/>
      <c r="B368" s="54"/>
      <c r="C368" s="54"/>
      <c r="D368" s="35"/>
      <c r="E368" s="35"/>
      <c r="F368" s="35"/>
      <c r="G368" s="7"/>
      <c r="H368" s="7"/>
    </row>
    <row r="369" spans="1:8" s="5" customFormat="1" ht="23.5">
      <c r="A369" s="54"/>
      <c r="B369" s="54"/>
      <c r="C369" s="54"/>
      <c r="D369" s="35"/>
      <c r="E369" s="35"/>
      <c r="F369" s="35"/>
      <c r="G369" s="7"/>
      <c r="H369" s="7"/>
    </row>
    <row r="370" spans="1:8" s="5" customFormat="1" ht="23.5">
      <c r="A370" s="54"/>
      <c r="B370" s="54"/>
      <c r="C370" s="54"/>
      <c r="D370" s="35"/>
      <c r="E370" s="35"/>
      <c r="F370" s="35"/>
      <c r="G370" s="7"/>
      <c r="H370" s="7"/>
    </row>
    <row r="371" spans="1:8" s="5" customFormat="1" ht="23.5">
      <c r="A371" s="54"/>
      <c r="B371" s="54"/>
      <c r="C371" s="54"/>
      <c r="D371" s="35"/>
      <c r="E371" s="35"/>
      <c r="F371" s="35"/>
      <c r="G371" s="7"/>
      <c r="H371" s="7"/>
    </row>
    <row r="372" spans="1:8" s="5" customFormat="1" ht="23.5">
      <c r="A372" s="54"/>
      <c r="B372" s="54"/>
      <c r="C372" s="54"/>
      <c r="D372" s="35"/>
      <c r="E372" s="35"/>
      <c r="F372" s="35"/>
      <c r="G372" s="7"/>
      <c r="H372" s="7"/>
    </row>
    <row r="373" spans="1:8" s="5" customFormat="1" ht="23.5">
      <c r="A373" s="54"/>
      <c r="B373" s="54"/>
      <c r="C373" s="54"/>
      <c r="D373" s="35"/>
      <c r="E373" s="35"/>
      <c r="F373" s="35"/>
      <c r="G373" s="7"/>
      <c r="H373" s="7"/>
    </row>
    <row r="374" spans="1:8" s="5" customFormat="1" ht="23.5">
      <c r="A374" s="54"/>
      <c r="B374" s="54"/>
      <c r="C374" s="54"/>
      <c r="D374" s="35"/>
      <c r="E374" s="35"/>
      <c r="F374" s="35"/>
      <c r="G374" s="7"/>
      <c r="H374" s="7"/>
    </row>
    <row r="375" spans="1:8" s="5" customFormat="1" ht="23.5">
      <c r="A375" s="54"/>
      <c r="B375" s="54"/>
      <c r="C375" s="54"/>
      <c r="D375" s="35"/>
      <c r="E375" s="35"/>
      <c r="F375" s="35"/>
      <c r="G375" s="7"/>
      <c r="H375" s="7"/>
    </row>
    <row r="376" spans="1:8" s="5" customFormat="1" ht="23.5">
      <c r="A376" s="54"/>
      <c r="B376" s="54"/>
      <c r="C376" s="54"/>
      <c r="D376" s="35"/>
      <c r="E376" s="35"/>
      <c r="F376" s="35"/>
      <c r="G376" s="7"/>
      <c r="H376" s="7"/>
    </row>
    <row r="377" spans="1:8" s="5" customFormat="1" ht="23.5">
      <c r="A377" s="54"/>
      <c r="B377" s="54"/>
      <c r="C377" s="54"/>
      <c r="D377" s="35"/>
      <c r="E377" s="35"/>
      <c r="F377" s="35"/>
      <c r="G377" s="7"/>
      <c r="H377" s="7"/>
    </row>
    <row r="378" spans="1:8" s="5" customFormat="1" ht="23.5">
      <c r="A378" s="54"/>
      <c r="B378" s="54"/>
      <c r="C378" s="54"/>
      <c r="D378" s="35"/>
      <c r="E378" s="35"/>
      <c r="F378" s="35"/>
      <c r="G378" s="7"/>
      <c r="H378" s="7"/>
    </row>
    <row r="379" spans="1:8" s="5" customFormat="1" ht="23.5">
      <c r="A379" s="54"/>
      <c r="B379" s="54"/>
      <c r="C379" s="54"/>
      <c r="D379" s="35"/>
      <c r="E379" s="35"/>
      <c r="F379" s="35"/>
      <c r="G379" s="7"/>
      <c r="H379" s="7"/>
    </row>
    <row r="380" spans="1:8" s="5" customFormat="1" ht="23.5">
      <c r="A380" s="54"/>
      <c r="B380" s="54"/>
      <c r="C380" s="54"/>
      <c r="D380" s="35"/>
      <c r="E380" s="35"/>
      <c r="F380" s="35"/>
      <c r="G380" s="7"/>
      <c r="H380" s="7"/>
    </row>
    <row r="381" spans="1:8" s="5" customFormat="1" ht="23.5">
      <c r="A381" s="54"/>
      <c r="B381" s="54"/>
      <c r="C381" s="54"/>
      <c r="D381" s="35"/>
      <c r="E381" s="35"/>
      <c r="F381" s="35"/>
      <c r="G381" s="7"/>
      <c r="H381" s="7"/>
    </row>
    <row r="382" spans="1:8" s="5" customFormat="1" ht="23.5">
      <c r="A382" s="54"/>
      <c r="B382" s="54"/>
      <c r="C382" s="54"/>
      <c r="D382" s="35"/>
      <c r="E382" s="35"/>
      <c r="F382" s="35"/>
      <c r="G382" s="7"/>
      <c r="H382" s="7"/>
    </row>
    <row r="383" spans="1:8" s="5" customFormat="1" ht="23.5">
      <c r="A383" s="54"/>
      <c r="B383" s="54"/>
      <c r="C383" s="54"/>
      <c r="D383" s="35"/>
      <c r="E383" s="35"/>
      <c r="F383" s="35"/>
      <c r="G383" s="7"/>
      <c r="H383" s="7"/>
    </row>
    <row r="384" spans="1:8" s="5" customFormat="1" ht="23.5">
      <c r="A384" s="54"/>
      <c r="B384" s="54"/>
      <c r="C384" s="54"/>
      <c r="D384" s="35"/>
      <c r="E384" s="35"/>
      <c r="F384" s="35"/>
      <c r="G384" s="7"/>
      <c r="H384" s="7"/>
    </row>
    <row r="385" spans="1:8" s="5" customFormat="1" ht="23.5">
      <c r="A385" s="54"/>
      <c r="B385" s="54"/>
      <c r="C385" s="54"/>
      <c r="D385" s="35"/>
      <c r="E385" s="35"/>
      <c r="F385" s="35"/>
      <c r="G385" s="7"/>
      <c r="H385" s="7"/>
    </row>
    <row r="386" spans="1:8" s="5" customFormat="1" ht="23.5">
      <c r="A386" s="54"/>
      <c r="B386" s="54"/>
      <c r="C386" s="54"/>
      <c r="D386" s="35"/>
      <c r="E386" s="35"/>
      <c r="F386" s="35"/>
      <c r="G386" s="7"/>
      <c r="H386" s="7"/>
    </row>
    <row r="387" spans="1:8" s="5" customFormat="1" ht="23.5">
      <c r="A387" s="54"/>
      <c r="B387" s="54"/>
      <c r="C387" s="54"/>
      <c r="D387" s="35"/>
      <c r="E387" s="35"/>
      <c r="F387" s="35"/>
      <c r="G387" s="7"/>
      <c r="H387" s="7"/>
    </row>
    <row r="388" spans="1:8" s="5" customFormat="1" ht="23.5">
      <c r="A388" s="54"/>
      <c r="B388" s="54"/>
      <c r="C388" s="54"/>
      <c r="D388" s="35"/>
      <c r="E388" s="35"/>
      <c r="F388" s="35"/>
      <c r="G388" s="7"/>
      <c r="H388" s="7"/>
    </row>
    <row r="389" spans="1:8" s="5" customFormat="1" ht="23.5">
      <c r="A389" s="54"/>
      <c r="B389" s="54"/>
      <c r="C389" s="54"/>
      <c r="D389" s="35"/>
      <c r="E389" s="35"/>
      <c r="F389" s="35"/>
      <c r="G389" s="7"/>
      <c r="H389" s="7"/>
    </row>
    <row r="390" spans="1:8" s="5" customFormat="1" ht="23.5">
      <c r="A390" s="54"/>
      <c r="B390" s="54"/>
      <c r="C390" s="54"/>
      <c r="D390" s="35"/>
      <c r="E390" s="35"/>
      <c r="F390" s="35"/>
      <c r="G390" s="7"/>
      <c r="H390" s="7"/>
    </row>
    <row r="391" spans="1:8" s="5" customFormat="1" ht="23.5">
      <c r="A391" s="54"/>
      <c r="B391" s="54"/>
      <c r="C391" s="54"/>
      <c r="D391" s="35"/>
      <c r="E391" s="35"/>
      <c r="F391" s="35"/>
      <c r="G391" s="7"/>
      <c r="H391" s="7"/>
    </row>
    <row r="392" spans="1:8" s="5" customFormat="1" ht="23.5">
      <c r="A392" s="54"/>
      <c r="B392" s="54"/>
      <c r="C392" s="54"/>
      <c r="D392" s="35"/>
      <c r="E392" s="35"/>
      <c r="F392" s="35"/>
      <c r="G392" s="7"/>
      <c r="H392" s="7"/>
    </row>
    <row r="393" spans="1:8" s="5" customFormat="1" ht="23.5">
      <c r="A393" s="54"/>
      <c r="B393" s="54"/>
      <c r="C393" s="54"/>
      <c r="D393" s="35"/>
      <c r="E393" s="35"/>
      <c r="F393" s="35"/>
      <c r="G393" s="7"/>
      <c r="H393" s="7"/>
    </row>
    <row r="394" spans="1:8" s="5" customFormat="1" ht="23.5">
      <c r="A394" s="54"/>
      <c r="B394" s="54"/>
      <c r="C394" s="54"/>
      <c r="D394" s="35"/>
      <c r="E394" s="35"/>
      <c r="F394" s="35"/>
      <c r="G394" s="7"/>
      <c r="H394" s="7"/>
    </row>
    <row r="395" spans="1:8" s="5" customFormat="1" ht="23.5">
      <c r="A395" s="54"/>
      <c r="B395" s="54"/>
      <c r="C395" s="54"/>
      <c r="D395" s="35"/>
      <c r="E395" s="35"/>
      <c r="F395" s="35"/>
      <c r="G395" s="7"/>
      <c r="H395" s="7"/>
    </row>
    <row r="396" spans="1:8" s="5" customFormat="1" ht="23.5">
      <c r="A396" s="54"/>
      <c r="B396" s="54"/>
      <c r="C396" s="54"/>
      <c r="D396" s="35"/>
      <c r="E396" s="35"/>
      <c r="F396" s="35"/>
      <c r="G396" s="7"/>
      <c r="H396" s="7"/>
    </row>
    <row r="397" spans="1:8" s="5" customFormat="1" ht="23.5">
      <c r="A397" s="54"/>
      <c r="B397" s="54"/>
      <c r="C397" s="54"/>
      <c r="D397" s="35"/>
      <c r="E397" s="35"/>
      <c r="F397" s="35"/>
      <c r="G397" s="7"/>
      <c r="H397" s="7"/>
    </row>
    <row r="398" spans="1:8" s="5" customFormat="1" ht="23.5">
      <c r="A398" s="54"/>
      <c r="B398" s="54"/>
      <c r="C398" s="54"/>
      <c r="D398" s="35"/>
      <c r="E398" s="35"/>
      <c r="F398" s="35"/>
      <c r="G398" s="7"/>
      <c r="H398" s="7"/>
    </row>
    <row r="399" spans="1:8" s="5" customFormat="1" ht="23.5">
      <c r="A399" s="54"/>
      <c r="B399" s="54"/>
      <c r="C399" s="54"/>
      <c r="D399" s="35"/>
      <c r="E399" s="35"/>
      <c r="F399" s="35"/>
      <c r="G399" s="7"/>
      <c r="H399" s="7"/>
    </row>
    <row r="400" spans="1:8" s="5" customFormat="1" ht="23.5">
      <c r="A400" s="54"/>
      <c r="B400" s="54"/>
      <c r="C400" s="54"/>
      <c r="D400" s="35"/>
      <c r="E400" s="35"/>
      <c r="F400" s="35"/>
      <c r="G400" s="7"/>
      <c r="H400" s="7"/>
    </row>
    <row r="401" spans="1:8" s="5" customFormat="1" ht="23.5">
      <c r="A401" s="54"/>
      <c r="B401" s="54"/>
      <c r="C401" s="54"/>
      <c r="D401" s="35"/>
      <c r="E401" s="35"/>
      <c r="F401" s="35"/>
      <c r="G401" s="7"/>
      <c r="H401" s="7"/>
    </row>
    <row r="402" spans="1:8" s="5" customFormat="1" ht="23.5">
      <c r="A402" s="54"/>
      <c r="B402" s="54"/>
      <c r="C402" s="54"/>
      <c r="D402" s="35"/>
      <c r="E402" s="35"/>
      <c r="F402" s="35"/>
      <c r="G402" s="7"/>
      <c r="H402" s="7"/>
    </row>
    <row r="403" spans="1:8" s="5" customFormat="1" ht="23.5">
      <c r="A403" s="54"/>
      <c r="B403" s="54"/>
      <c r="C403" s="54"/>
      <c r="D403" s="35"/>
      <c r="E403" s="35"/>
      <c r="F403" s="35"/>
      <c r="G403" s="7"/>
      <c r="H403" s="7"/>
    </row>
    <row r="404" spans="1:8" s="5" customFormat="1" ht="23.5">
      <c r="A404" s="54"/>
      <c r="B404" s="54"/>
      <c r="C404" s="54"/>
      <c r="D404" s="35"/>
      <c r="E404" s="35"/>
      <c r="F404" s="35"/>
      <c r="G404" s="7"/>
      <c r="H404" s="7"/>
    </row>
    <row r="405" spans="1:8" s="5" customFormat="1" ht="23.5">
      <c r="A405" s="54"/>
      <c r="B405" s="54"/>
      <c r="C405" s="54"/>
      <c r="D405" s="35"/>
      <c r="E405" s="35"/>
      <c r="F405" s="35"/>
      <c r="G405" s="7"/>
      <c r="H405" s="7"/>
    </row>
    <row r="406" spans="1:8" s="5" customFormat="1" ht="23.5">
      <c r="A406" s="54"/>
      <c r="B406" s="54"/>
      <c r="C406" s="54"/>
      <c r="D406" s="35"/>
      <c r="E406" s="35"/>
      <c r="F406" s="35"/>
      <c r="G406" s="7"/>
      <c r="H406" s="7"/>
    </row>
    <row r="407" spans="1:8" s="5" customFormat="1" ht="23.5">
      <c r="A407" s="54"/>
      <c r="B407" s="54"/>
      <c r="C407" s="54"/>
      <c r="D407" s="35"/>
      <c r="E407" s="35"/>
      <c r="F407" s="35"/>
      <c r="G407" s="7"/>
      <c r="H407" s="7"/>
    </row>
    <row r="408" spans="1:8" s="5" customFormat="1" ht="23.5">
      <c r="A408" s="54"/>
      <c r="B408" s="54"/>
      <c r="C408" s="54"/>
      <c r="D408" s="35"/>
      <c r="E408" s="35"/>
      <c r="F408" s="35"/>
      <c r="G408" s="7"/>
      <c r="H408" s="7"/>
    </row>
    <row r="409" spans="1:8" s="5" customFormat="1" ht="23.5">
      <c r="A409" s="54"/>
      <c r="B409" s="54"/>
      <c r="C409" s="54"/>
      <c r="D409" s="35"/>
      <c r="E409" s="35"/>
      <c r="F409" s="35"/>
      <c r="G409" s="7"/>
      <c r="H409" s="7"/>
    </row>
    <row r="410" spans="1:8" s="5" customFormat="1" ht="23.5">
      <c r="A410" s="54"/>
      <c r="B410" s="54"/>
      <c r="C410" s="54"/>
      <c r="D410" s="35"/>
      <c r="E410" s="35"/>
      <c r="F410" s="35"/>
      <c r="G410" s="7"/>
      <c r="H410" s="7"/>
    </row>
    <row r="411" spans="1:8" s="5" customFormat="1" ht="23.5">
      <c r="A411" s="54"/>
      <c r="B411" s="54"/>
      <c r="C411" s="54"/>
      <c r="D411" s="35"/>
      <c r="E411" s="35"/>
      <c r="F411" s="35"/>
      <c r="G411" s="7"/>
      <c r="H411" s="7"/>
    </row>
    <row r="412" spans="1:8" s="5" customFormat="1" ht="23.5">
      <c r="A412" s="54"/>
      <c r="B412" s="54"/>
      <c r="C412" s="54"/>
      <c r="D412" s="35"/>
      <c r="E412" s="35"/>
      <c r="F412" s="35"/>
      <c r="G412" s="7"/>
      <c r="H412" s="7"/>
    </row>
    <row r="413" spans="1:8" s="5" customFormat="1" ht="23.5">
      <c r="A413" s="54"/>
      <c r="B413" s="54"/>
      <c r="C413" s="54"/>
      <c r="D413" s="35"/>
      <c r="E413" s="35"/>
      <c r="F413" s="35"/>
      <c r="G413" s="7"/>
      <c r="H413" s="7"/>
    </row>
    <row r="414" spans="1:8" s="5" customFormat="1" ht="23.5">
      <c r="A414" s="54"/>
      <c r="B414" s="54"/>
      <c r="C414" s="54"/>
      <c r="D414" s="35"/>
      <c r="E414" s="35"/>
      <c r="F414" s="35"/>
      <c r="G414" s="7"/>
      <c r="H414" s="7"/>
    </row>
    <row r="415" spans="1:8" s="5" customFormat="1" ht="23.5">
      <c r="A415" s="54"/>
      <c r="B415" s="54"/>
      <c r="C415" s="54"/>
      <c r="D415" s="35"/>
      <c r="E415" s="35"/>
      <c r="F415" s="35"/>
      <c r="G415" s="7"/>
      <c r="H415" s="7"/>
    </row>
    <row r="416" spans="1:8" s="5" customFormat="1" ht="23.5">
      <c r="A416" s="54"/>
      <c r="B416" s="54"/>
      <c r="C416" s="54"/>
      <c r="D416" s="35"/>
      <c r="E416" s="35"/>
      <c r="F416" s="35"/>
      <c r="G416" s="7"/>
      <c r="H416" s="7"/>
    </row>
    <row r="417" spans="1:8" s="5" customFormat="1" ht="23.5">
      <c r="A417" s="54"/>
      <c r="B417" s="54"/>
      <c r="C417" s="54"/>
      <c r="D417" s="35"/>
      <c r="E417" s="35"/>
      <c r="F417" s="35"/>
      <c r="G417" s="7"/>
      <c r="H417" s="7"/>
    </row>
    <row r="418" spans="1:8" s="5" customFormat="1" ht="23.5">
      <c r="A418" s="54"/>
      <c r="B418" s="54"/>
      <c r="C418" s="54"/>
      <c r="D418" s="35"/>
      <c r="E418" s="35"/>
      <c r="F418" s="35"/>
      <c r="G418" s="7"/>
      <c r="H418" s="7"/>
    </row>
    <row r="419" spans="1:8" s="5" customFormat="1" ht="23.5">
      <c r="A419" s="54"/>
      <c r="B419" s="54"/>
      <c r="C419" s="54"/>
      <c r="D419" s="35"/>
      <c r="E419" s="35"/>
      <c r="F419" s="35"/>
      <c r="G419" s="7"/>
      <c r="H419" s="7"/>
    </row>
    <row r="420" spans="1:8" s="5" customFormat="1" ht="23.5">
      <c r="A420" s="54"/>
      <c r="B420" s="54"/>
      <c r="C420" s="54"/>
      <c r="D420" s="35"/>
      <c r="E420" s="35"/>
      <c r="F420" s="35"/>
      <c r="G420" s="7"/>
      <c r="H420" s="7"/>
    </row>
    <row r="421" spans="1:8" s="5" customFormat="1" ht="23.5">
      <c r="A421" s="54"/>
      <c r="B421" s="54"/>
      <c r="C421" s="54"/>
      <c r="D421" s="35"/>
      <c r="E421" s="35"/>
      <c r="F421" s="35"/>
      <c r="G421" s="7"/>
      <c r="H421" s="7"/>
    </row>
    <row r="422" spans="1:8" s="5" customFormat="1" ht="23.5">
      <c r="A422" s="54"/>
      <c r="B422" s="54"/>
      <c r="C422" s="54"/>
      <c r="D422" s="35"/>
      <c r="E422" s="35"/>
      <c r="F422" s="35"/>
      <c r="G422" s="7"/>
      <c r="H422" s="7"/>
    </row>
    <row r="423" spans="1:8" s="5" customFormat="1" ht="23.5">
      <c r="A423" s="54"/>
      <c r="B423" s="54"/>
      <c r="C423" s="54"/>
      <c r="D423" s="35"/>
      <c r="E423" s="35"/>
      <c r="F423" s="35"/>
      <c r="G423" s="7"/>
      <c r="H423" s="7"/>
    </row>
    <row r="424" spans="1:8" s="5" customFormat="1" ht="23.5">
      <c r="A424" s="54"/>
      <c r="B424" s="54"/>
      <c r="C424" s="54"/>
      <c r="D424" s="35"/>
      <c r="E424" s="35"/>
      <c r="F424" s="35"/>
      <c r="G424" s="7"/>
      <c r="H424" s="7"/>
    </row>
    <row r="425" spans="1:8" s="5" customFormat="1" ht="23.5">
      <c r="A425" s="54"/>
      <c r="B425" s="54"/>
      <c r="C425" s="54"/>
      <c r="D425" s="35"/>
      <c r="E425" s="35"/>
      <c r="F425" s="35"/>
      <c r="G425" s="7"/>
      <c r="H425" s="7"/>
    </row>
    <row r="426" spans="1:8" s="5" customFormat="1" ht="23.5">
      <c r="A426" s="54"/>
      <c r="B426" s="54"/>
      <c r="C426" s="54"/>
      <c r="D426" s="35"/>
      <c r="E426" s="35"/>
      <c r="F426" s="35"/>
      <c r="G426" s="7"/>
      <c r="H426" s="7"/>
    </row>
    <row r="427" spans="1:8" s="5" customFormat="1" ht="23.5">
      <c r="A427" s="54"/>
      <c r="B427" s="54"/>
      <c r="C427" s="54"/>
      <c r="D427" s="35"/>
      <c r="E427" s="35"/>
      <c r="F427" s="35"/>
      <c r="G427" s="7"/>
      <c r="H427" s="7"/>
    </row>
    <row r="428" spans="1:8" s="5" customFormat="1" ht="23.5">
      <c r="A428" s="54"/>
      <c r="B428" s="54"/>
      <c r="C428" s="54"/>
      <c r="D428" s="35"/>
      <c r="E428" s="35"/>
      <c r="F428" s="35"/>
      <c r="G428" s="7"/>
      <c r="H428" s="7"/>
    </row>
    <row r="429" spans="1:8" s="5" customFormat="1" ht="23.5">
      <c r="A429" s="54"/>
      <c r="B429" s="54"/>
      <c r="C429" s="54"/>
      <c r="D429" s="35"/>
      <c r="E429" s="35"/>
      <c r="F429" s="35"/>
      <c r="G429" s="7"/>
      <c r="H429" s="7"/>
    </row>
    <row r="430" spans="1:8" s="5" customFormat="1" ht="23.5">
      <c r="A430" s="54"/>
      <c r="B430" s="54"/>
      <c r="C430" s="54"/>
      <c r="D430" s="35"/>
      <c r="E430" s="35"/>
      <c r="F430" s="35"/>
      <c r="G430" s="7"/>
      <c r="H430" s="7"/>
    </row>
    <row r="431" spans="1:8" s="5" customFormat="1" ht="23.5">
      <c r="A431" s="54"/>
      <c r="B431" s="54"/>
      <c r="C431" s="54"/>
      <c r="D431" s="35"/>
      <c r="E431" s="35"/>
      <c r="F431" s="35"/>
      <c r="G431" s="7"/>
      <c r="H431" s="7"/>
    </row>
    <row r="432" spans="1:8" s="5" customFormat="1" ht="23.5">
      <c r="A432" s="54"/>
      <c r="B432" s="54"/>
      <c r="C432" s="54"/>
      <c r="D432" s="35"/>
      <c r="E432" s="35"/>
      <c r="F432" s="35"/>
      <c r="G432" s="7"/>
      <c r="H432" s="7"/>
    </row>
    <row r="433" spans="1:8" s="5" customFormat="1" ht="23.5">
      <c r="A433" s="54"/>
      <c r="B433" s="54"/>
      <c r="C433" s="54"/>
      <c r="D433" s="35"/>
      <c r="E433" s="35"/>
      <c r="F433" s="35"/>
      <c r="G433" s="7"/>
      <c r="H433" s="7"/>
    </row>
    <row r="434" spans="1:8" s="5" customFormat="1" ht="23.5">
      <c r="A434" s="54"/>
      <c r="B434" s="54"/>
      <c r="C434" s="54"/>
      <c r="D434" s="35"/>
      <c r="E434" s="35"/>
      <c r="F434" s="35"/>
      <c r="G434" s="7"/>
      <c r="H434" s="7"/>
    </row>
    <row r="435" spans="1:8" s="5" customFormat="1" ht="23.5">
      <c r="A435" s="54"/>
      <c r="B435" s="54"/>
      <c r="C435" s="54"/>
      <c r="D435" s="35"/>
      <c r="E435" s="35"/>
      <c r="F435" s="35"/>
      <c r="G435" s="7"/>
      <c r="H435" s="7"/>
    </row>
    <row r="436" spans="1:8" s="5" customFormat="1" ht="23.5">
      <c r="A436" s="54"/>
      <c r="B436" s="54"/>
      <c r="C436" s="54"/>
      <c r="D436" s="35"/>
      <c r="E436" s="35"/>
      <c r="F436" s="35"/>
      <c r="G436" s="7"/>
      <c r="H436" s="7"/>
    </row>
    <row r="437" spans="1:8" s="5" customFormat="1" ht="23.5">
      <c r="A437" s="54"/>
      <c r="B437" s="54"/>
      <c r="C437" s="54"/>
      <c r="D437" s="35"/>
      <c r="E437" s="35"/>
      <c r="F437" s="35"/>
      <c r="G437" s="7"/>
      <c r="H437" s="7"/>
    </row>
    <row r="438" spans="1:8" s="5" customFormat="1" ht="23.5">
      <c r="A438" s="54"/>
      <c r="B438" s="54"/>
      <c r="C438" s="54"/>
      <c r="D438" s="35"/>
      <c r="E438" s="35"/>
      <c r="F438" s="35"/>
      <c r="G438" s="7"/>
      <c r="H438" s="7"/>
    </row>
    <row r="439" spans="1:8" s="5" customFormat="1" ht="23.5">
      <c r="A439" s="54"/>
      <c r="B439" s="54"/>
      <c r="C439" s="54"/>
      <c r="D439" s="35"/>
      <c r="E439" s="35"/>
      <c r="F439" s="35"/>
      <c r="G439" s="7"/>
      <c r="H439" s="7"/>
    </row>
    <row r="440" spans="1:8" s="5" customFormat="1" ht="23.5">
      <c r="A440" s="54"/>
      <c r="B440" s="54"/>
      <c r="C440" s="54"/>
      <c r="D440" s="35"/>
      <c r="E440" s="35"/>
      <c r="F440" s="35"/>
      <c r="G440" s="7"/>
      <c r="H440" s="7"/>
    </row>
    <row r="441" spans="1:8" s="5" customFormat="1" ht="23.5">
      <c r="A441" s="54"/>
      <c r="B441" s="54"/>
      <c r="C441" s="54"/>
      <c r="D441" s="35"/>
      <c r="E441" s="35"/>
      <c r="F441" s="35"/>
      <c r="G441" s="7"/>
      <c r="H441" s="7"/>
    </row>
    <row r="442" spans="1:8" s="5" customFormat="1" ht="23.5">
      <c r="A442" s="54"/>
      <c r="B442" s="54"/>
      <c r="C442" s="54"/>
      <c r="D442" s="35"/>
      <c r="E442" s="35"/>
      <c r="F442" s="35"/>
      <c r="G442" s="7"/>
      <c r="H442" s="7"/>
    </row>
    <row r="443" spans="1:8" s="5" customFormat="1" ht="23.5">
      <c r="A443" s="54"/>
      <c r="B443" s="54"/>
      <c r="C443" s="54"/>
      <c r="D443" s="35"/>
      <c r="E443" s="35"/>
      <c r="F443" s="35"/>
      <c r="G443" s="7"/>
      <c r="H443" s="7"/>
    </row>
    <row r="444" spans="1:8" s="5" customFormat="1" ht="23.5">
      <c r="A444" s="54"/>
      <c r="B444" s="54"/>
      <c r="C444" s="54"/>
      <c r="D444" s="35"/>
      <c r="E444" s="35"/>
      <c r="F444" s="35"/>
      <c r="G444" s="7"/>
      <c r="H444" s="7"/>
    </row>
    <row r="445" spans="1:8" s="5" customFormat="1" ht="23.5">
      <c r="A445" s="54"/>
      <c r="B445" s="54"/>
      <c r="C445" s="54"/>
      <c r="D445" s="35"/>
      <c r="E445" s="35"/>
      <c r="F445" s="35"/>
      <c r="G445" s="7"/>
      <c r="H445" s="7"/>
    </row>
    <row r="446" spans="1:8" s="5" customFormat="1" ht="23.5">
      <c r="A446" s="54"/>
      <c r="B446" s="54"/>
      <c r="C446" s="54"/>
      <c r="D446" s="35"/>
      <c r="E446" s="35"/>
      <c r="F446" s="35"/>
      <c r="G446" s="7"/>
      <c r="H446" s="7"/>
    </row>
    <row r="447" spans="1:8" s="5" customFormat="1" ht="23.5">
      <c r="A447" s="54"/>
      <c r="B447" s="54"/>
      <c r="C447" s="54"/>
      <c r="D447" s="35"/>
      <c r="E447" s="35"/>
      <c r="F447" s="35"/>
      <c r="G447" s="7"/>
      <c r="H447" s="7"/>
    </row>
    <row r="448" spans="1:8" s="5" customFormat="1" ht="23.5">
      <c r="A448" s="54"/>
      <c r="B448" s="54"/>
      <c r="C448" s="54"/>
      <c r="D448" s="35"/>
      <c r="E448" s="35"/>
      <c r="F448" s="35"/>
      <c r="G448" s="7"/>
      <c r="H448" s="7"/>
    </row>
    <row r="449" spans="1:8" s="5" customFormat="1" ht="23.5">
      <c r="A449" s="54"/>
      <c r="B449" s="54"/>
      <c r="C449" s="54"/>
      <c r="D449" s="35"/>
      <c r="E449" s="35"/>
      <c r="F449" s="35"/>
      <c r="G449" s="7"/>
      <c r="H449" s="7"/>
    </row>
    <row r="450" spans="1:8" s="5" customFormat="1" ht="23.5">
      <c r="A450" s="54"/>
      <c r="B450" s="54"/>
      <c r="C450" s="54"/>
      <c r="D450" s="35"/>
      <c r="E450" s="35"/>
      <c r="F450" s="35"/>
      <c r="G450" s="7"/>
      <c r="H450" s="7"/>
    </row>
    <row r="451" spans="1:8" s="5" customFormat="1" ht="23.5">
      <c r="A451" s="54"/>
      <c r="B451" s="54"/>
      <c r="C451" s="54"/>
      <c r="D451" s="35"/>
      <c r="E451" s="35"/>
      <c r="F451" s="35"/>
      <c r="G451" s="7"/>
      <c r="H451" s="7"/>
    </row>
    <row r="452" spans="1:8" s="5" customFormat="1" ht="23.5">
      <c r="A452" s="54"/>
      <c r="B452" s="54"/>
      <c r="C452" s="54"/>
      <c r="D452" s="35"/>
      <c r="E452" s="35"/>
      <c r="F452" s="35"/>
      <c r="G452" s="7"/>
      <c r="H452" s="7"/>
    </row>
    <row r="453" spans="1:8" s="5" customFormat="1" ht="23.5">
      <c r="A453" s="54"/>
      <c r="B453" s="54"/>
      <c r="C453" s="54"/>
      <c r="D453" s="35"/>
      <c r="E453" s="35"/>
      <c r="F453" s="35"/>
      <c r="G453" s="7"/>
      <c r="H453" s="7"/>
    </row>
    <row r="454" spans="1:8" s="5" customFormat="1" ht="23.5">
      <c r="A454" s="54"/>
      <c r="B454" s="54"/>
      <c r="C454" s="54"/>
      <c r="D454" s="35"/>
      <c r="E454" s="35"/>
      <c r="F454" s="35"/>
      <c r="G454" s="7"/>
      <c r="H454" s="7"/>
    </row>
    <row r="455" spans="1:8" s="5" customFormat="1" ht="23.5">
      <c r="A455" s="54"/>
      <c r="B455" s="54"/>
      <c r="C455" s="54"/>
      <c r="D455" s="35"/>
      <c r="E455" s="35"/>
      <c r="F455" s="35"/>
      <c r="G455" s="7"/>
      <c r="H455" s="7"/>
    </row>
    <row r="456" spans="1:8" s="5" customFormat="1" ht="23.5">
      <c r="A456" s="54"/>
      <c r="B456" s="54"/>
      <c r="C456" s="54"/>
      <c r="D456" s="35"/>
      <c r="E456" s="35"/>
      <c r="F456" s="35"/>
      <c r="G456" s="7"/>
      <c r="H456" s="7"/>
    </row>
    <row r="457" spans="1:8" s="5" customFormat="1" ht="23.5">
      <c r="A457" s="54"/>
      <c r="B457" s="54"/>
      <c r="C457" s="54"/>
      <c r="D457" s="35"/>
      <c r="E457" s="35"/>
      <c r="F457" s="35"/>
      <c r="G457" s="7"/>
      <c r="H457" s="7"/>
    </row>
    <row r="458" spans="1:8" s="5" customFormat="1" ht="23.5">
      <c r="A458" s="54"/>
      <c r="B458" s="54"/>
      <c r="C458" s="54"/>
      <c r="D458" s="35"/>
      <c r="E458" s="35"/>
      <c r="F458" s="35"/>
      <c r="G458" s="7"/>
      <c r="H458" s="7"/>
    </row>
    <row r="459" spans="1:8" s="5" customFormat="1" ht="23.5">
      <c r="A459" s="54"/>
      <c r="B459" s="54"/>
      <c r="C459" s="54"/>
      <c r="D459" s="35"/>
      <c r="E459" s="35"/>
      <c r="F459" s="35"/>
      <c r="G459" s="7"/>
      <c r="H459" s="7"/>
    </row>
    <row r="460" spans="1:8" s="5" customFormat="1" ht="23.5">
      <c r="A460" s="54"/>
      <c r="B460" s="54"/>
      <c r="C460" s="54"/>
      <c r="D460" s="35"/>
      <c r="E460" s="35"/>
      <c r="F460" s="35"/>
      <c r="G460" s="7"/>
      <c r="H460" s="7"/>
    </row>
    <row r="461" spans="1:8" s="5" customFormat="1" ht="23.5">
      <c r="A461" s="54"/>
      <c r="B461" s="54"/>
      <c r="C461" s="54"/>
      <c r="D461" s="35"/>
      <c r="E461" s="35"/>
      <c r="F461" s="35"/>
      <c r="G461" s="7"/>
      <c r="H461" s="7"/>
    </row>
    <row r="462" spans="1:8" s="5" customFormat="1" ht="23.5">
      <c r="A462" s="54"/>
      <c r="B462" s="54"/>
      <c r="C462" s="54"/>
      <c r="D462" s="35"/>
      <c r="E462" s="35"/>
      <c r="F462" s="35"/>
      <c r="G462" s="7"/>
      <c r="H462" s="7"/>
    </row>
    <row r="463" spans="1:8" s="5" customFormat="1" ht="23.5">
      <c r="A463" s="54"/>
      <c r="B463" s="54"/>
      <c r="C463" s="54"/>
      <c r="D463" s="35"/>
      <c r="E463" s="35"/>
      <c r="F463" s="35"/>
      <c r="G463" s="7"/>
      <c r="H463" s="7"/>
    </row>
    <row r="464" spans="1:8" s="5" customFormat="1" ht="23.5">
      <c r="A464" s="54"/>
      <c r="B464" s="54"/>
      <c r="C464" s="54"/>
      <c r="D464" s="35"/>
      <c r="E464" s="35"/>
      <c r="F464" s="35"/>
      <c r="G464" s="7"/>
      <c r="H464" s="7"/>
    </row>
    <row r="465" spans="1:8" s="5" customFormat="1" ht="23.5">
      <c r="A465" s="54"/>
      <c r="B465" s="54"/>
      <c r="C465" s="54"/>
      <c r="D465" s="35"/>
      <c r="E465" s="35"/>
      <c r="F465" s="35"/>
      <c r="G465" s="7"/>
      <c r="H465" s="7"/>
    </row>
    <row r="466" spans="1:8" s="5" customFormat="1" ht="23.5">
      <c r="A466" s="54"/>
      <c r="B466" s="54"/>
      <c r="C466" s="54"/>
      <c r="D466" s="35"/>
      <c r="E466" s="35"/>
      <c r="F466" s="35"/>
      <c r="G466" s="7"/>
      <c r="H466" s="7"/>
    </row>
    <row r="467" spans="1:8" s="5" customFormat="1" ht="23.5">
      <c r="A467" s="54"/>
      <c r="B467" s="54"/>
      <c r="C467" s="54"/>
      <c r="D467" s="35"/>
      <c r="E467" s="35"/>
      <c r="F467" s="35"/>
      <c r="G467" s="7"/>
      <c r="H467" s="7"/>
    </row>
    <row r="468" spans="1:8" s="5" customFormat="1" ht="23.5">
      <c r="A468" s="54"/>
      <c r="B468" s="54"/>
      <c r="C468" s="54"/>
      <c r="D468" s="35"/>
      <c r="E468" s="35"/>
      <c r="F468" s="35"/>
      <c r="G468" s="7"/>
      <c r="H468" s="7"/>
    </row>
    <row r="469" spans="1:8" s="5" customFormat="1" ht="23.5">
      <c r="A469" s="54"/>
      <c r="B469" s="54"/>
      <c r="C469" s="54"/>
      <c r="D469" s="35"/>
      <c r="E469" s="35"/>
      <c r="F469" s="35"/>
      <c r="G469" s="7"/>
      <c r="H469" s="7"/>
    </row>
    <row r="470" spans="1:8" s="5" customFormat="1" ht="23.5">
      <c r="A470" s="54"/>
      <c r="B470" s="54"/>
      <c r="C470" s="54"/>
      <c r="D470" s="35"/>
      <c r="E470" s="35"/>
      <c r="F470" s="35"/>
      <c r="G470" s="7"/>
      <c r="H470" s="7"/>
    </row>
    <row r="471" spans="1:8" s="5" customFormat="1" ht="23.5">
      <c r="A471" s="54"/>
      <c r="B471" s="54"/>
      <c r="C471" s="54"/>
      <c r="D471" s="35"/>
      <c r="E471" s="35"/>
      <c r="F471" s="35"/>
      <c r="G471" s="7"/>
      <c r="H471" s="7"/>
    </row>
    <row r="472" spans="1:8" s="5" customFormat="1" ht="23.5">
      <c r="A472" s="54"/>
      <c r="B472" s="54"/>
      <c r="C472" s="54"/>
      <c r="D472" s="35"/>
      <c r="E472" s="35"/>
      <c r="F472" s="35"/>
      <c r="G472" s="7"/>
      <c r="H472" s="7"/>
    </row>
    <row r="473" spans="1:8" s="5" customFormat="1" ht="23.5">
      <c r="A473" s="54"/>
      <c r="B473" s="54"/>
      <c r="C473" s="54"/>
      <c r="D473" s="35"/>
      <c r="E473" s="35"/>
      <c r="F473" s="35"/>
      <c r="G473" s="7"/>
      <c r="H473" s="7"/>
    </row>
    <row r="474" spans="1:8" s="5" customFormat="1" ht="23.5">
      <c r="A474" s="54"/>
      <c r="B474" s="54"/>
      <c r="C474" s="54"/>
      <c r="D474" s="35"/>
      <c r="E474" s="35"/>
      <c r="F474" s="35"/>
      <c r="G474" s="7"/>
      <c r="H474" s="7"/>
    </row>
    <row r="475" spans="1:8" s="5" customFormat="1" ht="23.5">
      <c r="A475" s="54"/>
      <c r="B475" s="54"/>
      <c r="C475" s="54"/>
      <c r="D475" s="35"/>
      <c r="E475" s="35"/>
      <c r="F475" s="35"/>
      <c r="G475" s="7"/>
      <c r="H475" s="7"/>
    </row>
    <row r="476" spans="1:8" s="5" customFormat="1" ht="23.5">
      <c r="A476" s="54"/>
      <c r="B476" s="54"/>
      <c r="C476" s="54"/>
      <c r="D476" s="35"/>
      <c r="E476" s="35"/>
      <c r="F476" s="35"/>
      <c r="G476" s="7"/>
      <c r="H476" s="7"/>
    </row>
    <row r="477" spans="1:8" s="5" customFormat="1" ht="23.5">
      <c r="A477" s="54"/>
      <c r="B477" s="54"/>
      <c r="C477" s="54"/>
      <c r="D477" s="35"/>
      <c r="E477" s="35"/>
      <c r="F477" s="35"/>
      <c r="G477" s="7"/>
      <c r="H477" s="7"/>
    </row>
    <row r="478" spans="1:8" s="5" customFormat="1" ht="23.5">
      <c r="A478" s="54"/>
      <c r="B478" s="54"/>
      <c r="C478" s="54"/>
      <c r="D478" s="35"/>
      <c r="E478" s="35"/>
      <c r="F478" s="35"/>
      <c r="G478" s="7"/>
      <c r="H478" s="7"/>
    </row>
    <row r="479" spans="1:8" s="5" customFormat="1" ht="23.5">
      <c r="A479" s="54"/>
      <c r="B479" s="54"/>
      <c r="C479" s="54"/>
      <c r="D479" s="35"/>
      <c r="E479" s="35"/>
      <c r="F479" s="35"/>
      <c r="G479" s="7"/>
      <c r="H479" s="7"/>
    </row>
    <row r="480" spans="1:8" s="5" customFormat="1" ht="23.5">
      <c r="A480" s="54"/>
      <c r="B480" s="54"/>
      <c r="C480" s="54"/>
      <c r="D480" s="35"/>
      <c r="E480" s="35"/>
      <c r="F480" s="35"/>
      <c r="G480" s="7"/>
      <c r="H480" s="7"/>
    </row>
    <row r="481" spans="1:8" s="5" customFormat="1" ht="23.5">
      <c r="A481" s="54"/>
      <c r="B481" s="54"/>
      <c r="C481" s="54"/>
      <c r="D481" s="35"/>
      <c r="E481" s="35"/>
      <c r="F481" s="35"/>
      <c r="G481" s="7"/>
      <c r="H481" s="7"/>
    </row>
    <row r="482" spans="1:8" s="5" customFormat="1" ht="23.5">
      <c r="A482" s="54"/>
      <c r="B482" s="54"/>
      <c r="C482" s="54"/>
      <c r="D482" s="35"/>
      <c r="E482" s="35"/>
      <c r="F482" s="35"/>
      <c r="G482" s="7"/>
      <c r="H482" s="7"/>
    </row>
    <row r="483" spans="1:8" s="5" customFormat="1" ht="23.5">
      <c r="A483" s="54"/>
      <c r="B483" s="54"/>
      <c r="C483" s="54"/>
      <c r="D483" s="35"/>
      <c r="E483" s="35"/>
      <c r="F483" s="35"/>
      <c r="G483" s="7"/>
      <c r="H483" s="7"/>
    </row>
    <row r="484" spans="1:8" s="5" customFormat="1" ht="23.5">
      <c r="A484" s="54"/>
      <c r="B484" s="54"/>
      <c r="C484" s="54"/>
      <c r="D484" s="35"/>
      <c r="E484" s="35"/>
      <c r="F484" s="35"/>
      <c r="G484" s="7"/>
      <c r="H484" s="7"/>
    </row>
    <row r="485" spans="1:8" s="5" customFormat="1" ht="23.5">
      <c r="A485" s="54"/>
      <c r="B485" s="54"/>
      <c r="C485" s="54"/>
      <c r="D485" s="35"/>
      <c r="E485" s="35"/>
      <c r="F485" s="35"/>
      <c r="G485" s="7"/>
      <c r="H485" s="7"/>
    </row>
    <row r="486" spans="1:8" s="5" customFormat="1" ht="23.5">
      <c r="A486" s="54"/>
      <c r="B486" s="54"/>
      <c r="C486" s="54"/>
      <c r="D486" s="35"/>
      <c r="E486" s="35"/>
      <c r="F486" s="35"/>
      <c r="G486" s="7"/>
      <c r="H486" s="7"/>
    </row>
    <row r="487" spans="1:8" s="5" customFormat="1" ht="23.5">
      <c r="A487" s="54"/>
      <c r="B487" s="54"/>
      <c r="C487" s="54"/>
      <c r="D487" s="35"/>
      <c r="E487" s="35"/>
      <c r="F487" s="35"/>
      <c r="G487" s="7"/>
      <c r="H487" s="7"/>
    </row>
    <row r="488" spans="1:8" s="5" customFormat="1" ht="23.5">
      <c r="A488" s="54"/>
      <c r="B488" s="54"/>
      <c r="C488" s="54"/>
      <c r="D488" s="35"/>
      <c r="E488" s="35"/>
      <c r="F488" s="35"/>
      <c r="G488" s="7"/>
      <c r="H488" s="7"/>
    </row>
    <row r="489" spans="1:8" s="5" customFormat="1" ht="23.5">
      <c r="A489" s="54"/>
      <c r="B489" s="54"/>
      <c r="C489" s="54"/>
      <c r="D489" s="35"/>
      <c r="E489" s="35"/>
      <c r="F489" s="35"/>
      <c r="G489" s="7"/>
      <c r="H489" s="7"/>
    </row>
    <row r="490" spans="1:8" s="5" customFormat="1" ht="23.5">
      <c r="A490" s="54"/>
      <c r="B490" s="54"/>
      <c r="C490" s="54"/>
      <c r="D490" s="35"/>
      <c r="E490" s="35"/>
      <c r="F490" s="35"/>
      <c r="G490" s="7"/>
      <c r="H490" s="7"/>
    </row>
    <row r="491" spans="1:8" s="5" customFormat="1" ht="23.5">
      <c r="A491" s="54"/>
      <c r="B491" s="54"/>
      <c r="C491" s="54"/>
      <c r="D491" s="35"/>
      <c r="E491" s="35"/>
      <c r="F491" s="35"/>
      <c r="G491" s="7"/>
      <c r="H491" s="7"/>
    </row>
    <row r="492" spans="1:8" s="5" customFormat="1" ht="23.5">
      <c r="A492" s="54"/>
      <c r="B492" s="54"/>
      <c r="C492" s="54"/>
      <c r="D492" s="35"/>
      <c r="E492" s="35"/>
      <c r="F492" s="35"/>
      <c r="G492" s="7"/>
      <c r="H492" s="7"/>
    </row>
    <row r="493" spans="1:8" s="5" customFormat="1" ht="23.5">
      <c r="A493" s="54"/>
      <c r="B493" s="54"/>
      <c r="C493" s="54"/>
      <c r="D493" s="35"/>
      <c r="E493" s="35"/>
      <c r="F493" s="35"/>
      <c r="G493" s="7"/>
      <c r="H493" s="7"/>
    </row>
    <row r="494" spans="1:8" s="5" customFormat="1" ht="23.5">
      <c r="A494" s="54"/>
      <c r="B494" s="54"/>
      <c r="C494" s="54"/>
      <c r="D494" s="35"/>
      <c r="E494" s="35"/>
      <c r="F494" s="35"/>
      <c r="G494" s="7"/>
      <c r="H494" s="7"/>
    </row>
    <row r="495" spans="1:8" s="5" customFormat="1" ht="23.5">
      <c r="A495" s="54"/>
      <c r="B495" s="54"/>
      <c r="C495" s="54"/>
      <c r="D495" s="35"/>
      <c r="E495" s="35"/>
      <c r="F495" s="35"/>
      <c r="G495" s="7"/>
      <c r="H495" s="7"/>
    </row>
    <row r="496" spans="1:8" s="5" customFormat="1" ht="23.5">
      <c r="A496" s="54"/>
      <c r="B496" s="54"/>
      <c r="C496" s="54"/>
      <c r="D496" s="35"/>
      <c r="E496" s="35"/>
      <c r="F496" s="35"/>
      <c r="G496" s="7"/>
      <c r="H496" s="7"/>
    </row>
    <row r="497" spans="1:8" s="5" customFormat="1" ht="23.5">
      <c r="A497" s="54"/>
      <c r="B497" s="54"/>
      <c r="C497" s="54"/>
      <c r="D497" s="35"/>
      <c r="E497" s="35"/>
      <c r="F497" s="35"/>
      <c r="G497" s="7"/>
      <c r="H497" s="7"/>
    </row>
    <row r="498" spans="1:8" s="5" customFormat="1" ht="23.5">
      <c r="A498" s="54"/>
      <c r="B498" s="54"/>
      <c r="C498" s="54"/>
      <c r="D498" s="35"/>
      <c r="E498" s="35"/>
      <c r="F498" s="35"/>
      <c r="G498" s="7"/>
      <c r="H498" s="7"/>
    </row>
    <row r="499" spans="1:8" s="5" customFormat="1" ht="23.5">
      <c r="A499" s="54"/>
      <c r="B499" s="54"/>
      <c r="C499" s="54"/>
      <c r="D499" s="35"/>
      <c r="E499" s="35"/>
      <c r="F499" s="35"/>
      <c r="G499" s="7"/>
      <c r="H499" s="7"/>
    </row>
    <row r="500" spans="1:8" s="5" customFormat="1" ht="23.5">
      <c r="A500" s="54"/>
      <c r="B500" s="54"/>
      <c r="C500" s="54"/>
      <c r="D500" s="35"/>
      <c r="E500" s="35"/>
      <c r="F500" s="35"/>
      <c r="G500" s="7"/>
      <c r="H500" s="7"/>
    </row>
    <row r="501" spans="1:8" s="5" customFormat="1" ht="23.5">
      <c r="A501" s="54"/>
      <c r="B501" s="54"/>
      <c r="C501" s="54"/>
      <c r="D501" s="35"/>
      <c r="E501" s="35"/>
      <c r="F501" s="35"/>
      <c r="G501" s="7"/>
      <c r="H501" s="7"/>
    </row>
    <row r="502" spans="1:8" s="5" customFormat="1" ht="23.5">
      <c r="A502" s="54"/>
      <c r="B502" s="54"/>
      <c r="C502" s="54"/>
      <c r="D502" s="35"/>
      <c r="E502" s="35"/>
      <c r="F502" s="35"/>
      <c r="G502" s="7"/>
      <c r="H502" s="7"/>
    </row>
    <row r="503" spans="1:8" s="5" customFormat="1" ht="23.5">
      <c r="A503" s="54"/>
      <c r="B503" s="54"/>
      <c r="C503" s="54"/>
      <c r="D503" s="35"/>
      <c r="E503" s="35"/>
      <c r="F503" s="35"/>
      <c r="G503" s="7"/>
      <c r="H503" s="7"/>
    </row>
    <row r="504" spans="1:8" s="5" customFormat="1" ht="23.5">
      <c r="A504" s="54"/>
      <c r="B504" s="54"/>
      <c r="C504" s="54"/>
      <c r="D504" s="35"/>
      <c r="E504" s="35"/>
      <c r="F504" s="35"/>
      <c r="G504" s="7"/>
      <c r="H504" s="7"/>
    </row>
    <row r="505" spans="1:8" s="5" customFormat="1" ht="23.5">
      <c r="A505" s="54"/>
      <c r="B505" s="54"/>
      <c r="C505" s="54"/>
      <c r="D505" s="35"/>
      <c r="E505" s="35"/>
      <c r="F505" s="35"/>
      <c r="G505" s="7"/>
      <c r="H505" s="7"/>
    </row>
    <row r="506" spans="1:8" s="5" customFormat="1" ht="23.5">
      <c r="A506" s="54"/>
      <c r="B506" s="54"/>
      <c r="C506" s="54"/>
      <c r="D506" s="35"/>
      <c r="E506" s="35"/>
      <c r="F506" s="35"/>
      <c r="G506" s="7"/>
      <c r="H506" s="7"/>
    </row>
    <row r="507" spans="1:8" s="5" customFormat="1" ht="23.5">
      <c r="A507" s="54"/>
      <c r="B507" s="54"/>
      <c r="C507" s="54"/>
      <c r="D507" s="35"/>
      <c r="E507" s="35"/>
      <c r="F507" s="35"/>
      <c r="G507" s="7"/>
      <c r="H507" s="7"/>
    </row>
    <row r="508" spans="1:8" s="5" customFormat="1" ht="23.5">
      <c r="A508" s="54"/>
      <c r="B508" s="54"/>
      <c r="C508" s="54"/>
      <c r="D508" s="35"/>
      <c r="E508" s="35"/>
      <c r="F508" s="35"/>
      <c r="G508" s="7"/>
      <c r="H508" s="7"/>
    </row>
    <row r="509" spans="1:8" s="5" customFormat="1" ht="23.5">
      <c r="A509" s="54"/>
      <c r="B509" s="54"/>
      <c r="C509" s="54"/>
      <c r="D509" s="35"/>
      <c r="E509" s="35"/>
      <c r="F509" s="35"/>
      <c r="G509" s="7"/>
      <c r="H509" s="7"/>
    </row>
    <row r="510" spans="1:8" s="5" customFormat="1" ht="23.5">
      <c r="A510" s="54"/>
      <c r="B510" s="54"/>
      <c r="C510" s="54"/>
      <c r="D510" s="35"/>
      <c r="E510" s="35"/>
      <c r="F510" s="35"/>
      <c r="G510" s="7"/>
      <c r="H510" s="7"/>
    </row>
    <row r="511" spans="1:8" s="5" customFormat="1" ht="23.5">
      <c r="A511" s="54"/>
      <c r="B511" s="54"/>
      <c r="C511" s="54"/>
      <c r="D511" s="35"/>
      <c r="E511" s="35"/>
      <c r="F511" s="35"/>
      <c r="G511" s="7"/>
      <c r="H511" s="7"/>
    </row>
    <row r="512" spans="1:8" s="5" customFormat="1" ht="23.5">
      <c r="A512" s="54"/>
      <c r="B512" s="54"/>
      <c r="C512" s="54"/>
      <c r="D512" s="35"/>
      <c r="E512" s="35"/>
      <c r="F512" s="35"/>
      <c r="G512" s="7"/>
      <c r="H512" s="7"/>
    </row>
    <row r="513" spans="1:8" s="5" customFormat="1" ht="23.5">
      <c r="A513" s="54"/>
      <c r="B513" s="54"/>
      <c r="C513" s="54"/>
      <c r="D513" s="35"/>
      <c r="E513" s="35"/>
      <c r="F513" s="35"/>
      <c r="G513" s="7"/>
      <c r="H513" s="7"/>
    </row>
    <row r="514" spans="1:8" s="5" customFormat="1" ht="23.5">
      <c r="A514" s="54"/>
      <c r="B514" s="54"/>
      <c r="C514" s="54"/>
      <c r="D514" s="35"/>
      <c r="E514" s="35"/>
      <c r="F514" s="35"/>
      <c r="G514" s="7"/>
      <c r="H514" s="7"/>
    </row>
    <row r="515" spans="1:8" s="5" customFormat="1" ht="23.5">
      <c r="A515" s="54"/>
      <c r="B515" s="54"/>
      <c r="C515" s="54"/>
      <c r="D515" s="35"/>
      <c r="E515" s="35"/>
      <c r="F515" s="35"/>
      <c r="G515" s="7"/>
      <c r="H515" s="7"/>
    </row>
    <row r="516" spans="1:8" s="5" customFormat="1" ht="23.5">
      <c r="A516" s="54"/>
      <c r="B516" s="54"/>
      <c r="C516" s="54"/>
      <c r="D516" s="35"/>
      <c r="E516" s="35"/>
      <c r="F516" s="35"/>
      <c r="G516" s="7"/>
      <c r="H516" s="7"/>
    </row>
    <row r="517" spans="1:8" s="5" customFormat="1" ht="23.5">
      <c r="A517" s="54"/>
      <c r="B517" s="54"/>
      <c r="C517" s="54"/>
      <c r="D517" s="35"/>
      <c r="E517" s="35"/>
      <c r="F517" s="35"/>
      <c r="G517" s="7"/>
      <c r="H517" s="7"/>
    </row>
    <row r="518" spans="1:8" s="5" customFormat="1" ht="23.5">
      <c r="A518" s="54"/>
      <c r="B518" s="54"/>
      <c r="C518" s="54"/>
      <c r="D518" s="35"/>
      <c r="E518" s="35"/>
      <c r="F518" s="35"/>
      <c r="G518" s="7"/>
      <c r="H518" s="7"/>
    </row>
    <row r="519" spans="1:8" s="5" customFormat="1" ht="23.5">
      <c r="A519" s="54"/>
      <c r="B519" s="54"/>
      <c r="C519" s="54"/>
      <c r="D519" s="35"/>
      <c r="E519" s="35"/>
      <c r="F519" s="35"/>
      <c r="G519" s="7"/>
      <c r="H519" s="7"/>
    </row>
    <row r="520" spans="1:8" s="5" customFormat="1" ht="23.5">
      <c r="A520" s="54"/>
      <c r="B520" s="54"/>
      <c r="C520" s="54"/>
      <c r="D520" s="35"/>
      <c r="E520" s="35"/>
      <c r="F520" s="35"/>
      <c r="G520" s="7"/>
      <c r="H520" s="7"/>
    </row>
    <row r="521" spans="1:8" s="5" customFormat="1" ht="23.5">
      <c r="A521" s="54"/>
      <c r="B521" s="54"/>
      <c r="C521" s="54"/>
      <c r="D521" s="35"/>
      <c r="E521" s="35"/>
      <c r="F521" s="35"/>
      <c r="G521" s="7"/>
      <c r="H521" s="7"/>
    </row>
    <row r="522" spans="1:8" s="5" customFormat="1" ht="23.5">
      <c r="A522" s="54"/>
      <c r="B522" s="54"/>
      <c r="C522" s="54"/>
      <c r="D522" s="35"/>
      <c r="E522" s="35"/>
      <c r="F522" s="35"/>
      <c r="G522" s="7"/>
      <c r="H522" s="7"/>
    </row>
    <row r="523" spans="1:8" s="5" customFormat="1" ht="23.5">
      <c r="A523" s="54"/>
      <c r="B523" s="54"/>
      <c r="C523" s="54"/>
      <c r="D523" s="35"/>
      <c r="E523" s="35"/>
      <c r="F523" s="35"/>
      <c r="G523" s="7"/>
      <c r="H523" s="7"/>
    </row>
    <row r="524" spans="1:8" s="5" customFormat="1" ht="23.5">
      <c r="A524" s="54"/>
      <c r="B524" s="54"/>
      <c r="C524" s="54"/>
      <c r="D524" s="35"/>
      <c r="E524" s="35"/>
      <c r="F524" s="35"/>
      <c r="G524" s="7"/>
      <c r="H524" s="7"/>
    </row>
    <row r="525" spans="1:8" s="5" customFormat="1" ht="23.5">
      <c r="A525" s="54"/>
      <c r="B525" s="54"/>
      <c r="C525" s="54"/>
      <c r="D525" s="35"/>
      <c r="E525" s="35"/>
      <c r="F525" s="35"/>
      <c r="G525" s="7"/>
      <c r="H525" s="7"/>
    </row>
    <row r="526" spans="1:8" s="5" customFormat="1" ht="23.5">
      <c r="A526" s="54"/>
      <c r="B526" s="54"/>
      <c r="C526" s="54"/>
      <c r="D526" s="35"/>
      <c r="E526" s="35"/>
      <c r="F526" s="35"/>
      <c r="G526" s="7"/>
      <c r="H526" s="7"/>
    </row>
    <row r="527" spans="1:8" s="5" customFormat="1" ht="23.5">
      <c r="A527" s="54"/>
      <c r="B527" s="54"/>
      <c r="C527" s="54"/>
      <c r="D527" s="35"/>
      <c r="E527" s="35"/>
      <c r="F527" s="35"/>
      <c r="G527" s="7"/>
      <c r="H527" s="7"/>
    </row>
    <row r="528" spans="1:8" s="5" customFormat="1" ht="23.5">
      <c r="A528" s="54"/>
      <c r="B528" s="54"/>
      <c r="C528" s="54"/>
      <c r="D528" s="35"/>
      <c r="E528" s="35"/>
      <c r="F528" s="35"/>
      <c r="G528" s="7"/>
      <c r="H528" s="7"/>
    </row>
    <row r="529" spans="1:8" s="5" customFormat="1" ht="23.5">
      <c r="A529" s="54"/>
      <c r="B529" s="54"/>
      <c r="C529" s="54"/>
      <c r="D529" s="35"/>
      <c r="E529" s="35"/>
      <c r="F529" s="35"/>
      <c r="G529" s="7"/>
      <c r="H529" s="7"/>
    </row>
    <row r="530" spans="1:8" s="5" customFormat="1" ht="23.5">
      <c r="A530" s="54"/>
      <c r="B530" s="54"/>
      <c r="C530" s="54"/>
      <c r="D530" s="35"/>
      <c r="E530" s="35"/>
      <c r="F530" s="35"/>
      <c r="G530" s="7"/>
      <c r="H530" s="7"/>
    </row>
    <row r="531" spans="1:8" s="5" customFormat="1" ht="23.5">
      <c r="A531" s="54"/>
      <c r="B531" s="54"/>
      <c r="C531" s="54"/>
      <c r="D531" s="35"/>
      <c r="E531" s="35"/>
      <c r="F531" s="35"/>
      <c r="G531" s="7"/>
      <c r="H531" s="7"/>
    </row>
    <row r="532" spans="1:8" s="5" customFormat="1" ht="23.5">
      <c r="A532" s="54"/>
      <c r="B532" s="54"/>
      <c r="C532" s="54"/>
      <c r="D532" s="35"/>
      <c r="E532" s="35"/>
      <c r="F532" s="35"/>
      <c r="G532" s="7"/>
      <c r="H532" s="7"/>
    </row>
    <row r="533" spans="1:8" s="5" customFormat="1" ht="23.5">
      <c r="A533" s="54"/>
      <c r="B533" s="54"/>
      <c r="C533" s="54"/>
      <c r="D533" s="35"/>
      <c r="E533" s="35"/>
      <c r="F533" s="35"/>
      <c r="G533" s="7"/>
      <c r="H533" s="7"/>
    </row>
    <row r="534" spans="1:8" s="5" customFormat="1" ht="23.5">
      <c r="A534" s="54"/>
      <c r="B534" s="54"/>
      <c r="C534" s="54"/>
      <c r="D534" s="35"/>
      <c r="E534" s="35"/>
      <c r="F534" s="35"/>
      <c r="G534" s="7"/>
      <c r="H534" s="7"/>
    </row>
    <row r="535" spans="1:8" s="5" customFormat="1" ht="23.5">
      <c r="A535" s="54"/>
      <c r="B535" s="54"/>
      <c r="C535" s="54"/>
      <c r="D535" s="35"/>
      <c r="E535" s="35"/>
      <c r="F535" s="35"/>
      <c r="G535" s="7"/>
      <c r="H535" s="7"/>
    </row>
    <row r="536" spans="1:8" s="5" customFormat="1" ht="23.5">
      <c r="A536" s="54"/>
      <c r="B536" s="54"/>
      <c r="C536" s="54"/>
      <c r="D536" s="35"/>
      <c r="E536" s="35"/>
      <c r="F536" s="35"/>
      <c r="G536" s="7"/>
      <c r="H536" s="7"/>
    </row>
    <row r="537" spans="1:8" s="5" customFormat="1" ht="23.5">
      <c r="A537" s="54"/>
      <c r="B537" s="54"/>
      <c r="C537" s="54"/>
      <c r="D537" s="35"/>
      <c r="E537" s="35"/>
      <c r="F537" s="35"/>
      <c r="G537" s="7"/>
      <c r="H537" s="7"/>
    </row>
    <row r="538" spans="1:8" s="5" customFormat="1" ht="23.5">
      <c r="A538" s="54"/>
      <c r="B538" s="54"/>
      <c r="C538" s="54"/>
      <c r="D538" s="35"/>
      <c r="E538" s="35"/>
      <c r="F538" s="35"/>
      <c r="G538" s="7"/>
      <c r="H538" s="7"/>
    </row>
    <row r="539" spans="1:8" s="5" customFormat="1" ht="23.5">
      <c r="A539" s="54"/>
      <c r="B539" s="54"/>
      <c r="C539" s="54"/>
      <c r="D539" s="35"/>
      <c r="E539" s="35"/>
      <c r="F539" s="35"/>
      <c r="G539" s="7"/>
      <c r="H539" s="7"/>
    </row>
    <row r="540" spans="1:8" s="5" customFormat="1" ht="23.5">
      <c r="A540" s="54"/>
      <c r="B540" s="54"/>
      <c r="C540" s="54"/>
      <c r="D540" s="35"/>
      <c r="E540" s="35"/>
      <c r="F540" s="35"/>
      <c r="G540" s="7"/>
      <c r="H540" s="7"/>
    </row>
    <row r="541" spans="1:8" s="5" customFormat="1" ht="23.5">
      <c r="A541" s="54"/>
      <c r="B541" s="54"/>
      <c r="C541" s="54"/>
      <c r="D541" s="35"/>
      <c r="E541" s="35"/>
      <c r="F541" s="35"/>
      <c r="G541" s="7"/>
      <c r="H541" s="7"/>
    </row>
    <row r="542" spans="1:8" s="5" customFormat="1" ht="23.5">
      <c r="A542" s="54"/>
      <c r="B542" s="54"/>
      <c r="C542" s="54"/>
      <c r="D542" s="35"/>
      <c r="E542" s="35"/>
      <c r="F542" s="35"/>
      <c r="G542" s="7"/>
      <c r="H542" s="7"/>
    </row>
    <row r="543" spans="1:8" s="5" customFormat="1" ht="23.5">
      <c r="A543" s="54"/>
      <c r="B543" s="54"/>
      <c r="C543" s="54"/>
      <c r="D543" s="35"/>
      <c r="E543" s="35"/>
      <c r="F543" s="35"/>
      <c r="G543" s="7"/>
      <c r="H543" s="7"/>
    </row>
    <row r="544" spans="1:8" s="5" customFormat="1" ht="23.5">
      <c r="A544" s="54"/>
      <c r="B544" s="54"/>
      <c r="C544" s="54"/>
      <c r="D544" s="35"/>
      <c r="E544" s="35"/>
      <c r="F544" s="35"/>
      <c r="G544" s="7"/>
      <c r="H544" s="7"/>
    </row>
    <row r="545" spans="1:8" s="5" customFormat="1" ht="23.5">
      <c r="A545" s="54"/>
      <c r="B545" s="54"/>
      <c r="C545" s="54"/>
      <c r="D545" s="35"/>
      <c r="E545" s="35"/>
      <c r="F545" s="35"/>
      <c r="G545" s="7"/>
      <c r="H545" s="7"/>
    </row>
    <row r="546" spans="1:8" s="5" customFormat="1" ht="23.5">
      <c r="A546" s="54"/>
      <c r="B546" s="54"/>
      <c r="C546" s="54"/>
      <c r="D546" s="35"/>
      <c r="E546" s="35"/>
      <c r="F546" s="35"/>
      <c r="G546" s="7"/>
      <c r="H546" s="7"/>
    </row>
    <row r="547" spans="1:8" s="5" customFormat="1" ht="23.5">
      <c r="A547" s="54"/>
      <c r="B547" s="54"/>
      <c r="C547" s="54"/>
      <c r="D547" s="35"/>
      <c r="E547" s="35"/>
      <c r="F547" s="35"/>
      <c r="G547" s="7"/>
      <c r="H547" s="7"/>
    </row>
    <row r="548" spans="1:8" s="5" customFormat="1" ht="23.5">
      <c r="A548" s="54"/>
      <c r="B548" s="54"/>
      <c r="C548" s="54"/>
      <c r="D548" s="35"/>
      <c r="E548" s="35"/>
      <c r="F548" s="35"/>
      <c r="G548" s="7"/>
      <c r="H548" s="7"/>
    </row>
    <row r="549" spans="1:8" s="5" customFormat="1" ht="23.5">
      <c r="A549" s="54"/>
      <c r="B549" s="54"/>
      <c r="C549" s="54"/>
      <c r="D549" s="35"/>
      <c r="E549" s="35"/>
      <c r="F549" s="35"/>
      <c r="G549" s="7"/>
      <c r="H549" s="7"/>
    </row>
    <row r="550" spans="1:8" s="5" customFormat="1" ht="23.5">
      <c r="A550" s="54"/>
      <c r="B550" s="54"/>
      <c r="C550" s="54"/>
      <c r="D550" s="35"/>
      <c r="E550" s="35"/>
      <c r="F550" s="35"/>
      <c r="G550" s="7"/>
      <c r="H550" s="7"/>
    </row>
    <row r="551" spans="1:8" s="5" customFormat="1" ht="23.5">
      <c r="A551" s="54"/>
      <c r="B551" s="54"/>
      <c r="C551" s="54"/>
      <c r="D551" s="35"/>
      <c r="E551" s="35"/>
      <c r="F551" s="35"/>
      <c r="G551" s="7"/>
      <c r="H551" s="7"/>
    </row>
    <row r="552" spans="1:8" s="5" customFormat="1" ht="23.5">
      <c r="A552" s="54"/>
      <c r="B552" s="54"/>
      <c r="C552" s="54"/>
      <c r="D552" s="35"/>
      <c r="E552" s="35"/>
      <c r="F552" s="35"/>
      <c r="G552" s="7"/>
      <c r="H552" s="7"/>
    </row>
    <row r="553" spans="1:8" s="5" customFormat="1" ht="23.5">
      <c r="A553" s="54"/>
      <c r="B553" s="54"/>
      <c r="C553" s="54"/>
      <c r="D553" s="35"/>
      <c r="E553" s="35"/>
      <c r="F553" s="35"/>
      <c r="G553" s="7"/>
      <c r="H553" s="7"/>
    </row>
    <row r="554" spans="1:8" s="5" customFormat="1" ht="23.5">
      <c r="A554" s="54"/>
      <c r="B554" s="54"/>
      <c r="C554" s="54"/>
      <c r="D554" s="35"/>
      <c r="E554" s="35"/>
      <c r="F554" s="35"/>
      <c r="G554" s="7"/>
      <c r="H554" s="7"/>
    </row>
    <row r="555" spans="1:8" s="5" customFormat="1" ht="23.5">
      <c r="A555" s="54"/>
      <c r="B555" s="54"/>
      <c r="C555" s="54"/>
      <c r="D555" s="35"/>
      <c r="E555" s="35"/>
      <c r="F555" s="35"/>
      <c r="G555" s="7"/>
      <c r="H555" s="7"/>
    </row>
    <row r="556" spans="1:8" s="5" customFormat="1" ht="23.5">
      <c r="A556" s="54"/>
      <c r="B556" s="54"/>
      <c r="C556" s="54"/>
      <c r="D556" s="35"/>
      <c r="E556" s="35"/>
      <c r="F556" s="35"/>
      <c r="G556" s="7"/>
      <c r="H556" s="7"/>
    </row>
    <row r="557" spans="1:8" s="5" customFormat="1" ht="23.5">
      <c r="A557" s="54"/>
      <c r="B557" s="54"/>
      <c r="C557" s="54"/>
      <c r="D557" s="35"/>
      <c r="E557" s="35"/>
      <c r="F557" s="35"/>
      <c r="G557" s="7"/>
      <c r="H557" s="7"/>
    </row>
    <row r="558" spans="1:8" s="5" customFormat="1" ht="23.5">
      <c r="A558" s="54"/>
      <c r="B558" s="54"/>
      <c r="C558" s="54"/>
      <c r="D558" s="35"/>
      <c r="E558" s="35"/>
      <c r="F558" s="35"/>
      <c r="G558" s="7"/>
      <c r="H558" s="7"/>
    </row>
    <row r="559" spans="1:8" s="5" customFormat="1" ht="23.5">
      <c r="A559" s="54"/>
      <c r="B559" s="54"/>
      <c r="C559" s="54"/>
      <c r="D559" s="35"/>
      <c r="E559" s="35"/>
      <c r="F559" s="35"/>
      <c r="G559" s="7"/>
      <c r="H559" s="7"/>
    </row>
    <row r="560" spans="1:8" s="5" customFormat="1" ht="23.5">
      <c r="A560" s="54"/>
      <c r="B560" s="54"/>
      <c r="C560" s="54"/>
      <c r="D560" s="35"/>
      <c r="E560" s="35"/>
      <c r="F560" s="35"/>
      <c r="G560" s="7"/>
      <c r="H560" s="7"/>
    </row>
    <row r="561" spans="1:8" s="5" customFormat="1" ht="23.5">
      <c r="A561" s="54"/>
      <c r="B561" s="54"/>
      <c r="C561" s="54"/>
      <c r="D561" s="35"/>
      <c r="E561" s="35"/>
      <c r="F561" s="35"/>
      <c r="G561" s="7"/>
      <c r="H561" s="7"/>
    </row>
    <row r="562" spans="1:8" s="5" customFormat="1" ht="23.5">
      <c r="A562" s="54"/>
      <c r="B562" s="54"/>
      <c r="C562" s="54"/>
      <c r="D562" s="35"/>
      <c r="E562" s="35"/>
      <c r="F562" s="35"/>
      <c r="G562" s="7"/>
      <c r="H562" s="7"/>
    </row>
    <row r="563" spans="1:8" s="5" customFormat="1" ht="23.5">
      <c r="A563" s="54"/>
      <c r="B563" s="54"/>
      <c r="C563" s="54"/>
      <c r="D563" s="35"/>
      <c r="E563" s="35"/>
      <c r="F563" s="35"/>
      <c r="G563" s="7"/>
      <c r="H563" s="7"/>
    </row>
    <row r="564" spans="1:8" s="5" customFormat="1" ht="23.5">
      <c r="A564" s="54"/>
      <c r="B564" s="54"/>
      <c r="C564" s="54"/>
      <c r="D564" s="35"/>
      <c r="E564" s="35"/>
      <c r="F564" s="35"/>
      <c r="G564" s="7"/>
      <c r="H564" s="7"/>
    </row>
    <row r="565" spans="1:8" s="5" customFormat="1" ht="23.5">
      <c r="A565" s="54"/>
      <c r="B565" s="54"/>
      <c r="C565" s="54"/>
      <c r="D565" s="35"/>
      <c r="E565" s="35"/>
      <c r="F565" s="35"/>
      <c r="G565" s="7"/>
      <c r="H565" s="7"/>
    </row>
    <row r="566" spans="1:8" s="5" customFormat="1" ht="23.5">
      <c r="A566" s="54"/>
      <c r="B566" s="54"/>
      <c r="C566" s="54"/>
      <c r="D566" s="35"/>
      <c r="E566" s="35"/>
      <c r="F566" s="35"/>
      <c r="G566" s="7"/>
      <c r="H566" s="7"/>
    </row>
    <row r="567" spans="1:8" s="5" customFormat="1" ht="23.5">
      <c r="A567" s="54"/>
      <c r="B567" s="54"/>
      <c r="C567" s="54"/>
      <c r="D567" s="35"/>
      <c r="E567" s="35"/>
      <c r="F567" s="35"/>
      <c r="G567" s="7"/>
      <c r="H567" s="7"/>
    </row>
    <row r="568" spans="1:8" s="5" customFormat="1" ht="23.5">
      <c r="A568" s="54"/>
      <c r="B568" s="54"/>
      <c r="C568" s="54"/>
      <c r="D568" s="35"/>
      <c r="E568" s="35"/>
      <c r="F568" s="35"/>
      <c r="G568" s="7"/>
      <c r="H568" s="7"/>
    </row>
    <row r="569" spans="1:8" s="5" customFormat="1" ht="23.5">
      <c r="A569" s="54"/>
      <c r="B569" s="54"/>
      <c r="C569" s="54"/>
      <c r="D569" s="35"/>
      <c r="E569" s="35"/>
      <c r="F569" s="35"/>
      <c r="G569" s="7"/>
      <c r="H569" s="7"/>
    </row>
    <row r="570" spans="1:8" s="5" customFormat="1" ht="23.5">
      <c r="A570" s="54"/>
      <c r="B570" s="54"/>
      <c r="C570" s="54"/>
      <c r="D570" s="35"/>
      <c r="E570" s="35"/>
      <c r="F570" s="35"/>
      <c r="G570" s="7"/>
      <c r="H570" s="7"/>
    </row>
    <row r="571" spans="1:8" s="5" customFormat="1" ht="23.5">
      <c r="A571" s="54"/>
      <c r="B571" s="54"/>
      <c r="C571" s="54"/>
      <c r="D571" s="35"/>
      <c r="E571" s="35"/>
      <c r="F571" s="35"/>
      <c r="G571" s="7"/>
      <c r="H571" s="7"/>
    </row>
    <row r="572" spans="1:8" s="5" customFormat="1" ht="23.5">
      <c r="A572" s="54"/>
      <c r="B572" s="54"/>
      <c r="C572" s="54"/>
      <c r="D572" s="35"/>
      <c r="E572" s="35"/>
      <c r="F572" s="35"/>
      <c r="G572" s="7"/>
      <c r="H572" s="7"/>
    </row>
    <row r="573" spans="1:8" s="5" customFormat="1" ht="23.5">
      <c r="A573" s="54"/>
      <c r="B573" s="54"/>
      <c r="C573" s="54"/>
      <c r="D573" s="35"/>
      <c r="E573" s="35"/>
      <c r="F573" s="35"/>
      <c r="G573" s="7"/>
      <c r="H573" s="7"/>
    </row>
    <row r="574" spans="1:8" s="5" customFormat="1" ht="23.5">
      <c r="A574" s="54"/>
      <c r="B574" s="54"/>
      <c r="C574" s="54"/>
      <c r="D574" s="35"/>
      <c r="E574" s="35"/>
      <c r="F574" s="35"/>
      <c r="G574" s="7"/>
      <c r="H574" s="7"/>
    </row>
    <row r="575" spans="1:8" s="5" customFormat="1" ht="23.5">
      <c r="A575" s="54"/>
      <c r="B575" s="54"/>
      <c r="C575" s="54"/>
      <c r="D575" s="35"/>
      <c r="E575" s="35"/>
      <c r="F575" s="35"/>
      <c r="G575" s="7"/>
      <c r="H575" s="7"/>
    </row>
    <row r="576" spans="1:8" s="5" customFormat="1" ht="23.5">
      <c r="A576" s="54"/>
      <c r="B576" s="54"/>
      <c r="C576" s="54"/>
      <c r="D576" s="35"/>
      <c r="E576" s="35"/>
      <c r="F576" s="35"/>
      <c r="G576" s="7"/>
      <c r="H576" s="7"/>
    </row>
    <row r="577" spans="1:8" s="5" customFormat="1" ht="23.5">
      <c r="A577" s="54"/>
      <c r="B577" s="54"/>
      <c r="C577" s="54"/>
      <c r="D577" s="35"/>
      <c r="E577" s="35"/>
      <c r="F577" s="35"/>
      <c r="G577" s="7"/>
      <c r="H577" s="7"/>
    </row>
    <row r="578" spans="1:8" s="5" customFormat="1" ht="23.5">
      <c r="A578" s="54"/>
      <c r="B578" s="54"/>
      <c r="C578" s="54"/>
      <c r="D578" s="35"/>
      <c r="E578" s="35"/>
      <c r="F578" s="35"/>
      <c r="G578" s="7"/>
      <c r="H578" s="7"/>
    </row>
    <row r="579" spans="1:8" s="5" customFormat="1" ht="23.5">
      <c r="A579" s="54"/>
      <c r="B579" s="54"/>
      <c r="C579" s="54"/>
      <c r="D579" s="35"/>
      <c r="E579" s="35"/>
      <c r="F579" s="35"/>
      <c r="G579" s="7"/>
      <c r="H579" s="7"/>
    </row>
    <row r="580" spans="1:8" s="5" customFormat="1" ht="23.5">
      <c r="A580" s="54"/>
      <c r="B580" s="54"/>
      <c r="C580" s="54"/>
      <c r="D580" s="35"/>
      <c r="E580" s="35"/>
      <c r="F580" s="35"/>
      <c r="G580" s="7"/>
      <c r="H580" s="7"/>
    </row>
    <row r="581" spans="1:8" s="5" customFormat="1" ht="23.5">
      <c r="A581" s="54"/>
      <c r="B581" s="54"/>
      <c r="C581" s="54"/>
      <c r="D581" s="35"/>
      <c r="E581" s="35"/>
      <c r="F581" s="35"/>
      <c r="G581" s="7"/>
      <c r="H581" s="7"/>
    </row>
    <row r="582" spans="1:8" s="5" customFormat="1" ht="23.5">
      <c r="A582" s="54"/>
      <c r="B582" s="54"/>
      <c r="C582" s="54"/>
      <c r="D582" s="35"/>
      <c r="E582" s="35"/>
      <c r="F582" s="35"/>
      <c r="G582" s="7"/>
      <c r="H582" s="7"/>
    </row>
    <row r="583" spans="1:8" s="5" customFormat="1" ht="23.5">
      <c r="A583" s="54"/>
      <c r="B583" s="54"/>
      <c r="C583" s="54"/>
      <c r="D583" s="35"/>
      <c r="E583" s="35"/>
      <c r="F583" s="35"/>
      <c r="G583" s="7"/>
      <c r="H583" s="7"/>
    </row>
    <row r="584" spans="1:8" s="5" customFormat="1" ht="23.5">
      <c r="A584" s="54"/>
      <c r="B584" s="54"/>
      <c r="C584" s="54"/>
      <c r="D584" s="35"/>
      <c r="E584" s="35"/>
      <c r="F584" s="35"/>
      <c r="G584" s="7"/>
      <c r="H584" s="7"/>
    </row>
    <row r="585" spans="1:8" s="5" customFormat="1" ht="23.5">
      <c r="A585" s="54"/>
      <c r="B585" s="54"/>
      <c r="C585" s="54"/>
      <c r="D585" s="35"/>
      <c r="E585" s="35"/>
      <c r="F585" s="35"/>
      <c r="G585" s="7"/>
      <c r="H585" s="7"/>
    </row>
    <row r="586" spans="1:8" s="5" customFormat="1" ht="23.5">
      <c r="A586" s="54"/>
      <c r="B586" s="54"/>
      <c r="C586" s="54"/>
      <c r="D586" s="35"/>
      <c r="E586" s="35"/>
      <c r="F586" s="35"/>
      <c r="G586" s="7"/>
      <c r="H586" s="7"/>
    </row>
    <row r="587" spans="1:8" s="5" customFormat="1" ht="23.5">
      <c r="A587" s="54"/>
      <c r="B587" s="54"/>
      <c r="C587" s="54"/>
      <c r="D587" s="35"/>
      <c r="E587" s="35"/>
      <c r="F587" s="35"/>
      <c r="G587" s="7"/>
      <c r="H587" s="7"/>
    </row>
    <row r="588" spans="1:8" s="5" customFormat="1" ht="23.5">
      <c r="A588" s="54"/>
      <c r="B588" s="54"/>
      <c r="C588" s="54"/>
      <c r="D588" s="35"/>
      <c r="E588" s="35"/>
      <c r="F588" s="35"/>
      <c r="G588" s="7"/>
      <c r="H588" s="7"/>
    </row>
    <row r="589" spans="1:8" s="5" customFormat="1" ht="23.5">
      <c r="A589" s="54"/>
      <c r="B589" s="54"/>
      <c r="C589" s="54"/>
      <c r="D589" s="35"/>
      <c r="E589" s="35"/>
      <c r="F589" s="35"/>
      <c r="G589" s="7"/>
      <c r="H589" s="7"/>
    </row>
    <row r="590" spans="1:8" s="5" customFormat="1" ht="23.5">
      <c r="A590" s="54"/>
      <c r="B590" s="54"/>
      <c r="C590" s="54"/>
      <c r="D590" s="35"/>
      <c r="E590" s="35"/>
      <c r="F590" s="35"/>
      <c r="G590" s="7"/>
      <c r="H590" s="7"/>
    </row>
    <row r="591" spans="1:8" s="5" customFormat="1" ht="23.5">
      <c r="A591" s="54"/>
      <c r="B591" s="54"/>
      <c r="C591" s="54"/>
      <c r="D591" s="35"/>
      <c r="E591" s="35"/>
      <c r="F591" s="35"/>
      <c r="G591" s="7"/>
      <c r="H591" s="7"/>
    </row>
    <row r="592" spans="1:8" s="5" customFormat="1" ht="23.5">
      <c r="A592" s="54"/>
      <c r="B592" s="54"/>
      <c r="C592" s="54"/>
      <c r="D592" s="35"/>
      <c r="E592" s="35"/>
      <c r="F592" s="35"/>
      <c r="G592" s="7"/>
      <c r="H592" s="7"/>
    </row>
    <row r="593" spans="1:8" s="5" customFormat="1" ht="23.5">
      <c r="A593" s="54"/>
      <c r="B593" s="54"/>
      <c r="C593" s="54"/>
      <c r="D593" s="35"/>
      <c r="E593" s="35"/>
      <c r="F593" s="35"/>
      <c r="G593" s="7"/>
      <c r="H593" s="7"/>
    </row>
    <row r="594" spans="1:8" s="5" customFormat="1" ht="23.5">
      <c r="A594" s="54"/>
      <c r="B594" s="54"/>
      <c r="C594" s="54"/>
      <c r="D594" s="35"/>
      <c r="E594" s="35"/>
      <c r="F594" s="35"/>
      <c r="G594" s="7"/>
      <c r="H594" s="7"/>
    </row>
    <row r="595" spans="1:8" s="5" customFormat="1" ht="23.5">
      <c r="A595" s="54"/>
      <c r="B595" s="54"/>
      <c r="C595" s="54"/>
      <c r="D595" s="35"/>
      <c r="E595" s="35"/>
      <c r="F595" s="35"/>
      <c r="G595" s="7"/>
      <c r="H595" s="7"/>
    </row>
    <row r="596" spans="1:8" s="5" customFormat="1" ht="23.5">
      <c r="A596" s="54"/>
      <c r="B596" s="54"/>
      <c r="C596" s="54"/>
      <c r="D596" s="35"/>
      <c r="E596" s="35"/>
      <c r="F596" s="35"/>
      <c r="G596" s="7"/>
      <c r="H596" s="7"/>
    </row>
    <row r="597" spans="1:8" s="5" customFormat="1" ht="23.5">
      <c r="A597" s="54"/>
      <c r="B597" s="54"/>
      <c r="C597" s="54"/>
      <c r="D597" s="35"/>
      <c r="E597" s="35"/>
      <c r="F597" s="35"/>
      <c r="G597" s="7"/>
      <c r="H597" s="7"/>
    </row>
    <row r="598" spans="1:8" s="5" customFormat="1" ht="23.5">
      <c r="A598" s="54"/>
      <c r="B598" s="54"/>
      <c r="C598" s="54"/>
      <c r="D598" s="35"/>
      <c r="E598" s="35"/>
      <c r="F598" s="35"/>
      <c r="G598" s="7"/>
      <c r="H598" s="7"/>
    </row>
    <row r="599" spans="1:8" s="5" customFormat="1" ht="23.5">
      <c r="A599" s="54"/>
      <c r="B599" s="54"/>
      <c r="C599" s="54"/>
      <c r="D599" s="35"/>
      <c r="E599" s="35"/>
      <c r="F599" s="35"/>
      <c r="G599" s="7"/>
      <c r="H599" s="7"/>
    </row>
    <row r="600" spans="1:8" s="5" customFormat="1" ht="23.5">
      <c r="A600" s="54"/>
      <c r="B600" s="54"/>
      <c r="C600" s="54"/>
      <c r="D600" s="35"/>
      <c r="E600" s="35"/>
      <c r="F600" s="35"/>
      <c r="G600" s="7"/>
      <c r="H600" s="7"/>
    </row>
    <row r="601" spans="1:8" s="5" customFormat="1" ht="23.5">
      <c r="A601" s="54"/>
      <c r="B601" s="54"/>
      <c r="C601" s="54"/>
      <c r="D601" s="35"/>
      <c r="E601" s="35"/>
      <c r="F601" s="35"/>
      <c r="G601" s="7"/>
      <c r="H601" s="7"/>
    </row>
    <row r="602" spans="1:8" s="5" customFormat="1" ht="23.5">
      <c r="A602" s="54"/>
      <c r="B602" s="54"/>
      <c r="C602" s="54"/>
      <c r="D602" s="35"/>
      <c r="E602" s="35"/>
      <c r="F602" s="35"/>
      <c r="G602" s="7"/>
      <c r="H602" s="7"/>
    </row>
    <row r="603" spans="1:8" s="5" customFormat="1" ht="23.5">
      <c r="A603" s="54"/>
      <c r="B603" s="54"/>
      <c r="C603" s="54"/>
      <c r="D603" s="35"/>
      <c r="E603" s="35"/>
      <c r="F603" s="35"/>
      <c r="G603" s="7"/>
      <c r="H603" s="7"/>
    </row>
    <row r="604" spans="1:8" s="5" customFormat="1" ht="23.5">
      <c r="A604" s="54"/>
      <c r="B604" s="54"/>
      <c r="C604" s="54"/>
      <c r="D604" s="35"/>
      <c r="E604" s="35"/>
      <c r="F604" s="35"/>
      <c r="G604" s="7"/>
      <c r="H604" s="7"/>
    </row>
    <row r="605" spans="1:8" s="5" customFormat="1" ht="23.5">
      <c r="A605" s="54"/>
      <c r="B605" s="54"/>
      <c r="C605" s="54"/>
      <c r="D605" s="35"/>
      <c r="E605" s="35"/>
      <c r="F605" s="35"/>
      <c r="G605" s="7"/>
      <c r="H605" s="7"/>
    </row>
    <row r="606" spans="1:8" s="5" customFormat="1" ht="23.5">
      <c r="A606" s="54"/>
      <c r="B606" s="54"/>
      <c r="C606" s="54"/>
      <c r="D606" s="35"/>
      <c r="E606" s="35"/>
      <c r="F606" s="35"/>
      <c r="G606" s="7"/>
      <c r="H606" s="7"/>
    </row>
    <row r="607" spans="1:8" s="5" customFormat="1" ht="23.5">
      <c r="A607" s="54"/>
      <c r="B607" s="54"/>
      <c r="C607" s="54"/>
      <c r="D607" s="35"/>
      <c r="E607" s="35"/>
      <c r="F607" s="35"/>
      <c r="G607" s="7"/>
      <c r="H607" s="7"/>
    </row>
    <row r="608" spans="1:8" s="5" customFormat="1" ht="23.5">
      <c r="A608" s="54"/>
      <c r="B608" s="54"/>
      <c r="C608" s="54"/>
      <c r="D608" s="35"/>
      <c r="E608" s="35"/>
      <c r="F608" s="35"/>
      <c r="G608" s="7"/>
      <c r="H608" s="7"/>
    </row>
    <row r="609" spans="1:8" s="5" customFormat="1" ht="23.5">
      <c r="A609" s="54"/>
      <c r="B609" s="54"/>
      <c r="C609" s="54"/>
      <c r="D609" s="35"/>
      <c r="E609" s="35"/>
      <c r="F609" s="35"/>
      <c r="G609" s="7"/>
      <c r="H609" s="7"/>
    </row>
    <row r="610" spans="1:8" s="5" customFormat="1" ht="23.5">
      <c r="A610" s="54"/>
      <c r="B610" s="54"/>
      <c r="C610" s="54"/>
      <c r="D610" s="35"/>
      <c r="E610" s="35"/>
      <c r="F610" s="35"/>
      <c r="G610" s="7"/>
      <c r="H610" s="7"/>
    </row>
    <row r="611" spans="1:8" s="5" customFormat="1" ht="23.5">
      <c r="A611" s="54"/>
      <c r="B611" s="54"/>
      <c r="C611" s="54"/>
      <c r="D611" s="35"/>
      <c r="E611" s="35"/>
      <c r="F611" s="35"/>
      <c r="G611" s="7"/>
      <c r="H611" s="7"/>
    </row>
    <row r="612" spans="1:8" s="5" customFormat="1" ht="23.5">
      <c r="A612" s="54"/>
      <c r="B612" s="54"/>
      <c r="C612" s="54"/>
      <c r="D612" s="35"/>
      <c r="E612" s="35"/>
      <c r="F612" s="35"/>
      <c r="G612" s="7"/>
      <c r="H612" s="7"/>
    </row>
    <row r="613" spans="1:8" s="5" customFormat="1" ht="23.5">
      <c r="A613" s="54"/>
      <c r="B613" s="54"/>
      <c r="C613" s="54"/>
      <c r="D613" s="35"/>
      <c r="E613" s="35"/>
      <c r="F613" s="35"/>
      <c r="G613" s="7"/>
      <c r="H613" s="7"/>
    </row>
    <row r="614" spans="1:8" s="5" customFormat="1" ht="23.5">
      <c r="A614" s="54"/>
      <c r="B614" s="54"/>
      <c r="C614" s="54"/>
      <c r="D614" s="35"/>
      <c r="E614" s="35"/>
      <c r="F614" s="35"/>
      <c r="G614" s="7"/>
      <c r="H614" s="7"/>
    </row>
    <row r="615" spans="1:8" s="5" customFormat="1" ht="23.5">
      <c r="A615" s="54"/>
      <c r="B615" s="54"/>
      <c r="C615" s="54"/>
      <c r="D615" s="35"/>
      <c r="E615" s="35"/>
      <c r="F615" s="35"/>
      <c r="G615" s="7"/>
      <c r="H615" s="7"/>
    </row>
    <row r="616" spans="1:8" s="5" customFormat="1" ht="23.5">
      <c r="A616" s="54"/>
      <c r="B616" s="54"/>
      <c r="C616" s="54"/>
      <c r="D616" s="35"/>
      <c r="E616" s="35"/>
      <c r="F616" s="35"/>
      <c r="G616" s="7"/>
      <c r="H616" s="7"/>
    </row>
    <row r="617" spans="1:8" s="5" customFormat="1" ht="23.5">
      <c r="A617" s="54"/>
      <c r="B617" s="54"/>
      <c r="C617" s="54"/>
      <c r="D617" s="35"/>
      <c r="E617" s="35"/>
      <c r="F617" s="35"/>
      <c r="G617" s="7"/>
      <c r="H617" s="7"/>
    </row>
    <row r="618" spans="1:8" s="5" customFormat="1" ht="23.5">
      <c r="A618" s="54"/>
      <c r="B618" s="54"/>
      <c r="C618" s="54"/>
      <c r="D618" s="35"/>
      <c r="E618" s="35"/>
      <c r="F618" s="35"/>
      <c r="G618" s="7"/>
      <c r="H618" s="7"/>
    </row>
    <row r="619" spans="1:8" ht="23.5">
      <c r="A619" s="49"/>
      <c r="B619" s="49"/>
      <c r="C619" s="49"/>
    </row>
    <row r="620" spans="1:8" ht="23.5">
      <c r="A620" s="49"/>
      <c r="B620" s="49"/>
      <c r="C620" s="49"/>
    </row>
    <row r="621" spans="1:8" ht="23.5">
      <c r="A621" s="49"/>
      <c r="B621" s="49"/>
      <c r="C621" s="49"/>
    </row>
    <row r="622" spans="1:8" ht="23.5">
      <c r="A622" s="49"/>
      <c r="B622" s="49"/>
      <c r="C622" s="49"/>
    </row>
    <row r="623" spans="1:8" ht="23.5">
      <c r="A623" s="49"/>
      <c r="B623" s="49"/>
      <c r="C623" s="49"/>
    </row>
    <row r="624" spans="1:8" ht="23.5">
      <c r="A624" s="49"/>
      <c r="B624" s="49"/>
      <c r="C624" s="49"/>
    </row>
    <row r="625" spans="1:3" ht="23.5">
      <c r="A625" s="49"/>
      <c r="B625" s="49"/>
      <c r="C625" s="49"/>
    </row>
  </sheetData>
  <autoFilter ref="A5:C181" xr:uid="{29F2CC70-2131-F44B-BE0A-C24E33C223DF}">
    <filterColumn colId="1">
      <filters>
        <filter val="Third and Valley _x000a_153 Valley St, South Orange Village, NJ 07079"/>
      </filters>
    </filterColumn>
    <sortState xmlns:xlrd2="http://schemas.microsoft.com/office/spreadsheetml/2017/richdata2" ref="A91:C91">
      <sortCondition descending="1" ref="A5:A181"/>
    </sortState>
  </autoFilter>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5A428-83CF-D24F-B9CD-D69A12B9134C}">
  <dimension ref="A1:R126"/>
  <sheetViews>
    <sheetView topLeftCell="A27" zoomScale="60" zoomScaleNormal="60" workbookViewId="0">
      <selection activeCell="L37" sqref="L37"/>
    </sheetView>
  </sheetViews>
  <sheetFormatPr baseColWidth="10" defaultColWidth="10.83203125" defaultRowHeight="23.5"/>
  <cols>
    <col min="1" max="1" width="27.33203125" style="2" customWidth="1"/>
    <col min="2" max="2" width="33.1640625" style="2" customWidth="1"/>
    <col min="3" max="3" width="13.83203125" style="2" customWidth="1"/>
    <col min="4" max="5" width="13.5" style="2" customWidth="1"/>
    <col min="6" max="6" width="106.6640625" style="2" customWidth="1"/>
    <col min="7" max="7" width="37" style="2" customWidth="1"/>
    <col min="8" max="8" width="24.5" style="3" bestFit="1" customWidth="1"/>
    <col min="9" max="9" width="23.1640625" style="3" customWidth="1"/>
    <col min="10" max="10" width="24.6640625" style="2" customWidth="1"/>
    <col min="11" max="12" width="22.83203125" style="3" customWidth="1"/>
    <col min="13" max="13" width="27.1640625" style="1" customWidth="1"/>
    <col min="14" max="14" width="39.6640625" style="1" customWidth="1"/>
    <col min="15" max="15" width="27.1640625" style="1" customWidth="1"/>
    <col min="16" max="16384" width="10.83203125" style="2"/>
  </cols>
  <sheetData>
    <row r="1" spans="1:18" s="1" customFormat="1" ht="87" customHeight="1">
      <c r="A1" s="142" t="s">
        <v>820</v>
      </c>
      <c r="B1" s="142"/>
      <c r="C1" s="142"/>
      <c r="D1" s="142"/>
      <c r="E1" s="142"/>
      <c r="F1" s="142"/>
      <c r="G1" s="142"/>
      <c r="H1" s="142"/>
      <c r="I1" s="142"/>
      <c r="J1" s="142"/>
      <c r="K1" s="32"/>
      <c r="L1" s="32"/>
    </row>
    <row r="2" spans="1:18" s="1" customFormat="1" ht="26">
      <c r="A2" s="19"/>
      <c r="B2" s="17"/>
      <c r="C2" s="17"/>
      <c r="D2" s="17"/>
      <c r="E2" s="17"/>
      <c r="F2" s="17"/>
      <c r="G2" s="17"/>
      <c r="H2" s="17"/>
      <c r="I2" s="17"/>
      <c r="J2" s="15"/>
      <c r="K2" s="15"/>
      <c r="L2" s="15"/>
    </row>
    <row r="3" spans="1:18" s="1" customFormat="1" ht="26">
      <c r="A3" s="125"/>
      <c r="B3" s="125"/>
      <c r="C3" s="125"/>
      <c r="D3" s="125"/>
      <c r="E3" s="125"/>
      <c r="F3" s="125"/>
      <c r="G3" s="125"/>
      <c r="H3" s="125"/>
      <c r="I3" s="125"/>
      <c r="J3" s="15"/>
      <c r="K3" s="15"/>
      <c r="L3" s="15"/>
    </row>
    <row r="4" spans="1:18" ht="28.5">
      <c r="A4" s="34"/>
      <c r="B4" s="126" t="s">
        <v>5</v>
      </c>
      <c r="C4" s="126"/>
      <c r="D4" s="126"/>
      <c r="E4" s="126"/>
      <c r="F4" s="126"/>
      <c r="G4" s="126"/>
      <c r="H4" s="126"/>
      <c r="I4" s="126"/>
      <c r="J4" s="18"/>
      <c r="K4" s="18"/>
      <c r="L4" s="18"/>
    </row>
    <row r="5" spans="1:18" s="5" customFormat="1">
      <c r="A5" s="3"/>
      <c r="B5" s="3"/>
      <c r="C5" s="3"/>
      <c r="D5" s="3"/>
      <c r="E5" s="3"/>
      <c r="F5" s="3"/>
      <c r="G5" s="3"/>
      <c r="H5" s="3"/>
      <c r="I5" s="1"/>
      <c r="J5" s="1"/>
      <c r="K5" s="1"/>
      <c r="L5" s="1"/>
      <c r="M5" s="35"/>
      <c r="N5" s="35"/>
      <c r="O5" s="35"/>
    </row>
    <row r="6" spans="1:18" s="5" customFormat="1" ht="26">
      <c r="A6" s="33"/>
      <c r="B6" s="127" t="s">
        <v>821</v>
      </c>
      <c r="C6" s="127"/>
      <c r="D6" s="127"/>
      <c r="E6" s="127"/>
      <c r="F6" s="127"/>
      <c r="G6" s="127"/>
      <c r="H6" s="127"/>
      <c r="I6" s="127"/>
      <c r="J6" s="16"/>
      <c r="K6" s="16"/>
      <c r="L6" s="16"/>
      <c r="M6" s="35"/>
      <c r="N6" s="35"/>
      <c r="O6" s="35"/>
    </row>
    <row r="7" spans="1:18" s="1" customFormat="1">
      <c r="A7" s="3"/>
      <c r="B7" s="3"/>
      <c r="C7" s="3"/>
      <c r="D7" s="3"/>
      <c r="E7" s="3"/>
      <c r="F7" s="3"/>
      <c r="G7" s="3"/>
      <c r="H7" s="3"/>
    </row>
    <row r="8" spans="1:18" s="1" customFormat="1" ht="60" customHeight="1">
      <c r="A8" s="4" t="s">
        <v>9</v>
      </c>
      <c r="B8" s="4" t="s">
        <v>11</v>
      </c>
      <c r="C8" s="4" t="s">
        <v>822</v>
      </c>
      <c r="D8" s="4" t="s">
        <v>13</v>
      </c>
      <c r="E8" s="4" t="s">
        <v>823</v>
      </c>
      <c r="F8" s="4" t="s">
        <v>15</v>
      </c>
      <c r="G8" s="38" t="s">
        <v>16</v>
      </c>
      <c r="H8" s="38" t="s">
        <v>17</v>
      </c>
      <c r="I8" s="38" t="s">
        <v>18</v>
      </c>
      <c r="J8" s="38" t="s">
        <v>824</v>
      </c>
      <c r="K8" s="38" t="s">
        <v>21</v>
      </c>
      <c r="L8" s="39" t="s">
        <v>825</v>
      </c>
    </row>
    <row r="9" spans="1:18" s="12" customFormat="1">
      <c r="A9" s="6"/>
      <c r="B9" s="6"/>
      <c r="C9" s="6"/>
      <c r="D9" s="6"/>
      <c r="E9" s="6"/>
      <c r="F9" s="6"/>
      <c r="G9" s="8"/>
      <c r="H9" s="6"/>
      <c r="I9" s="6"/>
      <c r="J9" s="6"/>
      <c r="K9" s="6"/>
      <c r="L9" s="40"/>
      <c r="M9" s="143" t="s">
        <v>826</v>
      </c>
      <c r="N9" s="143"/>
      <c r="O9" s="1"/>
      <c r="P9" s="11"/>
      <c r="Q9" s="11"/>
      <c r="R9" s="11"/>
    </row>
    <row r="10" spans="1:18" s="12" customFormat="1">
      <c r="A10" s="6"/>
      <c r="B10" s="6"/>
      <c r="C10" s="6"/>
      <c r="D10" s="6"/>
      <c r="E10" s="6"/>
      <c r="F10" s="6"/>
      <c r="G10" s="8"/>
      <c r="H10" s="6"/>
      <c r="I10" s="6"/>
      <c r="J10" s="6"/>
      <c r="K10" s="6"/>
      <c r="L10" s="40"/>
      <c r="M10" s="143"/>
      <c r="N10" s="143"/>
      <c r="O10" s="1"/>
      <c r="P10" s="11"/>
      <c r="Q10" s="11"/>
      <c r="R10" s="11"/>
    </row>
    <row r="11" spans="1:18" s="12" customFormat="1">
      <c r="A11" s="6"/>
      <c r="B11" s="6"/>
      <c r="C11" s="6"/>
      <c r="D11" s="6"/>
      <c r="E11" s="6"/>
      <c r="F11" s="6"/>
      <c r="G11" s="8"/>
      <c r="H11" s="6"/>
      <c r="I11" s="6"/>
      <c r="J11" s="6"/>
      <c r="K11" s="6"/>
      <c r="L11" s="40"/>
      <c r="M11" s="143"/>
      <c r="N11" s="143"/>
      <c r="O11" s="1"/>
      <c r="P11" s="11"/>
      <c r="Q11" s="11"/>
      <c r="R11" s="11"/>
    </row>
    <row r="12" spans="1:18" s="12" customFormat="1">
      <c r="A12" s="6"/>
      <c r="B12" s="6"/>
      <c r="C12" s="6"/>
      <c r="D12" s="6"/>
      <c r="E12" s="6"/>
      <c r="F12" s="6"/>
      <c r="G12" s="8"/>
      <c r="H12" s="6"/>
      <c r="I12" s="6"/>
      <c r="J12" s="6"/>
      <c r="K12" s="6"/>
      <c r="L12" s="40"/>
      <c r="M12" s="143"/>
      <c r="N12" s="143"/>
      <c r="O12" s="1"/>
      <c r="P12" s="11"/>
      <c r="Q12" s="11"/>
      <c r="R12" s="11"/>
    </row>
    <row r="13" spans="1:18" s="12" customFormat="1">
      <c r="A13" s="6"/>
      <c r="B13" s="6"/>
      <c r="C13" s="6"/>
      <c r="D13" s="6"/>
      <c r="E13" s="6"/>
      <c r="F13" s="6"/>
      <c r="G13" s="8"/>
      <c r="H13" s="6"/>
      <c r="I13" s="6"/>
      <c r="J13" s="6"/>
      <c r="K13" s="6"/>
      <c r="L13" s="40"/>
      <c r="M13" s="143"/>
      <c r="N13" s="143"/>
      <c r="O13" s="1"/>
      <c r="P13" s="11"/>
      <c r="Q13" s="11"/>
      <c r="R13" s="11"/>
    </row>
    <row r="14" spans="1:18" s="9" customFormat="1">
      <c r="A14" s="1"/>
      <c r="B14" s="1"/>
      <c r="C14" s="1"/>
      <c r="D14" s="1"/>
      <c r="E14" s="1"/>
      <c r="F14" s="1"/>
      <c r="G14" s="1"/>
      <c r="H14" s="1"/>
      <c r="I14" s="1"/>
      <c r="J14" s="1"/>
      <c r="K14" s="1"/>
      <c r="L14" s="1"/>
      <c r="M14" s="143"/>
      <c r="N14" s="143"/>
      <c r="O14" s="13"/>
    </row>
    <row r="15" spans="1:18" s="1" customFormat="1" ht="55.5">
      <c r="A15" s="4" t="s">
        <v>9</v>
      </c>
      <c r="B15" s="4" t="s">
        <v>11</v>
      </c>
      <c r="C15" s="4" t="s">
        <v>822</v>
      </c>
      <c r="D15" s="4" t="s">
        <v>13</v>
      </c>
      <c r="E15" s="4" t="s">
        <v>823</v>
      </c>
      <c r="F15" s="4" t="s">
        <v>15</v>
      </c>
      <c r="G15" s="38" t="s">
        <v>16</v>
      </c>
      <c r="H15" s="38" t="s">
        <v>17</v>
      </c>
      <c r="I15" s="38" t="s">
        <v>18</v>
      </c>
      <c r="J15" s="38" t="s">
        <v>824</v>
      </c>
      <c r="K15" s="38" t="s">
        <v>21</v>
      </c>
      <c r="L15" s="39" t="s">
        <v>825</v>
      </c>
    </row>
    <row r="16" spans="1:18" s="12" customFormat="1">
      <c r="A16" s="6"/>
      <c r="B16" s="6"/>
      <c r="C16" s="6"/>
      <c r="D16" s="6"/>
      <c r="E16" s="6"/>
      <c r="F16" s="6"/>
      <c r="G16" s="8"/>
      <c r="H16" s="6"/>
      <c r="I16" s="6"/>
      <c r="J16" s="6"/>
      <c r="K16" s="6"/>
      <c r="L16" s="6"/>
      <c r="M16" s="141" t="s">
        <v>827</v>
      </c>
      <c r="N16" s="141"/>
      <c r="O16" s="1"/>
      <c r="P16" s="11"/>
      <c r="Q16" s="11"/>
      <c r="R16" s="11"/>
    </row>
    <row r="17" spans="1:18" s="12" customFormat="1">
      <c r="A17" s="6"/>
      <c r="B17" s="6"/>
      <c r="C17" s="6"/>
      <c r="D17" s="6"/>
      <c r="E17" s="6"/>
      <c r="F17" s="6"/>
      <c r="G17" s="8"/>
      <c r="H17" s="6"/>
      <c r="I17" s="6"/>
      <c r="J17" s="6"/>
      <c r="K17" s="6"/>
      <c r="L17" s="6"/>
      <c r="M17" s="141"/>
      <c r="N17" s="141"/>
      <c r="O17" s="1"/>
      <c r="P17" s="11"/>
      <c r="Q17" s="11"/>
      <c r="R17" s="11"/>
    </row>
    <row r="18" spans="1:18">
      <c r="A18" s="1"/>
      <c r="B18" s="1"/>
      <c r="C18" s="1"/>
      <c r="D18" s="1"/>
      <c r="E18" s="1"/>
      <c r="F18" s="1"/>
      <c r="G18" s="1"/>
      <c r="H18" s="1"/>
      <c r="I18" s="1"/>
      <c r="J18" s="1"/>
      <c r="K18" s="1"/>
      <c r="L18" s="1"/>
    </row>
    <row r="19" spans="1:18" s="1" customFormat="1" ht="55.5">
      <c r="A19" s="4" t="s">
        <v>9</v>
      </c>
      <c r="B19" s="4" t="s">
        <v>11</v>
      </c>
      <c r="C19" s="4" t="s">
        <v>822</v>
      </c>
      <c r="D19" s="4" t="s">
        <v>13</v>
      </c>
      <c r="E19" s="4" t="s">
        <v>823</v>
      </c>
      <c r="F19" s="4" t="s">
        <v>15</v>
      </c>
      <c r="G19" s="38" t="s">
        <v>16</v>
      </c>
      <c r="H19" s="38" t="s">
        <v>17</v>
      </c>
      <c r="I19" s="38" t="s">
        <v>18</v>
      </c>
      <c r="J19" s="38" t="s">
        <v>824</v>
      </c>
      <c r="K19" s="38" t="s">
        <v>21</v>
      </c>
      <c r="L19" s="39" t="s">
        <v>825</v>
      </c>
    </row>
    <row r="20" spans="1:18" s="12" customFormat="1">
      <c r="A20" s="6"/>
      <c r="B20" s="6"/>
      <c r="C20" s="6"/>
      <c r="D20" s="6"/>
      <c r="E20" s="6"/>
      <c r="F20" s="6"/>
      <c r="G20" s="8"/>
      <c r="H20" s="6"/>
      <c r="I20" s="6"/>
      <c r="J20" s="6"/>
      <c r="K20" s="6"/>
      <c r="L20" s="6"/>
      <c r="M20" s="141" t="s">
        <v>828</v>
      </c>
      <c r="N20" s="141"/>
      <c r="O20" s="1"/>
      <c r="P20" s="11"/>
      <c r="Q20" s="11"/>
      <c r="R20" s="11"/>
    </row>
    <row r="21" spans="1:18" s="12" customFormat="1">
      <c r="A21" s="6"/>
      <c r="B21" s="6"/>
      <c r="C21" s="6"/>
      <c r="D21" s="6"/>
      <c r="E21" s="6"/>
      <c r="F21" s="6"/>
      <c r="G21" s="8"/>
      <c r="H21" s="6"/>
      <c r="I21" s="6"/>
      <c r="J21" s="6"/>
      <c r="K21" s="6"/>
      <c r="L21" s="6"/>
      <c r="M21" s="141"/>
      <c r="N21" s="141"/>
      <c r="O21" s="1"/>
      <c r="P21" s="11"/>
      <c r="Q21" s="11"/>
      <c r="R21" s="11"/>
    </row>
    <row r="22" spans="1:18">
      <c r="A22" s="1"/>
      <c r="B22" s="1"/>
      <c r="C22" s="1"/>
      <c r="D22" s="1"/>
      <c r="E22" s="1"/>
      <c r="F22" s="1"/>
      <c r="G22" s="1"/>
      <c r="H22" s="1"/>
      <c r="I22" s="1"/>
      <c r="J22" s="1"/>
      <c r="K22" s="1"/>
      <c r="L22" s="1"/>
    </row>
    <row r="23" spans="1:18" s="1" customFormat="1" ht="55.5">
      <c r="A23" s="4" t="s">
        <v>9</v>
      </c>
      <c r="B23" s="4" t="s">
        <v>11</v>
      </c>
      <c r="C23" s="4" t="s">
        <v>822</v>
      </c>
      <c r="D23" s="4" t="s">
        <v>13</v>
      </c>
      <c r="E23" s="4" t="s">
        <v>823</v>
      </c>
      <c r="F23" s="4" t="s">
        <v>15</v>
      </c>
      <c r="G23" s="38" t="s">
        <v>16</v>
      </c>
      <c r="H23" s="38" t="s">
        <v>17</v>
      </c>
      <c r="I23" s="38" t="s">
        <v>18</v>
      </c>
      <c r="J23" s="38" t="s">
        <v>824</v>
      </c>
      <c r="K23" s="38" t="s">
        <v>21</v>
      </c>
      <c r="L23" s="39" t="s">
        <v>825</v>
      </c>
    </row>
    <row r="24" spans="1:18" s="12" customFormat="1">
      <c r="A24" s="6"/>
      <c r="B24" s="6"/>
      <c r="C24" s="6"/>
      <c r="D24" s="6"/>
      <c r="E24" s="6"/>
      <c r="F24" s="6"/>
      <c r="G24" s="8"/>
      <c r="H24" s="6"/>
      <c r="I24" s="6"/>
      <c r="J24" s="6"/>
      <c r="K24" s="6"/>
      <c r="L24" s="6"/>
      <c r="M24" s="141" t="s">
        <v>829</v>
      </c>
      <c r="N24" s="141"/>
      <c r="O24" s="1"/>
      <c r="P24" s="11"/>
      <c r="Q24" s="11"/>
      <c r="R24" s="11"/>
    </row>
    <row r="25" spans="1:18" s="12" customFormat="1">
      <c r="A25" s="6"/>
      <c r="B25" s="6"/>
      <c r="C25" s="6"/>
      <c r="D25" s="6"/>
      <c r="E25" s="6"/>
      <c r="F25" s="6"/>
      <c r="G25" s="8"/>
      <c r="H25" s="6"/>
      <c r="I25" s="6"/>
      <c r="J25" s="6"/>
      <c r="K25" s="6"/>
      <c r="L25" s="6"/>
      <c r="M25" s="141"/>
      <c r="N25" s="141"/>
      <c r="O25" s="1"/>
      <c r="P25" s="11"/>
      <c r="Q25" s="11"/>
      <c r="R25" s="11"/>
    </row>
    <row r="26" spans="1:18">
      <c r="A26" s="1"/>
      <c r="B26" s="1"/>
      <c r="C26" s="1"/>
      <c r="D26" s="1"/>
      <c r="E26" s="1"/>
      <c r="F26" s="1"/>
      <c r="G26" s="1"/>
      <c r="H26" s="1"/>
      <c r="I26" s="1"/>
      <c r="J26" s="1"/>
      <c r="K26" s="1"/>
      <c r="L26" s="1"/>
    </row>
    <row r="27" spans="1:18" ht="55.5">
      <c r="A27" s="4" t="s">
        <v>9</v>
      </c>
      <c r="B27" s="4" t="s">
        <v>11</v>
      </c>
      <c r="C27" s="4" t="s">
        <v>822</v>
      </c>
      <c r="D27" s="4" t="s">
        <v>13</v>
      </c>
      <c r="E27" s="4" t="s">
        <v>823</v>
      </c>
      <c r="F27" s="4" t="s">
        <v>22</v>
      </c>
      <c r="G27" s="38" t="s">
        <v>23</v>
      </c>
      <c r="H27" s="38" t="s">
        <v>17</v>
      </c>
      <c r="I27" s="38" t="s">
        <v>18</v>
      </c>
      <c r="J27" s="38" t="s">
        <v>824</v>
      </c>
      <c r="K27" s="38" t="s">
        <v>21</v>
      </c>
      <c r="L27" s="39" t="s">
        <v>825</v>
      </c>
    </row>
    <row r="28" spans="1:18" s="1" customFormat="1">
      <c r="A28" s="21"/>
      <c r="B28" s="21"/>
      <c r="C28" s="20"/>
      <c r="D28" s="21"/>
      <c r="E28" s="20"/>
      <c r="F28" s="21"/>
      <c r="G28" s="22"/>
      <c r="H28" s="23"/>
      <c r="I28" s="23"/>
      <c r="J28" s="23"/>
      <c r="K28" s="23"/>
      <c r="L28" s="23"/>
      <c r="P28" s="2"/>
      <c r="Q28" s="2"/>
      <c r="R28" s="2"/>
    </row>
    <row r="29" spans="1:18" s="1" customFormat="1">
      <c r="A29" s="13"/>
      <c r="B29" s="13"/>
      <c r="C29" s="13"/>
      <c r="D29" s="13"/>
      <c r="E29" s="13"/>
      <c r="F29" s="13"/>
      <c r="G29" s="13"/>
      <c r="H29" s="13"/>
      <c r="P29" s="2"/>
      <c r="Q29" s="2"/>
      <c r="R29" s="2"/>
    </row>
    <row r="30" spans="1:18" s="1" customFormat="1" ht="26">
      <c r="A30" s="33"/>
      <c r="B30" s="127" t="s">
        <v>830</v>
      </c>
      <c r="C30" s="127"/>
      <c r="D30" s="127"/>
      <c r="E30" s="127"/>
      <c r="F30" s="127"/>
      <c r="G30" s="127"/>
      <c r="H30" s="127"/>
      <c r="I30" s="127"/>
      <c r="J30" s="16"/>
      <c r="K30" s="16"/>
      <c r="L30" s="16"/>
      <c r="P30" s="2"/>
      <c r="Q30" s="2"/>
      <c r="R30" s="2"/>
    </row>
    <row r="31" spans="1:18" s="1" customFormat="1">
      <c r="A31" s="3"/>
      <c r="B31" s="3"/>
      <c r="C31" s="3"/>
      <c r="D31" s="3"/>
      <c r="E31" s="3"/>
      <c r="F31" s="3"/>
      <c r="G31" s="3"/>
      <c r="H31" s="3"/>
    </row>
    <row r="32" spans="1:18" s="1" customFormat="1" ht="55.5">
      <c r="A32" s="4" t="s">
        <v>9</v>
      </c>
      <c r="B32" s="4" t="s">
        <v>11</v>
      </c>
      <c r="C32" s="4" t="s">
        <v>822</v>
      </c>
      <c r="D32" s="4" t="s">
        <v>13</v>
      </c>
      <c r="E32" s="4" t="s">
        <v>823</v>
      </c>
      <c r="F32" s="4" t="s">
        <v>15</v>
      </c>
      <c r="G32" s="38" t="s">
        <v>16</v>
      </c>
      <c r="H32" s="38" t="s">
        <v>17</v>
      </c>
      <c r="I32" s="38" t="s">
        <v>18</v>
      </c>
      <c r="J32" s="38" t="s">
        <v>824</v>
      </c>
      <c r="K32" s="38" t="s">
        <v>21</v>
      </c>
      <c r="L32" s="39" t="s">
        <v>825</v>
      </c>
    </row>
    <row r="33" spans="1:18" s="1" customFormat="1">
      <c r="A33" s="6"/>
      <c r="B33" s="6"/>
      <c r="C33" s="6"/>
      <c r="D33" s="10"/>
      <c r="E33" s="10"/>
      <c r="F33" s="10"/>
      <c r="G33" s="10"/>
      <c r="H33" s="6"/>
      <c r="I33" s="6"/>
      <c r="J33" s="10"/>
      <c r="K33" s="10"/>
      <c r="L33" s="10"/>
      <c r="M33" s="141" t="s">
        <v>826</v>
      </c>
      <c r="N33" s="141"/>
      <c r="P33" s="2"/>
      <c r="Q33" s="2"/>
      <c r="R33" s="2"/>
    </row>
    <row r="34" spans="1:18" s="1" customFormat="1">
      <c r="A34" s="6"/>
      <c r="B34" s="6"/>
      <c r="C34" s="6"/>
      <c r="D34" s="10"/>
      <c r="E34" s="10"/>
      <c r="F34" s="10"/>
      <c r="G34" s="10"/>
      <c r="H34" s="6"/>
      <c r="I34" s="6"/>
      <c r="J34" s="10"/>
      <c r="K34" s="10"/>
      <c r="L34" s="10"/>
      <c r="M34" s="141"/>
      <c r="N34" s="141"/>
      <c r="P34" s="2"/>
      <c r="Q34" s="2"/>
      <c r="R34" s="2"/>
    </row>
    <row r="35" spans="1:18" s="1" customFormat="1">
      <c r="A35" s="6"/>
      <c r="B35" s="6"/>
      <c r="C35" s="6"/>
      <c r="D35" s="10"/>
      <c r="E35" s="10"/>
      <c r="F35" s="10"/>
      <c r="G35" s="10"/>
      <c r="H35" s="6"/>
      <c r="I35" s="6"/>
      <c r="J35" s="10"/>
      <c r="K35" s="10"/>
      <c r="L35" s="10"/>
      <c r="M35" s="141"/>
      <c r="N35" s="141"/>
      <c r="P35" s="2"/>
      <c r="Q35" s="2"/>
      <c r="R35" s="2"/>
    </row>
    <row r="36" spans="1:18" s="1" customFormat="1">
      <c r="A36" s="6"/>
      <c r="B36" s="6"/>
      <c r="C36" s="6"/>
      <c r="D36" s="10"/>
      <c r="E36" s="10"/>
      <c r="F36" s="10"/>
      <c r="G36" s="10"/>
      <c r="H36" s="6"/>
      <c r="I36" s="6"/>
      <c r="J36" s="10"/>
      <c r="K36" s="10"/>
      <c r="L36" s="10"/>
      <c r="M36" s="141"/>
      <c r="N36" s="141"/>
      <c r="P36" s="2"/>
      <c r="Q36" s="2"/>
      <c r="R36" s="2"/>
    </row>
    <row r="37" spans="1:18" s="1" customFormat="1">
      <c r="A37" s="6"/>
      <c r="B37" s="6"/>
      <c r="C37" s="6"/>
      <c r="D37" s="10"/>
      <c r="E37" s="10"/>
      <c r="F37" s="10"/>
      <c r="G37" s="10"/>
      <c r="H37" s="6"/>
      <c r="I37" s="6"/>
      <c r="J37" s="10"/>
      <c r="K37" s="10"/>
      <c r="L37" s="10"/>
      <c r="M37" s="141"/>
      <c r="N37" s="141"/>
      <c r="P37" s="2"/>
      <c r="Q37" s="2"/>
      <c r="R37" s="2"/>
    </row>
    <row r="38" spans="1:18" s="1" customFormat="1">
      <c r="P38" s="2"/>
      <c r="Q38" s="2"/>
      <c r="R38" s="2"/>
    </row>
    <row r="39" spans="1:18" s="1" customFormat="1" ht="55.5">
      <c r="A39" s="4" t="s">
        <v>9</v>
      </c>
      <c r="B39" s="4" t="s">
        <v>11</v>
      </c>
      <c r="C39" s="4" t="s">
        <v>822</v>
      </c>
      <c r="D39" s="4" t="s">
        <v>13</v>
      </c>
      <c r="E39" s="4" t="s">
        <v>823</v>
      </c>
      <c r="F39" s="4" t="s">
        <v>15</v>
      </c>
      <c r="G39" s="38" t="s">
        <v>16</v>
      </c>
      <c r="H39" s="38" t="s">
        <v>17</v>
      </c>
      <c r="I39" s="38" t="s">
        <v>18</v>
      </c>
      <c r="J39" s="38" t="s">
        <v>824</v>
      </c>
      <c r="K39" s="38" t="s">
        <v>21</v>
      </c>
      <c r="L39" s="39" t="s">
        <v>825</v>
      </c>
    </row>
    <row r="40" spans="1:18" s="1" customFormat="1" ht="24" customHeight="1">
      <c r="A40" s="6"/>
      <c r="B40" s="6"/>
      <c r="C40" s="6"/>
      <c r="D40" s="10"/>
      <c r="E40" s="10"/>
      <c r="F40" s="10"/>
      <c r="G40" s="10"/>
      <c r="H40" s="6"/>
      <c r="I40" s="6"/>
      <c r="J40" s="10"/>
      <c r="K40" s="10"/>
      <c r="L40" s="10"/>
      <c r="M40" s="141" t="s">
        <v>831</v>
      </c>
      <c r="N40" s="141"/>
      <c r="P40" s="2"/>
      <c r="Q40" s="2"/>
      <c r="R40" s="2"/>
    </row>
    <row r="41" spans="1:18" s="1" customFormat="1">
      <c r="A41" s="6"/>
      <c r="B41" s="6"/>
      <c r="C41" s="6"/>
      <c r="D41" s="10"/>
      <c r="E41" s="10"/>
      <c r="F41" s="10"/>
      <c r="G41" s="10"/>
      <c r="H41" s="6"/>
      <c r="I41" s="6"/>
      <c r="J41" s="10"/>
      <c r="K41" s="10"/>
      <c r="L41" s="10"/>
      <c r="M41" s="141"/>
      <c r="N41" s="141"/>
      <c r="P41" s="2"/>
      <c r="Q41" s="2"/>
      <c r="R41" s="2"/>
    </row>
    <row r="42" spans="1:18" s="1" customFormat="1">
      <c r="A42" s="6"/>
      <c r="B42" s="6"/>
      <c r="C42" s="6"/>
      <c r="D42" s="10"/>
      <c r="E42" s="10"/>
      <c r="F42" s="10"/>
      <c r="G42" s="10"/>
      <c r="H42" s="6"/>
      <c r="I42" s="6"/>
      <c r="J42" s="10"/>
      <c r="K42" s="10"/>
      <c r="L42" s="10"/>
      <c r="M42" s="141"/>
      <c r="N42" s="141"/>
      <c r="P42" s="2"/>
      <c r="Q42" s="2"/>
      <c r="R42" s="2"/>
    </row>
    <row r="43" spans="1:18" s="1" customFormat="1">
      <c r="A43" s="6"/>
      <c r="B43" s="6"/>
      <c r="C43" s="6"/>
      <c r="D43" s="10"/>
      <c r="E43" s="10"/>
      <c r="F43" s="10"/>
      <c r="G43" s="10"/>
      <c r="H43" s="6"/>
      <c r="I43" s="6"/>
      <c r="J43" s="10"/>
      <c r="K43" s="10"/>
      <c r="L43" s="10"/>
      <c r="M43" s="141"/>
      <c r="N43" s="141"/>
      <c r="P43" s="2"/>
      <c r="Q43" s="2"/>
      <c r="R43" s="2"/>
    </row>
    <row r="44" spans="1:18" s="1" customFormat="1">
      <c r="A44" s="6"/>
      <c r="B44" s="6"/>
      <c r="C44" s="6"/>
      <c r="D44" s="10"/>
      <c r="E44" s="10"/>
      <c r="F44" s="10"/>
      <c r="G44" s="10"/>
      <c r="H44" s="6"/>
      <c r="I44" s="6"/>
      <c r="J44" s="10"/>
      <c r="K44" s="10"/>
      <c r="L44" s="10"/>
      <c r="M44" s="141"/>
      <c r="N44" s="141"/>
      <c r="P44" s="2"/>
      <c r="Q44" s="2"/>
      <c r="R44" s="2"/>
    </row>
    <row r="45" spans="1:18" s="1" customFormat="1">
      <c r="P45" s="2"/>
      <c r="Q45" s="2"/>
      <c r="R45" s="2"/>
    </row>
    <row r="46" spans="1:18" s="1" customFormat="1" ht="55.5">
      <c r="A46" s="4" t="s">
        <v>9</v>
      </c>
      <c r="B46" s="4" t="s">
        <v>11</v>
      </c>
      <c r="C46" s="4" t="s">
        <v>822</v>
      </c>
      <c r="D46" s="4" t="s">
        <v>13</v>
      </c>
      <c r="E46" s="4" t="s">
        <v>823</v>
      </c>
      <c r="F46" s="4" t="s">
        <v>15</v>
      </c>
      <c r="G46" s="38" t="s">
        <v>16</v>
      </c>
      <c r="H46" s="38" t="s">
        <v>17</v>
      </c>
      <c r="I46" s="38" t="s">
        <v>18</v>
      </c>
      <c r="J46" s="38" t="s">
        <v>824</v>
      </c>
      <c r="K46" s="38" t="s">
        <v>21</v>
      </c>
      <c r="L46" s="39" t="s">
        <v>825</v>
      </c>
    </row>
    <row r="47" spans="1:18" s="1" customFormat="1">
      <c r="A47" s="6"/>
      <c r="B47" s="6"/>
      <c r="C47" s="6"/>
      <c r="D47" s="10"/>
      <c r="E47" s="10"/>
      <c r="F47" s="10"/>
      <c r="G47" s="10"/>
      <c r="H47" s="6"/>
      <c r="I47" s="6"/>
      <c r="J47" s="10"/>
      <c r="K47" s="10"/>
      <c r="L47" s="10"/>
      <c r="M47" s="144" t="s">
        <v>827</v>
      </c>
      <c r="N47" s="145"/>
      <c r="P47" s="2"/>
      <c r="Q47" s="2"/>
      <c r="R47" s="2"/>
    </row>
    <row r="48" spans="1:18" s="1" customFormat="1">
      <c r="A48" s="6"/>
      <c r="B48" s="6"/>
      <c r="C48" s="6"/>
      <c r="D48" s="10"/>
      <c r="E48" s="10"/>
      <c r="F48" s="10"/>
      <c r="G48" s="10"/>
      <c r="H48" s="6"/>
      <c r="I48" s="6"/>
      <c r="J48" s="10"/>
      <c r="K48" s="10"/>
      <c r="L48" s="10"/>
      <c r="M48" s="144"/>
      <c r="N48" s="145"/>
      <c r="P48" s="2"/>
      <c r="Q48" s="2"/>
      <c r="R48" s="2"/>
    </row>
    <row r="49" spans="1:18" s="1" customFormat="1">
      <c r="A49" s="6"/>
      <c r="B49" s="6"/>
      <c r="C49" s="6"/>
      <c r="D49" s="10"/>
      <c r="E49" s="10"/>
      <c r="F49" s="10"/>
      <c r="G49" s="10"/>
      <c r="H49" s="6"/>
      <c r="I49" s="6"/>
      <c r="J49" s="10"/>
      <c r="K49" s="10"/>
      <c r="L49" s="10"/>
      <c r="M49" s="144"/>
      <c r="N49" s="145"/>
      <c r="P49" s="2"/>
      <c r="Q49" s="2"/>
      <c r="R49" s="2"/>
    </row>
    <row r="50" spans="1:18" s="1" customFormat="1">
      <c r="A50" s="6"/>
      <c r="B50" s="6"/>
      <c r="C50" s="6"/>
      <c r="D50" s="10"/>
      <c r="E50" s="10"/>
      <c r="F50" s="10"/>
      <c r="G50" s="10"/>
      <c r="H50" s="6"/>
      <c r="I50" s="6"/>
      <c r="J50" s="10"/>
      <c r="K50" s="10"/>
      <c r="L50" s="10"/>
      <c r="M50" s="144"/>
      <c r="N50" s="145"/>
      <c r="P50" s="2"/>
      <c r="Q50" s="2"/>
      <c r="R50" s="2"/>
    </row>
    <row r="51" spans="1:18" s="1" customFormat="1">
      <c r="P51" s="2"/>
      <c r="Q51" s="2"/>
      <c r="R51" s="2"/>
    </row>
    <row r="52" spans="1:18" s="1" customFormat="1" ht="55.5">
      <c r="A52" s="4" t="s">
        <v>9</v>
      </c>
      <c r="B52" s="4" t="s">
        <v>11</v>
      </c>
      <c r="C52" s="4" t="s">
        <v>822</v>
      </c>
      <c r="D52" s="4" t="s">
        <v>13</v>
      </c>
      <c r="E52" s="4" t="s">
        <v>823</v>
      </c>
      <c r="F52" s="4" t="s">
        <v>15</v>
      </c>
      <c r="G52" s="38" t="s">
        <v>16</v>
      </c>
      <c r="H52" s="38" t="s">
        <v>17</v>
      </c>
      <c r="I52" s="38" t="s">
        <v>18</v>
      </c>
      <c r="J52" s="38" t="s">
        <v>824</v>
      </c>
      <c r="K52" s="38" t="s">
        <v>21</v>
      </c>
      <c r="L52" s="39" t="s">
        <v>825</v>
      </c>
    </row>
    <row r="53" spans="1:18" s="1" customFormat="1">
      <c r="A53" s="6"/>
      <c r="B53" s="6"/>
      <c r="C53" s="6"/>
      <c r="D53" s="10"/>
      <c r="E53" s="10"/>
      <c r="F53" s="10"/>
      <c r="G53" s="10"/>
      <c r="H53" s="6"/>
      <c r="I53" s="6"/>
      <c r="J53" s="10"/>
      <c r="K53" s="10"/>
      <c r="L53" s="10"/>
      <c r="M53" s="141" t="s">
        <v>828</v>
      </c>
      <c r="N53" s="141"/>
      <c r="P53" s="2"/>
      <c r="Q53" s="2"/>
      <c r="R53" s="2"/>
    </row>
    <row r="54" spans="1:18" s="1" customFormat="1">
      <c r="A54" s="6"/>
      <c r="B54" s="6"/>
      <c r="C54" s="6"/>
      <c r="D54" s="10"/>
      <c r="E54" s="10"/>
      <c r="F54" s="10"/>
      <c r="G54" s="10"/>
      <c r="H54" s="6"/>
      <c r="I54" s="6"/>
      <c r="J54" s="10"/>
      <c r="K54" s="10"/>
      <c r="L54" s="10"/>
      <c r="M54" s="141"/>
      <c r="N54" s="141"/>
      <c r="P54" s="2"/>
      <c r="Q54" s="2"/>
      <c r="R54" s="2"/>
    </row>
    <row r="55" spans="1:18" s="1" customFormat="1">
      <c r="A55" s="6"/>
      <c r="B55" s="6"/>
      <c r="C55" s="6"/>
      <c r="D55" s="10"/>
      <c r="E55" s="10"/>
      <c r="F55" s="10"/>
      <c r="G55" s="10"/>
      <c r="H55" s="6"/>
      <c r="I55" s="6"/>
      <c r="J55" s="10"/>
      <c r="K55" s="10"/>
      <c r="L55" s="10"/>
      <c r="M55" s="141"/>
      <c r="N55" s="141"/>
      <c r="P55" s="2"/>
      <c r="Q55" s="2"/>
      <c r="R55" s="2"/>
    </row>
    <row r="56" spans="1:18" s="1" customFormat="1">
      <c r="A56" s="6"/>
      <c r="B56" s="6"/>
      <c r="C56" s="6"/>
      <c r="D56" s="10"/>
      <c r="E56" s="10"/>
      <c r="F56" s="10"/>
      <c r="G56" s="10"/>
      <c r="H56" s="6"/>
      <c r="I56" s="6"/>
      <c r="J56" s="10"/>
      <c r="K56" s="10"/>
      <c r="L56" s="10"/>
      <c r="M56" s="141"/>
      <c r="N56" s="141"/>
      <c r="P56" s="2"/>
      <c r="Q56" s="2"/>
      <c r="R56" s="2"/>
    </row>
    <row r="57" spans="1:18" s="1" customFormat="1">
      <c r="P57" s="2"/>
      <c r="Q57" s="2"/>
      <c r="R57" s="2"/>
    </row>
    <row r="58" spans="1:18" s="1" customFormat="1" ht="55.5">
      <c r="A58" s="4" t="s">
        <v>9</v>
      </c>
      <c r="B58" s="4" t="s">
        <v>11</v>
      </c>
      <c r="C58" s="4" t="s">
        <v>822</v>
      </c>
      <c r="D58" s="4" t="s">
        <v>13</v>
      </c>
      <c r="E58" s="4" t="s">
        <v>823</v>
      </c>
      <c r="F58" s="4" t="s">
        <v>15</v>
      </c>
      <c r="G58" s="38" t="s">
        <v>16</v>
      </c>
      <c r="H58" s="38" t="s">
        <v>17</v>
      </c>
      <c r="I58" s="38" t="s">
        <v>18</v>
      </c>
      <c r="J58" s="38" t="s">
        <v>824</v>
      </c>
      <c r="K58" s="38" t="s">
        <v>21</v>
      </c>
      <c r="L58" s="39" t="s">
        <v>825</v>
      </c>
    </row>
    <row r="59" spans="1:18" s="1" customFormat="1">
      <c r="A59" s="6"/>
      <c r="B59" s="6"/>
      <c r="C59" s="6"/>
      <c r="D59" s="10"/>
      <c r="E59" s="10"/>
      <c r="F59" s="10"/>
      <c r="G59" s="10"/>
      <c r="H59" s="6"/>
      <c r="I59" s="6"/>
      <c r="J59" s="10"/>
      <c r="K59" s="10"/>
      <c r="L59" s="10"/>
      <c r="M59" s="141" t="s">
        <v>829</v>
      </c>
      <c r="N59" s="141"/>
      <c r="P59" s="2"/>
      <c r="Q59" s="2"/>
      <c r="R59" s="2"/>
    </row>
    <row r="60" spans="1:18" s="1" customFormat="1">
      <c r="A60" s="6"/>
      <c r="B60" s="6"/>
      <c r="C60" s="6"/>
      <c r="D60" s="10"/>
      <c r="E60" s="10"/>
      <c r="F60" s="10"/>
      <c r="G60" s="10"/>
      <c r="H60" s="6"/>
      <c r="I60" s="6"/>
      <c r="J60" s="10"/>
      <c r="K60" s="10"/>
      <c r="L60" s="10"/>
      <c r="M60" s="141"/>
      <c r="N60" s="141"/>
      <c r="P60" s="2"/>
      <c r="Q60" s="2"/>
      <c r="R60" s="2"/>
    </row>
    <row r="61" spans="1:18" s="1" customFormat="1">
      <c r="A61" s="6"/>
      <c r="B61" s="6"/>
      <c r="C61" s="6"/>
      <c r="D61" s="10"/>
      <c r="E61" s="10"/>
      <c r="F61" s="10"/>
      <c r="G61" s="10"/>
      <c r="H61" s="6"/>
      <c r="I61" s="6"/>
      <c r="J61" s="10"/>
      <c r="K61" s="10"/>
      <c r="L61" s="10"/>
      <c r="M61" s="141"/>
      <c r="N61" s="141"/>
      <c r="P61" s="2"/>
      <c r="Q61" s="2"/>
      <c r="R61" s="2"/>
    </row>
    <row r="62" spans="1:18" s="1" customFormat="1">
      <c r="A62" s="6"/>
      <c r="B62" s="6"/>
      <c r="C62" s="6"/>
      <c r="D62" s="10"/>
      <c r="E62" s="10"/>
      <c r="F62" s="10"/>
      <c r="G62" s="10"/>
      <c r="H62" s="6"/>
      <c r="I62" s="6"/>
      <c r="J62" s="10"/>
      <c r="K62" s="10"/>
      <c r="L62" s="10"/>
      <c r="M62" s="141"/>
      <c r="N62" s="141"/>
      <c r="P62" s="2"/>
      <c r="Q62" s="2"/>
      <c r="R62" s="2"/>
    </row>
    <row r="63" spans="1:18" s="1" customFormat="1">
      <c r="P63" s="2"/>
      <c r="Q63" s="2"/>
      <c r="R63" s="2"/>
    </row>
    <row r="64" spans="1:18" s="1" customFormat="1" ht="55.5">
      <c r="A64" s="4" t="s">
        <v>9</v>
      </c>
      <c r="B64" s="4" t="s">
        <v>11</v>
      </c>
      <c r="C64" s="4" t="s">
        <v>822</v>
      </c>
      <c r="D64" s="4" t="s">
        <v>13</v>
      </c>
      <c r="E64" s="4" t="s">
        <v>823</v>
      </c>
      <c r="F64" s="4" t="s">
        <v>22</v>
      </c>
      <c r="G64" s="38" t="s">
        <v>23</v>
      </c>
      <c r="H64" s="38" t="s">
        <v>17</v>
      </c>
      <c r="I64" s="38" t="s">
        <v>18</v>
      </c>
      <c r="J64" s="38" t="s">
        <v>824</v>
      </c>
      <c r="K64" s="38" t="s">
        <v>21</v>
      </c>
      <c r="L64" s="39" t="s">
        <v>825</v>
      </c>
      <c r="P64" s="2"/>
      <c r="Q64" s="2"/>
      <c r="R64" s="2"/>
    </row>
    <row r="65" spans="1:18" s="1" customFormat="1">
      <c r="A65" s="21"/>
      <c r="B65" s="21"/>
      <c r="C65" s="20"/>
      <c r="D65" s="21"/>
      <c r="E65" s="20"/>
      <c r="F65" s="21"/>
      <c r="G65" s="22"/>
      <c r="H65" s="23"/>
      <c r="I65" s="23"/>
      <c r="J65" s="23"/>
      <c r="K65" s="23"/>
      <c r="L65" s="23"/>
      <c r="P65" s="2"/>
      <c r="Q65" s="2"/>
      <c r="R65" s="2"/>
    </row>
    <row r="66" spans="1:18" s="1" customFormat="1">
      <c r="H66" s="3"/>
      <c r="P66" s="2"/>
      <c r="Q66" s="2"/>
      <c r="R66" s="2"/>
    </row>
    <row r="67" spans="1:18" s="1" customFormat="1" ht="26">
      <c r="A67" s="33"/>
      <c r="B67" s="127" t="s">
        <v>832</v>
      </c>
      <c r="C67" s="127"/>
      <c r="D67" s="127"/>
      <c r="E67" s="127"/>
      <c r="F67" s="127"/>
      <c r="G67" s="127"/>
      <c r="H67" s="127"/>
      <c r="I67" s="127"/>
      <c r="J67" s="16"/>
      <c r="K67" s="16"/>
      <c r="L67" s="16"/>
      <c r="P67" s="2"/>
      <c r="Q67" s="2"/>
      <c r="R67" s="2"/>
    </row>
    <row r="68" spans="1:18" s="1" customFormat="1">
      <c r="A68" s="3"/>
      <c r="B68" s="3"/>
      <c r="C68" s="3"/>
      <c r="D68" s="3"/>
      <c r="E68" s="3"/>
      <c r="F68" s="3"/>
      <c r="G68" s="3"/>
      <c r="H68" s="3"/>
      <c r="P68" s="2"/>
      <c r="Q68" s="2"/>
      <c r="R68" s="2"/>
    </row>
    <row r="69" spans="1:18" s="1" customFormat="1" ht="55.5">
      <c r="A69" s="4" t="s">
        <v>9</v>
      </c>
      <c r="B69" s="4" t="s">
        <v>11</v>
      </c>
      <c r="C69" s="4" t="s">
        <v>822</v>
      </c>
      <c r="D69" s="4" t="s">
        <v>13</v>
      </c>
      <c r="E69" s="4" t="s">
        <v>823</v>
      </c>
      <c r="F69" s="4" t="s">
        <v>15</v>
      </c>
      <c r="G69" s="38" t="s">
        <v>16</v>
      </c>
      <c r="H69" s="38" t="s">
        <v>17</v>
      </c>
      <c r="I69" s="38" t="s">
        <v>18</v>
      </c>
      <c r="J69" s="38" t="s">
        <v>824</v>
      </c>
      <c r="K69" s="38" t="s">
        <v>21</v>
      </c>
      <c r="L69" s="39" t="s">
        <v>825</v>
      </c>
    </row>
    <row r="70" spans="1:18" s="1" customFormat="1">
      <c r="A70" s="6"/>
      <c r="B70" s="6"/>
      <c r="C70" s="6"/>
      <c r="D70" s="10"/>
      <c r="E70" s="10"/>
      <c r="F70" s="10"/>
      <c r="G70" s="10"/>
      <c r="H70" s="6"/>
      <c r="I70" s="6"/>
      <c r="J70" s="10"/>
      <c r="K70" s="10"/>
      <c r="L70" s="10"/>
      <c r="M70" s="141" t="s">
        <v>826</v>
      </c>
      <c r="N70" s="141"/>
      <c r="P70" s="2"/>
      <c r="Q70" s="2"/>
      <c r="R70" s="2"/>
    </row>
    <row r="71" spans="1:18" s="1" customFormat="1">
      <c r="A71" s="6"/>
      <c r="B71" s="6"/>
      <c r="C71" s="6"/>
      <c r="D71" s="10"/>
      <c r="E71" s="10"/>
      <c r="F71" s="10"/>
      <c r="G71" s="10"/>
      <c r="H71" s="6"/>
      <c r="I71" s="6"/>
      <c r="J71" s="10"/>
      <c r="K71" s="10"/>
      <c r="L71" s="10"/>
      <c r="M71" s="141"/>
      <c r="N71" s="141"/>
      <c r="P71" s="2"/>
      <c r="Q71" s="2"/>
      <c r="R71" s="2"/>
    </row>
    <row r="72" spans="1:18" s="1" customFormat="1">
      <c r="A72" s="6"/>
      <c r="B72" s="6"/>
      <c r="C72" s="6"/>
      <c r="D72" s="10"/>
      <c r="E72" s="10"/>
      <c r="F72" s="10"/>
      <c r="G72" s="10"/>
      <c r="H72" s="6"/>
      <c r="I72" s="6"/>
      <c r="J72" s="10"/>
      <c r="K72" s="10"/>
      <c r="L72" s="10"/>
      <c r="M72" s="141"/>
      <c r="N72" s="141"/>
      <c r="P72" s="2"/>
      <c r="Q72" s="2"/>
      <c r="R72" s="2"/>
    </row>
    <row r="73" spans="1:18" s="1" customFormat="1">
      <c r="A73" s="6"/>
      <c r="B73" s="6"/>
      <c r="C73" s="6"/>
      <c r="D73" s="10"/>
      <c r="E73" s="10"/>
      <c r="F73" s="10"/>
      <c r="G73" s="10"/>
      <c r="H73" s="6"/>
      <c r="I73" s="6"/>
      <c r="J73" s="10"/>
      <c r="K73" s="10"/>
      <c r="L73" s="10"/>
      <c r="M73" s="141"/>
      <c r="N73" s="141"/>
      <c r="P73" s="2"/>
      <c r="Q73" s="2"/>
      <c r="R73" s="2"/>
    </row>
    <row r="74" spans="1:18" s="1" customFormat="1">
      <c r="A74" s="6"/>
      <c r="B74" s="6"/>
      <c r="C74" s="6"/>
      <c r="D74" s="10"/>
      <c r="E74" s="10"/>
      <c r="F74" s="10"/>
      <c r="G74" s="10"/>
      <c r="H74" s="6"/>
      <c r="I74" s="6"/>
      <c r="J74" s="10"/>
      <c r="K74" s="10"/>
      <c r="L74" s="10"/>
      <c r="M74" s="141"/>
      <c r="N74" s="141"/>
      <c r="P74" s="2"/>
      <c r="Q74" s="2"/>
      <c r="R74" s="2"/>
    </row>
    <row r="75" spans="1:18" s="1" customFormat="1">
      <c r="P75" s="2"/>
      <c r="Q75" s="2"/>
      <c r="R75" s="2"/>
    </row>
    <row r="76" spans="1:18" s="1" customFormat="1" ht="55.5">
      <c r="A76" s="4" t="s">
        <v>9</v>
      </c>
      <c r="B76" s="4" t="s">
        <v>11</v>
      </c>
      <c r="C76" s="4" t="s">
        <v>822</v>
      </c>
      <c r="D76" s="4" t="s">
        <v>13</v>
      </c>
      <c r="E76" s="4" t="s">
        <v>823</v>
      </c>
      <c r="F76" s="4" t="s">
        <v>15</v>
      </c>
      <c r="G76" s="38" t="s">
        <v>16</v>
      </c>
      <c r="H76" s="38" t="s">
        <v>17</v>
      </c>
      <c r="I76" s="38" t="s">
        <v>18</v>
      </c>
      <c r="J76" s="38" t="s">
        <v>824</v>
      </c>
      <c r="K76" s="38" t="s">
        <v>21</v>
      </c>
      <c r="L76" s="39" t="s">
        <v>825</v>
      </c>
    </row>
    <row r="77" spans="1:18" s="1" customFormat="1">
      <c r="A77" s="6"/>
      <c r="B77" s="6"/>
      <c r="C77" s="6"/>
      <c r="D77" s="10"/>
      <c r="E77" s="10"/>
      <c r="F77" s="10"/>
      <c r="G77" s="10"/>
      <c r="H77" s="6"/>
      <c r="I77" s="6"/>
      <c r="J77" s="10"/>
      <c r="K77" s="10"/>
      <c r="L77" s="10"/>
      <c r="M77" s="141" t="s">
        <v>833</v>
      </c>
      <c r="N77" s="141"/>
      <c r="P77" s="2"/>
      <c r="Q77" s="2"/>
      <c r="R77" s="2"/>
    </row>
    <row r="78" spans="1:18" s="1" customFormat="1">
      <c r="A78" s="6"/>
      <c r="B78" s="6"/>
      <c r="C78" s="6"/>
      <c r="D78" s="10"/>
      <c r="E78" s="10"/>
      <c r="F78" s="10"/>
      <c r="G78" s="10"/>
      <c r="H78" s="6"/>
      <c r="I78" s="6"/>
      <c r="J78" s="10"/>
      <c r="K78" s="10"/>
      <c r="L78" s="10"/>
      <c r="M78" s="141"/>
      <c r="N78" s="141"/>
      <c r="P78" s="2"/>
      <c r="Q78" s="2"/>
      <c r="R78" s="2"/>
    </row>
    <row r="79" spans="1:18" s="1" customFormat="1">
      <c r="A79" s="6"/>
      <c r="B79" s="6"/>
      <c r="C79" s="6"/>
      <c r="D79" s="10"/>
      <c r="E79" s="10"/>
      <c r="F79" s="10"/>
      <c r="G79" s="10"/>
      <c r="H79" s="6"/>
      <c r="I79" s="6"/>
      <c r="J79" s="10"/>
      <c r="K79" s="10"/>
      <c r="L79" s="10"/>
      <c r="M79" s="141"/>
      <c r="N79" s="141"/>
      <c r="P79" s="2"/>
      <c r="Q79" s="2"/>
      <c r="R79" s="2"/>
    </row>
    <row r="80" spans="1:18" s="1" customFormat="1">
      <c r="P80" s="2"/>
      <c r="Q80" s="2"/>
      <c r="R80" s="2"/>
    </row>
    <row r="81" spans="1:18" s="1" customFormat="1" ht="55.5">
      <c r="A81" s="4" t="s">
        <v>9</v>
      </c>
      <c r="B81" s="4" t="s">
        <v>11</v>
      </c>
      <c r="C81" s="4" t="s">
        <v>822</v>
      </c>
      <c r="D81" s="4" t="s">
        <v>13</v>
      </c>
      <c r="E81" s="4" t="s">
        <v>823</v>
      </c>
      <c r="F81" s="4" t="s">
        <v>15</v>
      </c>
      <c r="G81" s="38" t="s">
        <v>16</v>
      </c>
      <c r="H81" s="38" t="s">
        <v>17</v>
      </c>
      <c r="I81" s="38" t="s">
        <v>18</v>
      </c>
      <c r="J81" s="38" t="s">
        <v>824</v>
      </c>
      <c r="K81" s="38" t="s">
        <v>21</v>
      </c>
      <c r="L81" s="39" t="s">
        <v>825</v>
      </c>
    </row>
    <row r="82" spans="1:18" s="1" customFormat="1">
      <c r="A82" s="6"/>
      <c r="B82" s="6"/>
      <c r="C82" s="6"/>
      <c r="D82" s="10"/>
      <c r="E82" s="10"/>
      <c r="F82" s="10"/>
      <c r="G82" s="10"/>
      <c r="H82" s="6"/>
      <c r="I82" s="6"/>
      <c r="J82" s="10"/>
      <c r="K82" s="10"/>
      <c r="L82" s="10"/>
      <c r="M82" s="141" t="s">
        <v>834</v>
      </c>
      <c r="N82" s="141"/>
      <c r="P82" s="2"/>
      <c r="Q82" s="2"/>
      <c r="R82" s="2"/>
    </row>
    <row r="83" spans="1:18" s="1" customFormat="1">
      <c r="A83" s="6"/>
      <c r="B83" s="6"/>
      <c r="C83" s="6"/>
      <c r="D83" s="10"/>
      <c r="E83" s="10"/>
      <c r="F83" s="10"/>
      <c r="G83" s="10"/>
      <c r="H83" s="6"/>
      <c r="I83" s="6"/>
      <c r="J83" s="10"/>
      <c r="K83" s="10"/>
      <c r="L83" s="10"/>
      <c r="M83" s="141"/>
      <c r="N83" s="141"/>
      <c r="P83" s="2"/>
      <c r="Q83" s="2"/>
      <c r="R83" s="2"/>
    </row>
    <row r="84" spans="1:18" s="1" customFormat="1">
      <c r="A84" s="6"/>
      <c r="B84" s="6"/>
      <c r="C84" s="6"/>
      <c r="D84" s="10"/>
      <c r="E84" s="10"/>
      <c r="F84" s="10"/>
      <c r="G84" s="10"/>
      <c r="H84" s="6"/>
      <c r="I84" s="6"/>
      <c r="J84" s="10"/>
      <c r="K84" s="10"/>
      <c r="L84" s="10"/>
      <c r="M84" s="141"/>
      <c r="N84" s="141"/>
      <c r="P84" s="2"/>
      <c r="Q84" s="2"/>
      <c r="R84" s="2"/>
    </row>
    <row r="85" spans="1:18" s="1" customFormat="1">
      <c r="P85" s="2"/>
      <c r="Q85" s="2"/>
      <c r="R85" s="2"/>
    </row>
    <row r="86" spans="1:18" s="1" customFormat="1" ht="55.5">
      <c r="A86" s="4" t="s">
        <v>9</v>
      </c>
      <c r="B86" s="4" t="s">
        <v>11</v>
      </c>
      <c r="C86" s="4" t="s">
        <v>822</v>
      </c>
      <c r="D86" s="4" t="s">
        <v>13</v>
      </c>
      <c r="E86" s="4" t="s">
        <v>823</v>
      </c>
      <c r="F86" s="4" t="s">
        <v>15</v>
      </c>
      <c r="G86" s="38" t="s">
        <v>16</v>
      </c>
      <c r="H86" s="38" t="s">
        <v>17</v>
      </c>
      <c r="I86" s="38" t="s">
        <v>18</v>
      </c>
      <c r="J86" s="38" t="s">
        <v>824</v>
      </c>
      <c r="K86" s="38" t="s">
        <v>21</v>
      </c>
      <c r="L86" s="39" t="s">
        <v>825</v>
      </c>
    </row>
    <row r="87" spans="1:18" s="1" customFormat="1">
      <c r="A87" s="6"/>
      <c r="B87" s="6"/>
      <c r="C87" s="6"/>
      <c r="D87" s="10"/>
      <c r="E87" s="10"/>
      <c r="F87" s="10"/>
      <c r="G87" s="10"/>
      <c r="H87" s="6"/>
      <c r="I87" s="6"/>
      <c r="J87" s="10"/>
      <c r="K87" s="10"/>
      <c r="L87" s="10"/>
      <c r="M87" s="141" t="s">
        <v>827</v>
      </c>
      <c r="N87" s="141"/>
      <c r="P87" s="2"/>
      <c r="Q87" s="2"/>
      <c r="R87" s="2"/>
    </row>
    <row r="88" spans="1:18" s="1" customFormat="1">
      <c r="A88" s="6"/>
      <c r="B88" s="6"/>
      <c r="C88" s="6"/>
      <c r="D88" s="10"/>
      <c r="E88" s="10"/>
      <c r="F88" s="10"/>
      <c r="G88" s="10"/>
      <c r="H88" s="6"/>
      <c r="I88" s="6"/>
      <c r="J88" s="10"/>
      <c r="K88" s="10"/>
      <c r="L88" s="10"/>
      <c r="M88" s="141"/>
      <c r="N88" s="141"/>
      <c r="P88" s="2"/>
      <c r="Q88" s="2"/>
      <c r="R88" s="2"/>
    </row>
    <row r="89" spans="1:18" s="1" customFormat="1">
      <c r="A89" s="6"/>
      <c r="B89" s="6"/>
      <c r="C89" s="6"/>
      <c r="D89" s="10"/>
      <c r="E89" s="10"/>
      <c r="F89" s="10"/>
      <c r="G89" s="10"/>
      <c r="H89" s="6"/>
      <c r="I89" s="6"/>
      <c r="J89" s="10"/>
      <c r="K89" s="10"/>
      <c r="L89" s="10"/>
      <c r="M89" s="141"/>
      <c r="N89" s="141"/>
      <c r="P89" s="2"/>
      <c r="Q89" s="2"/>
      <c r="R89" s="2"/>
    </row>
    <row r="90" spans="1:18" s="1" customFormat="1">
      <c r="P90" s="2"/>
      <c r="Q90" s="2"/>
      <c r="R90" s="2"/>
    </row>
    <row r="91" spans="1:18" s="1" customFormat="1" ht="55.5">
      <c r="A91" s="4" t="s">
        <v>9</v>
      </c>
      <c r="B91" s="4" t="s">
        <v>11</v>
      </c>
      <c r="C91" s="4" t="s">
        <v>822</v>
      </c>
      <c r="D91" s="4" t="s">
        <v>13</v>
      </c>
      <c r="E91" s="4" t="s">
        <v>823</v>
      </c>
      <c r="F91" s="4" t="s">
        <v>15</v>
      </c>
      <c r="G91" s="38" t="s">
        <v>16</v>
      </c>
      <c r="H91" s="38" t="s">
        <v>17</v>
      </c>
      <c r="I91" s="38" t="s">
        <v>18</v>
      </c>
      <c r="J91" s="38" t="s">
        <v>824</v>
      </c>
      <c r="K91" s="38" t="s">
        <v>21</v>
      </c>
      <c r="L91" s="39" t="s">
        <v>825</v>
      </c>
    </row>
    <row r="92" spans="1:18">
      <c r="A92" s="6"/>
      <c r="B92" s="6"/>
      <c r="C92" s="6"/>
      <c r="D92" s="10"/>
      <c r="E92" s="10"/>
      <c r="F92" s="10"/>
      <c r="G92" s="10"/>
      <c r="H92" s="6"/>
      <c r="I92" s="6"/>
      <c r="J92" s="10"/>
      <c r="K92" s="10"/>
      <c r="L92" s="10"/>
      <c r="M92" s="141" t="s">
        <v>828</v>
      </c>
      <c r="N92" s="141"/>
    </row>
    <row r="93" spans="1:18">
      <c r="A93" s="6"/>
      <c r="B93" s="6"/>
      <c r="C93" s="6"/>
      <c r="D93" s="10"/>
      <c r="E93" s="10"/>
      <c r="F93" s="10"/>
      <c r="G93" s="10"/>
      <c r="H93" s="6"/>
      <c r="I93" s="6"/>
      <c r="J93" s="10"/>
      <c r="K93" s="10"/>
      <c r="L93" s="10"/>
      <c r="M93" s="141"/>
      <c r="N93" s="141"/>
    </row>
    <row r="94" spans="1:18">
      <c r="A94" s="6"/>
      <c r="B94" s="6"/>
      <c r="C94" s="6"/>
      <c r="D94" s="10"/>
      <c r="E94" s="10"/>
      <c r="F94" s="10"/>
      <c r="G94" s="10"/>
      <c r="H94" s="6"/>
      <c r="I94" s="6"/>
      <c r="J94" s="10"/>
      <c r="K94" s="10"/>
      <c r="L94" s="10"/>
      <c r="M94" s="141"/>
      <c r="N94" s="141"/>
    </row>
    <row r="95" spans="1:18" s="5" customFormat="1">
      <c r="A95" s="1"/>
      <c r="B95" s="1"/>
      <c r="C95" s="1"/>
      <c r="D95" s="1"/>
      <c r="E95" s="1"/>
      <c r="F95" s="1"/>
      <c r="G95" s="1"/>
      <c r="H95" s="1"/>
      <c r="I95" s="1"/>
      <c r="J95" s="1"/>
      <c r="K95" s="1"/>
      <c r="L95" s="1"/>
      <c r="M95" s="35"/>
      <c r="N95" s="35"/>
      <c r="O95" s="35"/>
    </row>
    <row r="96" spans="1:18" s="1" customFormat="1" ht="55.5">
      <c r="A96" s="4" t="s">
        <v>9</v>
      </c>
      <c r="B96" s="4" t="s">
        <v>11</v>
      </c>
      <c r="C96" s="4" t="s">
        <v>822</v>
      </c>
      <c r="D96" s="4" t="s">
        <v>13</v>
      </c>
      <c r="E96" s="4" t="s">
        <v>823</v>
      </c>
      <c r="F96" s="4" t="s">
        <v>15</v>
      </c>
      <c r="G96" s="38" t="s">
        <v>16</v>
      </c>
      <c r="H96" s="38" t="s">
        <v>17</v>
      </c>
      <c r="I96" s="38" t="s">
        <v>18</v>
      </c>
      <c r="J96" s="38" t="s">
        <v>824</v>
      </c>
      <c r="K96" s="38" t="s">
        <v>21</v>
      </c>
      <c r="L96" s="39" t="s">
        <v>825</v>
      </c>
    </row>
    <row r="97" spans="1:18">
      <c r="A97" s="6"/>
      <c r="B97" s="6"/>
      <c r="C97" s="6"/>
      <c r="D97" s="10"/>
      <c r="E97" s="10"/>
      <c r="F97" s="10"/>
      <c r="G97" s="10"/>
      <c r="H97" s="6"/>
      <c r="I97" s="6"/>
      <c r="J97" s="10"/>
      <c r="K97" s="10"/>
      <c r="L97" s="10"/>
      <c r="M97" s="141" t="s">
        <v>829</v>
      </c>
      <c r="N97" s="141"/>
    </row>
    <row r="98" spans="1:18">
      <c r="A98" s="6"/>
      <c r="B98" s="6"/>
      <c r="C98" s="6"/>
      <c r="D98" s="10"/>
      <c r="E98" s="10"/>
      <c r="F98" s="10"/>
      <c r="G98" s="10"/>
      <c r="H98" s="6"/>
      <c r="I98" s="6"/>
      <c r="J98" s="10"/>
      <c r="K98" s="10"/>
      <c r="L98" s="10"/>
      <c r="M98" s="141"/>
      <c r="N98" s="141"/>
    </row>
    <row r="99" spans="1:18">
      <c r="A99" s="6"/>
      <c r="B99" s="6"/>
      <c r="C99" s="6"/>
      <c r="D99" s="10"/>
      <c r="E99" s="10"/>
      <c r="F99" s="10"/>
      <c r="G99" s="10"/>
      <c r="H99" s="6"/>
      <c r="I99" s="6"/>
      <c r="J99" s="10"/>
      <c r="K99" s="10"/>
      <c r="L99" s="10"/>
      <c r="M99" s="141"/>
      <c r="N99" s="141"/>
    </row>
    <row r="100" spans="1:18">
      <c r="A100" s="1"/>
      <c r="B100" s="1"/>
      <c r="C100" s="1"/>
      <c r="D100" s="1"/>
      <c r="E100" s="1"/>
      <c r="F100" s="1"/>
      <c r="G100" s="1"/>
      <c r="H100" s="1"/>
      <c r="I100" s="1"/>
      <c r="J100" s="1"/>
      <c r="K100" s="1"/>
      <c r="L100" s="1"/>
    </row>
    <row r="101" spans="1:18" ht="55.5">
      <c r="A101" s="4" t="s">
        <v>9</v>
      </c>
      <c r="B101" s="4" t="s">
        <v>11</v>
      </c>
      <c r="C101" s="4" t="s">
        <v>822</v>
      </c>
      <c r="D101" s="4" t="s">
        <v>13</v>
      </c>
      <c r="E101" s="4" t="s">
        <v>823</v>
      </c>
      <c r="F101" s="4" t="s">
        <v>22</v>
      </c>
      <c r="G101" s="38" t="s">
        <v>23</v>
      </c>
      <c r="H101" s="38" t="s">
        <v>17</v>
      </c>
      <c r="I101" s="38" t="s">
        <v>18</v>
      </c>
      <c r="J101" s="38" t="s">
        <v>824</v>
      </c>
      <c r="K101" s="38" t="s">
        <v>21</v>
      </c>
      <c r="L101" s="39" t="s">
        <v>825</v>
      </c>
    </row>
    <row r="102" spans="1:18">
      <c r="A102" s="21"/>
      <c r="B102" s="21"/>
      <c r="C102" s="20"/>
      <c r="D102" s="21"/>
      <c r="E102" s="20"/>
      <c r="F102" s="21"/>
      <c r="G102" s="22"/>
      <c r="H102" s="23"/>
      <c r="I102" s="23"/>
      <c r="J102" s="23"/>
      <c r="K102" s="23"/>
      <c r="L102" s="23"/>
    </row>
    <row r="103" spans="1:18">
      <c r="A103" s="1"/>
      <c r="B103" s="1"/>
      <c r="C103" s="1"/>
      <c r="D103" s="1"/>
      <c r="E103" s="1"/>
      <c r="F103" s="1"/>
      <c r="G103" s="1"/>
      <c r="I103" s="1"/>
      <c r="J103" s="1"/>
      <c r="K103" s="1"/>
      <c r="L103" s="1"/>
    </row>
    <row r="104" spans="1:18" ht="28.5">
      <c r="A104" s="34"/>
      <c r="B104" s="126" t="s">
        <v>32</v>
      </c>
      <c r="C104" s="126"/>
      <c r="D104" s="126"/>
      <c r="E104" s="126"/>
      <c r="F104" s="126"/>
      <c r="G104" s="126"/>
      <c r="H104" s="126"/>
      <c r="I104" s="126"/>
      <c r="J104" s="18"/>
      <c r="K104" s="18"/>
      <c r="L104" s="18"/>
    </row>
    <row r="105" spans="1:18" s="5" customFormat="1">
      <c r="A105" s="3"/>
      <c r="B105" s="3"/>
      <c r="C105" s="3"/>
      <c r="D105" s="3"/>
      <c r="E105" s="3"/>
      <c r="F105" s="3"/>
      <c r="G105" s="3"/>
      <c r="H105" s="3"/>
      <c r="I105" s="1"/>
      <c r="J105" s="1"/>
      <c r="K105" s="1"/>
      <c r="L105" s="1"/>
      <c r="M105" s="35"/>
      <c r="N105" s="35"/>
      <c r="O105" s="35"/>
    </row>
    <row r="106" spans="1:18" s="5" customFormat="1" ht="26">
      <c r="A106" s="33"/>
      <c r="B106" s="127" t="s">
        <v>33</v>
      </c>
      <c r="C106" s="127"/>
      <c r="D106" s="127"/>
      <c r="E106" s="127"/>
      <c r="F106" s="127"/>
      <c r="G106" s="127"/>
      <c r="H106" s="127"/>
      <c r="I106" s="127"/>
      <c r="J106" s="16"/>
      <c r="K106" s="16"/>
      <c r="L106" s="16"/>
      <c r="M106" s="35"/>
      <c r="N106" s="35"/>
      <c r="O106" s="35"/>
    </row>
    <row r="107" spans="1:18" s="1" customFormat="1">
      <c r="A107" s="3"/>
      <c r="B107" s="3"/>
      <c r="C107" s="3"/>
      <c r="D107" s="3"/>
      <c r="E107" s="3"/>
      <c r="F107" s="3"/>
      <c r="G107" s="3"/>
      <c r="H107" s="3"/>
    </row>
    <row r="108" spans="1:18" s="1" customFormat="1" ht="55.5">
      <c r="A108" s="4" t="s">
        <v>9</v>
      </c>
      <c r="B108" s="4" t="s">
        <v>11</v>
      </c>
      <c r="C108" s="4" t="s">
        <v>822</v>
      </c>
      <c r="D108" s="4" t="s">
        <v>13</v>
      </c>
      <c r="E108" s="4" t="s">
        <v>823</v>
      </c>
      <c r="F108" s="4" t="s">
        <v>15</v>
      </c>
      <c r="G108" s="38" t="s">
        <v>16</v>
      </c>
      <c r="H108" s="38" t="s">
        <v>17</v>
      </c>
      <c r="I108" s="38" t="s">
        <v>18</v>
      </c>
      <c r="J108" s="38" t="s">
        <v>824</v>
      </c>
      <c r="K108" s="38" t="s">
        <v>21</v>
      </c>
      <c r="L108" s="39" t="s">
        <v>825</v>
      </c>
    </row>
    <row r="109" spans="1:18" s="42" customFormat="1">
      <c r="A109" s="6"/>
      <c r="B109" s="8"/>
      <c r="C109" s="8"/>
      <c r="D109" s="8"/>
      <c r="E109" s="8"/>
      <c r="F109" s="8"/>
      <c r="G109" s="8"/>
      <c r="H109" s="8"/>
      <c r="I109" s="8"/>
      <c r="J109" s="8"/>
      <c r="K109" s="8"/>
      <c r="L109" s="8"/>
      <c r="M109" s="146" t="s">
        <v>835</v>
      </c>
      <c r="N109" s="146"/>
      <c r="O109" s="14"/>
      <c r="P109" s="41"/>
      <c r="Q109" s="41"/>
      <c r="R109" s="41"/>
    </row>
    <row r="110" spans="1:18" s="12" customFormat="1">
      <c r="A110" s="6"/>
      <c r="B110" s="6"/>
      <c r="C110" s="6"/>
      <c r="D110" s="6"/>
      <c r="E110" s="6"/>
      <c r="F110" s="6"/>
      <c r="G110" s="8"/>
      <c r="H110" s="6"/>
      <c r="I110" s="6"/>
      <c r="J110" s="6"/>
      <c r="K110" s="6"/>
      <c r="L110" s="6"/>
      <c r="M110" s="146"/>
      <c r="N110" s="146"/>
      <c r="O110" s="1"/>
      <c r="P110" s="11"/>
      <c r="Q110" s="11"/>
      <c r="R110" s="11"/>
    </row>
    <row r="111" spans="1:18" s="12" customFormat="1">
      <c r="A111" s="6"/>
      <c r="B111" s="6"/>
      <c r="C111" s="6"/>
      <c r="D111" s="6"/>
      <c r="E111" s="6"/>
      <c r="F111" s="6"/>
      <c r="G111" s="8"/>
      <c r="H111" s="6"/>
      <c r="I111" s="6"/>
      <c r="J111" s="6"/>
      <c r="K111" s="6"/>
      <c r="L111" s="6"/>
      <c r="M111" s="146"/>
      <c r="N111" s="146"/>
      <c r="O111" s="1"/>
      <c r="P111" s="11"/>
      <c r="Q111" s="11"/>
      <c r="R111" s="11"/>
    </row>
    <row r="112" spans="1:18" s="9" customFormat="1">
      <c r="A112" s="1"/>
      <c r="B112" s="1"/>
      <c r="C112" s="1"/>
      <c r="D112" s="1"/>
      <c r="E112" s="1"/>
      <c r="F112" s="1"/>
      <c r="G112" s="1"/>
      <c r="H112" s="1"/>
      <c r="I112" s="1"/>
      <c r="J112" s="1"/>
      <c r="K112" s="1"/>
      <c r="L112" s="1"/>
      <c r="M112" s="13"/>
      <c r="N112" s="13"/>
      <c r="O112" s="13"/>
    </row>
    <row r="113" spans="1:18" s="1" customFormat="1" ht="55.5">
      <c r="A113" s="4" t="s">
        <v>9</v>
      </c>
      <c r="B113" s="4" t="s">
        <v>11</v>
      </c>
      <c r="C113" s="4" t="s">
        <v>822</v>
      </c>
      <c r="D113" s="4" t="s">
        <v>13</v>
      </c>
      <c r="E113" s="4" t="s">
        <v>823</v>
      </c>
      <c r="F113" s="4" t="s">
        <v>15</v>
      </c>
      <c r="G113" s="38" t="s">
        <v>16</v>
      </c>
      <c r="H113" s="38" t="s">
        <v>17</v>
      </c>
      <c r="I113" s="38" t="s">
        <v>18</v>
      </c>
      <c r="J113" s="38" t="s">
        <v>824</v>
      </c>
      <c r="K113" s="38" t="s">
        <v>21</v>
      </c>
      <c r="L113" s="39" t="s">
        <v>825</v>
      </c>
    </row>
    <row r="114" spans="1:18" s="12" customFormat="1">
      <c r="A114" s="6"/>
      <c r="B114" s="6"/>
      <c r="C114" s="6"/>
      <c r="D114" s="6"/>
      <c r="E114" s="6"/>
      <c r="F114" s="6"/>
      <c r="G114" s="8"/>
      <c r="H114" s="6"/>
      <c r="I114" s="6"/>
      <c r="J114" s="6"/>
      <c r="K114" s="6"/>
      <c r="L114" s="6"/>
      <c r="M114" s="147" t="s">
        <v>836</v>
      </c>
      <c r="N114" s="147"/>
      <c r="O114" s="1"/>
      <c r="P114" s="11"/>
      <c r="Q114" s="11"/>
      <c r="R114" s="11"/>
    </row>
    <row r="115" spans="1:18" s="12" customFormat="1">
      <c r="A115" s="6"/>
      <c r="B115" s="6"/>
      <c r="C115" s="6"/>
      <c r="D115" s="6"/>
      <c r="E115" s="6"/>
      <c r="F115" s="6"/>
      <c r="G115" s="8"/>
      <c r="H115" s="6"/>
      <c r="I115" s="6"/>
      <c r="J115" s="6"/>
      <c r="K115" s="6"/>
      <c r="L115" s="6"/>
      <c r="M115" s="147"/>
      <c r="N115" s="147"/>
      <c r="O115" s="1"/>
      <c r="P115" s="11"/>
      <c r="Q115" s="11"/>
      <c r="R115" s="11"/>
    </row>
    <row r="116" spans="1:18">
      <c r="A116" s="1"/>
      <c r="B116" s="1"/>
      <c r="C116" s="1"/>
      <c r="D116" s="1"/>
      <c r="E116" s="1"/>
      <c r="F116" s="1"/>
      <c r="G116" s="1"/>
      <c r="H116" s="1"/>
      <c r="I116" s="1"/>
      <c r="J116" s="1"/>
      <c r="K116" s="1"/>
      <c r="L116" s="1"/>
    </row>
    <row r="117" spans="1:18" ht="55.5">
      <c r="A117" s="4" t="s">
        <v>9</v>
      </c>
      <c r="B117" s="4" t="s">
        <v>11</v>
      </c>
      <c r="C117" s="4" t="s">
        <v>822</v>
      </c>
      <c r="D117" s="4" t="s">
        <v>13</v>
      </c>
      <c r="E117" s="4" t="s">
        <v>823</v>
      </c>
      <c r="F117" s="4" t="s">
        <v>22</v>
      </c>
      <c r="G117" s="38" t="s">
        <v>23</v>
      </c>
      <c r="H117" s="38" t="s">
        <v>17</v>
      </c>
      <c r="I117" s="38" t="s">
        <v>18</v>
      </c>
      <c r="J117" s="38" t="s">
        <v>824</v>
      </c>
      <c r="K117" s="38" t="s">
        <v>21</v>
      </c>
      <c r="L117" s="39" t="s">
        <v>825</v>
      </c>
    </row>
    <row r="118" spans="1:18">
      <c r="A118" s="21"/>
      <c r="B118" s="21"/>
      <c r="C118" s="20"/>
      <c r="D118" s="21"/>
      <c r="E118" s="20"/>
      <c r="F118" s="21"/>
      <c r="G118" s="22"/>
      <c r="H118" s="23"/>
      <c r="I118" s="23"/>
      <c r="J118" s="23"/>
      <c r="K118" s="23"/>
      <c r="L118" s="23"/>
    </row>
    <row r="119" spans="1:18" s="5" customFormat="1">
      <c r="A119" s="13"/>
      <c r="B119" s="13"/>
      <c r="C119" s="13"/>
      <c r="D119" s="13"/>
      <c r="E119" s="13"/>
      <c r="F119" s="13"/>
      <c r="G119" s="14"/>
      <c r="H119" s="13"/>
      <c r="I119" s="13"/>
      <c r="J119" s="13"/>
      <c r="K119" s="13"/>
      <c r="L119" s="13"/>
      <c r="M119" s="35"/>
      <c r="N119" s="35"/>
      <c r="O119" s="35"/>
    </row>
    <row r="120" spans="1:18" s="5" customFormat="1">
      <c r="A120" s="31"/>
      <c r="B120" s="30" t="s">
        <v>37</v>
      </c>
      <c r="C120" s="30"/>
      <c r="D120" s="30"/>
      <c r="E120" s="30"/>
      <c r="F120" s="2"/>
      <c r="G120" s="3"/>
      <c r="H120" s="3"/>
      <c r="I120" s="2"/>
      <c r="J120" s="3"/>
      <c r="K120" s="7"/>
      <c r="L120" s="7"/>
      <c r="M120" s="35"/>
      <c r="N120" s="35"/>
      <c r="O120" s="35"/>
    </row>
    <row r="121" spans="1:18" s="5" customFormat="1">
      <c r="A121" s="24"/>
      <c r="B121" s="137" t="s">
        <v>38</v>
      </c>
      <c r="C121" s="137"/>
      <c r="D121" s="137"/>
      <c r="E121" s="2"/>
      <c r="F121" s="2"/>
      <c r="G121" s="3"/>
      <c r="H121" s="3"/>
      <c r="I121" s="2"/>
      <c r="J121" s="3"/>
      <c r="K121" s="7"/>
      <c r="L121" s="7"/>
      <c r="M121" s="35"/>
      <c r="N121" s="35"/>
      <c r="O121" s="35"/>
    </row>
    <row r="122" spans="1:18" s="5" customFormat="1">
      <c r="A122" s="25"/>
      <c r="B122" s="139" t="s">
        <v>39</v>
      </c>
      <c r="C122" s="139"/>
      <c r="D122" s="139"/>
      <c r="E122" s="2"/>
      <c r="F122" s="2"/>
      <c r="G122" s="3"/>
      <c r="H122" s="3"/>
      <c r="I122" s="2"/>
      <c r="J122" s="3"/>
      <c r="K122" s="7"/>
      <c r="L122" s="7"/>
      <c r="M122" s="35"/>
      <c r="N122" s="35"/>
      <c r="O122" s="35"/>
    </row>
    <row r="123" spans="1:18" s="5" customFormat="1">
      <c r="A123" s="26"/>
      <c r="B123" s="133" t="s">
        <v>40</v>
      </c>
      <c r="C123" s="133"/>
      <c r="D123" s="133"/>
      <c r="E123" s="2"/>
      <c r="F123" s="2"/>
      <c r="G123" s="3"/>
      <c r="H123" s="3"/>
      <c r="I123" s="2"/>
      <c r="J123" s="3"/>
      <c r="K123" s="7"/>
      <c r="L123" s="7"/>
      <c r="M123" s="35"/>
      <c r="N123" s="35"/>
      <c r="O123" s="35"/>
    </row>
    <row r="124" spans="1:18" s="5" customFormat="1">
      <c r="A124" s="27"/>
      <c r="B124" s="28" t="s">
        <v>41</v>
      </c>
      <c r="C124" s="29"/>
      <c r="D124" s="29"/>
      <c r="E124" s="30"/>
      <c r="F124" s="2"/>
      <c r="G124" s="3"/>
      <c r="H124" s="3"/>
      <c r="I124" s="2"/>
      <c r="J124" s="3"/>
      <c r="K124" s="7"/>
      <c r="L124" s="7"/>
      <c r="M124" s="35"/>
      <c r="N124" s="35"/>
      <c r="O124" s="35"/>
    </row>
    <row r="125" spans="1:18">
      <c r="B125" s="30"/>
      <c r="C125" s="30"/>
      <c r="D125" s="30"/>
      <c r="E125" s="30"/>
      <c r="F125" s="30"/>
    </row>
    <row r="126" spans="1:18">
      <c r="C126" s="28"/>
      <c r="D126" s="29"/>
      <c r="E126" s="29"/>
      <c r="F126" s="30"/>
    </row>
  </sheetData>
  <mergeCells count="28">
    <mergeCell ref="M109:N111"/>
    <mergeCell ref="M114:N115"/>
    <mergeCell ref="B121:D121"/>
    <mergeCell ref="B122:D122"/>
    <mergeCell ref="B123:D123"/>
    <mergeCell ref="B106:I106"/>
    <mergeCell ref="M47:N50"/>
    <mergeCell ref="M53:N56"/>
    <mergeCell ref="M59:N62"/>
    <mergeCell ref="B67:I67"/>
    <mergeCell ref="M70:N74"/>
    <mergeCell ref="M77:N79"/>
    <mergeCell ref="M82:N84"/>
    <mergeCell ref="M87:N89"/>
    <mergeCell ref="M92:N94"/>
    <mergeCell ref="M97:N99"/>
    <mergeCell ref="B104:I104"/>
    <mergeCell ref="M24:N25"/>
    <mergeCell ref="B30:I30"/>
    <mergeCell ref="M33:N37"/>
    <mergeCell ref="M40:N44"/>
    <mergeCell ref="A1:J1"/>
    <mergeCell ref="A3:I3"/>
    <mergeCell ref="B4:I4"/>
    <mergeCell ref="B6:I6"/>
    <mergeCell ref="M9:N14"/>
    <mergeCell ref="M16:N17"/>
    <mergeCell ref="M20:N21"/>
  </mergeCells>
  <pageMargins left="0.7" right="0.7" top="0.75" bottom="0.75" header="0.3" footer="0.3"/>
  <pageSetup scale="30"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8</vt:i4>
      </vt:variant>
    </vt:vector>
  </HeadingPairs>
  <TitlesOfParts>
    <vt:vector size="19" baseType="lpstr">
      <vt:lpstr>Mon, Aug 31</vt:lpstr>
      <vt:lpstr>Tue, Sep 01</vt:lpstr>
      <vt:lpstr>Wed, Sep 02</vt:lpstr>
      <vt:lpstr>Thu, Sep 03</vt:lpstr>
      <vt:lpstr>Fri, Sep 04</vt:lpstr>
      <vt:lpstr>Sat, Sep 05</vt:lpstr>
      <vt:lpstr>Sun, Sep 06</vt:lpstr>
      <vt:lpstr>Pendings</vt:lpstr>
      <vt:lpstr>Master sheet (Clientes)</vt:lpstr>
      <vt:lpstr>Outer Area Zones</vt:lpstr>
      <vt:lpstr>Cheat Sheet</vt:lpstr>
      <vt:lpstr>'Cheat Sheet'!Área_de_impresión</vt:lpstr>
      <vt:lpstr>'Fri, Sep 04'!Área_de_impresión</vt:lpstr>
      <vt:lpstr>'Mon, Aug 31'!Área_de_impresión</vt:lpstr>
      <vt:lpstr>'Sat, Sep 05'!Área_de_impresión</vt:lpstr>
      <vt:lpstr>'Tue, Sep 01'!Área_de_impresión</vt:lpstr>
      <vt:lpstr>'Wed, Sep 02'!Área_de_impresión</vt:lpstr>
      <vt:lpstr>'Mon, Aug 31'!P</vt:lpstr>
      <vt:lpstr>'Tue, Sep 01'!P.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Betancur</dc:creator>
  <cp:keywords/>
  <dc:description/>
  <cp:lastModifiedBy>Jose Albeiro Montes Gil</cp:lastModifiedBy>
  <cp:revision/>
  <cp:lastPrinted>2026-09-02T21:24:27Z</cp:lastPrinted>
  <dcterms:created xsi:type="dcterms:W3CDTF">2021-08-14T12:11:12Z</dcterms:created>
  <dcterms:modified xsi:type="dcterms:W3CDTF">2026-09-07T21:43:34Z</dcterms:modified>
  <cp:category/>
  <cp:contentStatus/>
</cp:coreProperties>
</file>